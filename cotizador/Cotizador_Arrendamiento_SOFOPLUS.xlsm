
<file path=[Content_Types].xml><?xml version="1.0" encoding="utf-8"?>
<Types xmlns="http://schemas.openxmlformats.org/package/2006/content-types">
  <Default Extension="rels" ContentType="application/vnd.openxmlformats-package.relationships+xml"/>
  <Default Extension="bin" ContentType="application/vnd.ms-office.vbaProject"/>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rIdUI1"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1" autoFilterDateGrouping="1"/>
  </bookViews>
  <sheets>
    <sheet name="Inicio" sheetId="1" state="visible" r:id="rId1"/>
    <sheet name="Cotizador" sheetId="2" state="visible" r:id="rId2"/>
    <sheet name="Carta Cotizacion" sheetId="3" state="visible" r:id="rId3"/>
    <sheet name="Tabla de Pagos" sheetId="4" state="visible" r:id="rId4"/>
    <sheet name="Sensibilidad" sheetId="5" state="visible" r:id="rId5"/>
    <sheet name="Historial" sheetId="6" state="visible" r:id="rId6"/>
    <sheet name="Corrida 1" sheetId="7" state="visible" r:id="rId7"/>
    <sheet name="Corrida 2" sheetId="8" state="visible" r:id="rId8"/>
    <sheet name="Corrida 3" sheetId="9" state="visible" r:id="rId9"/>
    <sheet name="Corrida 4" sheetId="10" state="visible" r:id="rId10"/>
    <sheet name="Configuracion" sheetId="11" state="visible" r:id="rId11"/>
  </sheets>
  <definedNames>
    <definedName name="par_Arrendador">Configuracion!$C$4</definedName>
    <definedName name="par_Comercial">Configuracion!$C$5</definedName>
    <definedName name="par_Dir1">Configuracion!$C$6</definedName>
    <definedName name="par_Dir2">Configuracion!$C$7</definedName>
    <definedName name="par_Dir3">Configuracion!$C$8</definedName>
    <definedName name="par_Ciudad">Configuracion!$C$9</definedName>
    <definedName name="par_Contacto">Configuracion!$C$10</definedName>
    <definedName name="par_IVA">Configuracion!$C$11</definedName>
    <definedName name="par_Fondeo">Configuracion!$C$12</definedName>
    <definedName name="par_CMmin">Configuracion!$C$13</definedName>
    <definedName name="par_Vigencia">Configuracion!$C$14</definedName>
    <definedName name="par_BaseDias">Configuracion!$C$15</definedName>
    <definedName name="par_BaseIVAFin">Configuracion!$C$16</definedName>
    <definedName name="par_Prefijo">Configuracion!$C$17</definedName>
    <definedName name="par_Consecutivo">Configuracion!$C$18</definedName>
    <definedName name="par_CarpetaPDF">Configuracion!$C$19</definedName>
    <definedName name="par_CorreoCC">Configuracion!$C$20</definedName>
    <definedName name="def_Plazo">Configuracion!$C$23:$F$23</definedName>
    <definedName name="def_Sucesivo">Configuracion!$C$24:$F$24</definedName>
    <definedName name="def_Tasa">Configuracion!$C$25:$F$25</definedName>
    <definedName name="def_TasaSuc">Configuracion!$C$26:$F$26</definedName>
    <definedName name="def_Enganche">Configuracion!$C$27:$F$27</definedName>
    <definedName name="def_Residual">Configuracion!$C$28:$F$28</definedName>
    <definedName name="def_Comision">Configuracion!$C$29:$F$29</definedName>
    <definedName name="def_Deposito">Configuracion!$C$30:$F$30</definedName>
    <definedName name="def_Tipo">Configuracion!$C$31</definedName>
    <definedName name="def_Moneda">Configuracion!$C$32</definedName>
    <definedName name="def_Modalidad">Configuracion!$C$33</definedName>
    <definedName name="lst_Promotores">Configuracion!$H$5:$H$24</definedName>
    <definedName name="lst_Tipo">Configuracion!$I$5:$I$6</definedName>
    <definedName name="lst_Moneda">Configuracion!$J$5:$J$6</definedName>
    <definedName name="lst_Modalidad">Configuracion!$K$5:$K$6</definedName>
    <definedName name="lst_SiNo">Configuracion!$L$5:$L$6</definedName>
    <definedName name="lst_Forma">Configuracion!$M$5:$M$6</definedName>
    <definedName name="lst_BaseIVA">Configuracion!$N$5:$N$6</definedName>
    <definedName name="lst_Estatus">Configuracion!$O$5:$O$9</definedName>
    <definedName name="inp_Folio">Cotizador!$C$6</definedName>
    <definedName name="inp_Fecha">Cotizador!$C$7</definedName>
    <definedName name="inp_Cliente">Cotizador!$C$8</definedName>
    <definedName name="inp_RFC">Cotizador!$C$9</definedName>
    <definedName name="inp_Contacto">Cotizador!$C$10</definedName>
    <definedName name="inp_Correo">Cotizador!$C$11</definedName>
    <definedName name="inp_Proveedor">Cotizador!$C$12</definedName>
    <definedName name="inp_Equipo">Cotizador!$C$13</definedName>
    <definedName name="inp_Promotor">Cotizador!$C$14</definedName>
    <definedName name="inp_Obligado">Cotizador!$C$15</definedName>
    <definedName name="inp_Tipo">Cotizador!$C$18</definedName>
    <definedName name="inp_Moneda">Cotizador!$C$19</definedName>
    <definedName name="inp_TC">Cotizador!$C$20</definedName>
    <definedName name="inp_Modalidad">Cotizador!$C$21</definedName>
    <definedName name="inp_Valor">Cotizador!$C$22</definedName>
    <definedName name="inp_FechaFirma">Cotizador!$C$25</definedName>
    <definedName name="inp_FechaPrimera">Cotizador!$C$26</definedName>
    <definedName name="inp_ComBanco">Cotizador!$C$27</definedName>
    <definedName name="inp_Fondeo">Cotizador!$C$28</definedName>
    <definedName name="inp_CMobj">Cotizador!$C$29</definedName>
    <definedName name="esc_Incluir">Cotizador!$C$33:$F$33</definedName>
    <definedName name="esc_Plazo">Cotizador!$C$34:$F$34</definedName>
    <definedName name="esc_Sucesivo">Cotizador!$C$35:$F$35</definedName>
    <definedName name="esc_Tasa">Cotizador!$C$36:$F$36</definedName>
    <definedName name="esc_TasaSuc">Cotizador!$C$37:$F$37</definedName>
    <definedName name="esc_Enganche">Cotizador!$C$38:$F$38</definedName>
    <definedName name="esc_Residual">Cotizador!$C$39:$F$39</definedName>
    <definedName name="esc_PagoFinal">Cotizador!$C$40:$F$40</definedName>
    <definedName name="esc_Comision">Cotizador!$C$41:$F$41</definedName>
    <definedName name="esc_Deposito">Cotizador!$C$42:$F$42</definedName>
    <definedName name="esc_Seguro">Cotizador!$C$43:$F$43</definedName>
    <definedName name="esc_SeguroForma">Cotizador!$C$44:$F$44</definedName>
    <definedName name="esc_GPS">Cotizador!$C$45:$F$45</definedName>
    <definedName name="esc_GPSForma">Cotizador!$C$46:$F$46</definedName>
    <definedName name="res_Monto">Cotizador!$C$50:$F$50</definedName>
    <definedName name="res_Renta">Cotizador!$C$51:$F$51</definedName>
    <definedName name="res_IVA">Cotizador!$C$52:$F$52</definedName>
    <definedName name="res_RentaIVA">Cotizador!$C$53:$F$53</definedName>
    <definedName name="res_Final">Cotizador!$C$54:$F$54</definedName>
    <definedName name="res_PagoInicial">Cotizador!$C$55:$F$55</definedName>
    <definedName name="res_Total">Cotizador!$C$56:$F$56</definedName>
    <definedName name="res_CAT">Cotizador!$C$57:$F$57</definedName>
    <definedName name="res_TIR">Cotizador!$C$61:$F$61</definedName>
    <definedName name="res_CM">Cotizador!$C$63:$F$63</definedName>
    <definedName name="res_CMpct">Cotizador!$C$64:$F$64</definedName>
    <definedName name="res_Dictamen">Cotizador!$C$67:$F$67</definedName>
    <definedName name="res_TasaMin">Cotizador!$C$69:$F$69</definedName>
    <definedName name="res_Alertas">Cotizador!$C$73:$F$73</definedName>
    <definedName name="inp_EscTabla">'Tabla de Pagos'!$D$7</definedName>
    <definedName name="hist_Header">Historial!$A$4</definedName>
    <definedName name="_xlnm.Print_Area" localSheetId="1">'Cotizador'!$A$1:$H$73</definedName>
    <definedName name="_xlnm.Print_Area" localSheetId="2">'Carta Cotizacion'!$A$1:$G$69</definedName>
    <definedName name="_xlnm.Print_Titles" localSheetId="3">'Tabla de Pagos'!$10:$10</definedName>
    <definedName name="_xlnm.Print_Area" localSheetId="3">'Tabla de Pagos'!$A$1:$I$111</definedName>
    <definedName name="_xlnm.Print_Area" localSheetId="4">'Sensibilidad'!$A$1:$J$34</definedName>
    <definedName name="_xlnm._FilterDatabase" localSheetId="5" hidden="1">'Historial'!$A$4:$T$4</definedName>
    <definedName name="_xlnm.Print_Titles" localSheetId="5">'Historial'!$4:$4</definedName>
    <definedName name="_xlnm.Print_Titles" localSheetId="6">'Corrida 1'!$44:$44</definedName>
    <definedName name="_xlnm.Print_Titles" localSheetId="7">'Corrida 2'!$44:$44</definedName>
    <definedName name="_xlnm.Print_Titles" localSheetId="8">'Corrida 3'!$44:$44</definedName>
    <definedName name="_xlnm.Print_Titles" localSheetId="9">'Corrida 4'!$44:$44</definedName>
  </definedNames>
  <calcPr calcId="124519" fullCalcOnLoad="1"/>
</workbook>
</file>

<file path=xl/styles.xml><?xml version="1.0" encoding="utf-8"?>
<styleSheet xmlns="http://schemas.openxmlformats.org/spreadsheetml/2006/main">
  <numFmts count="8">
    <numFmt numFmtId="164" formatCode="0.00%;[Red]-0.00%;&quot;-&quot;"/>
    <numFmt numFmtId="165" formatCode="yyyy-mm-dd h:mm:ss"/>
    <numFmt numFmtId="166" formatCode="dd/mm/yyyy"/>
    <numFmt numFmtId="167" formatCode="#,##0.0000"/>
    <numFmt numFmtId="168" formatCode="$#,##0.00;[Red]-$#,##0.00;&quot;-&quot;"/>
    <numFmt numFmtId="169" formatCode="0.0000%"/>
    <numFmt numFmtId="170" formatCode="0.000000"/>
    <numFmt numFmtId="171" formatCode="0&quot; meses&quot;"/>
  </numFmts>
  <fonts count="18">
    <font>
      <name val="Calibri"/>
      <family val="2"/>
      <color theme="1"/>
      <sz val="11"/>
      <scheme val="minor"/>
    </font>
    <font>
      <name val="Arial"/>
      <b val="1"/>
      <color rgb="004B2A7B"/>
      <sz val="18"/>
    </font>
    <font>
      <name val="Arial"/>
      <i val="1"/>
      <color rgb="00666666"/>
      <sz val="10"/>
    </font>
    <font>
      <name val="Arial"/>
      <b val="1"/>
      <color rgb="00FFFFFF"/>
      <sz val="11"/>
    </font>
    <font>
      <name val="Arial"/>
      <sz val="10"/>
    </font>
    <font>
      <name val="Arial"/>
      <color rgb="000000FF"/>
      <sz val="10"/>
    </font>
    <font>
      <name val="Arial"/>
      <b val="1"/>
      <sz val="10"/>
    </font>
    <font>
      <name val="Arial"/>
      <i val="1"/>
      <color rgb="00666666"/>
      <sz val="9"/>
    </font>
    <font>
      <name val="Arial"/>
      <b val="1"/>
      <color rgb="004B2A7B"/>
      <sz val="11"/>
    </font>
    <font>
      <name val="Arial"/>
      <color rgb="00008000"/>
      <sz val="10"/>
    </font>
    <font>
      <name val="Arial"/>
      <b val="1"/>
      <color rgb="00008000"/>
      <sz val="10"/>
    </font>
    <font>
      <name val="Arial"/>
      <color rgb="00C00000"/>
      <sz val="9"/>
    </font>
    <font>
      <name val="Arial"/>
      <b val="1"/>
      <color rgb="00404040"/>
      <sz val="9"/>
    </font>
    <font>
      <name val="Arial"/>
      <color rgb="00404040"/>
      <sz val="9"/>
    </font>
    <font>
      <name val="Arial"/>
      <b val="1"/>
      <sz val="11"/>
    </font>
    <font>
      <name val="Arial"/>
      <sz val="9"/>
    </font>
    <font>
      <name val="Arial"/>
      <b val="1"/>
      <color rgb="004B2A7B"/>
      <sz val="22"/>
    </font>
    <font>
      <name val="Arial"/>
      <color rgb="000563C1"/>
      <sz val="10"/>
      <u val="single"/>
    </font>
  </fonts>
  <fills count="6">
    <fill>
      <patternFill/>
    </fill>
    <fill>
      <patternFill patternType="gray125"/>
    </fill>
    <fill>
      <patternFill patternType="solid">
        <fgColor rgb="004B2A7B"/>
      </patternFill>
    </fill>
    <fill>
      <patternFill patternType="solid">
        <fgColor rgb="00FFF8D6"/>
      </patternFill>
    </fill>
    <fill>
      <patternFill patternType="solid">
        <fgColor rgb="00E9E2F3"/>
      </patternFill>
    </fill>
    <fill>
      <patternFill patternType="solid">
        <fgColor rgb="00F2F2F2"/>
      </patternFill>
    </fill>
  </fills>
  <borders count="9">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
      <top style="thin">
        <color rgb="00000000"/>
      </top>
    </border>
    <border>
      <bottom style="hair">
        <color rgb="00BFBFBF"/>
      </bottom>
    </border>
    <border>
      <bottom style="thin">
        <color rgb="00000000"/>
      </bottom>
    </border>
  </borders>
  <cellStyleXfs count="1">
    <xf numFmtId="0" fontId="0" fillId="0" borderId="0"/>
  </cellStyleXfs>
  <cellXfs count="81">
    <xf numFmtId="0" fontId="0" fillId="0" borderId="0" pivotButton="0" quotePrefix="0" xfId="0"/>
    <xf numFmtId="0" fontId="16" fillId="0" borderId="0" pivotButton="0" quotePrefix="0" xfId="0"/>
    <xf numFmtId="0" fontId="2" fillId="0" borderId="0" pivotButton="0" quotePrefix="0" xfId="0"/>
    <xf numFmtId="0" fontId="3" fillId="2" borderId="0" applyAlignment="1" pivotButton="0" quotePrefix="0" xfId="0">
      <alignment vertical="center"/>
    </xf>
    <xf numFmtId="0" fontId="6" fillId="0" borderId="0" pivotButton="0" quotePrefix="0" xfId="0"/>
    <xf numFmtId="0" fontId="4" fillId="0" borderId="0" applyAlignment="1" pivotButton="0" quotePrefix="0" xfId="0">
      <alignment vertical="top" wrapText="1"/>
    </xf>
    <xf numFmtId="0" fontId="17" fillId="0" borderId="0" pivotButton="0" quotePrefix="0" xfId="0"/>
    <xf numFmtId="0" fontId="4" fillId="0" borderId="0" pivotButton="0" quotePrefix="0" xfId="0"/>
    <xf numFmtId="0" fontId="5" fillId="3" borderId="0" pivotButton="0" quotePrefix="0" xfId="0"/>
    <xf numFmtId="0" fontId="9" fillId="0" borderId="0" pivotButton="0" quotePrefix="0" xfId="0"/>
    <xf numFmtId="0" fontId="7" fillId="0" borderId="0" pivotButton="0" quotePrefix="0" xfId="0"/>
    <xf numFmtId="0" fontId="1" fillId="0" borderId="0" pivotButton="0" quotePrefix="0" xfId="0"/>
    <xf numFmtId="0" fontId="7" fillId="0" borderId="0" applyAlignment="1" pivotButton="0" quotePrefix="0" xfId="0">
      <alignment vertical="top" wrapText="1"/>
    </xf>
    <xf numFmtId="0" fontId="8" fillId="0" borderId="0" pivotButton="0" quotePrefix="0" xfId="0"/>
    <xf numFmtId="0" fontId="5" fillId="3" borderId="1" applyProtection="1" pivotButton="0" quotePrefix="0" xfId="0">
      <protection locked="0" hidden="0"/>
    </xf>
    <xf numFmtId="0" fontId="0" fillId="0" borderId="4" applyProtection="1" pivotButton="0" quotePrefix="0" xfId="0">
      <protection locked="0" hidden="0"/>
    </xf>
    <xf numFmtId="0" fontId="0" fillId="0" borderId="5" applyProtection="1" pivotButton="0" quotePrefix="0" xfId="0">
      <protection locked="0" hidden="0"/>
    </xf>
    <xf numFmtId="166" fontId="5" fillId="3" borderId="1" applyProtection="1" pivotButton="0" quotePrefix="0" xfId="0">
      <protection locked="0" hidden="0"/>
    </xf>
    <xf numFmtId="0" fontId="7" fillId="0" borderId="0" applyAlignment="1" pivotButton="0" quotePrefix="0" xfId="0">
      <alignment vertical="center" wrapText="1"/>
    </xf>
    <xf numFmtId="167" fontId="5" fillId="3" borderId="1" applyProtection="1" pivotButton="0" quotePrefix="0" xfId="0">
      <protection locked="0" hidden="0"/>
    </xf>
    <xf numFmtId="168" fontId="5" fillId="3" borderId="1" applyProtection="1" pivotButton="0" quotePrefix="0" xfId="0">
      <protection locked="0" hidden="0"/>
    </xf>
    <xf numFmtId="168" fontId="4" fillId="0" borderId="1" pivotButton="0" quotePrefix="0" xfId="0"/>
    <xf numFmtId="164" fontId="5" fillId="3" borderId="1" applyProtection="1" pivotButton="0" quotePrefix="0" xfId="0">
      <protection locked="0" hidden="0"/>
    </xf>
    <xf numFmtId="0" fontId="6" fillId="4" borderId="0" pivotButton="0" quotePrefix="0" xfId="0"/>
    <xf numFmtId="0" fontId="6" fillId="4" borderId="1" applyAlignment="1" pivotButton="0" quotePrefix="0" xfId="0">
      <alignment horizontal="center" vertical="center" wrapText="1"/>
    </xf>
    <xf numFmtId="0" fontId="5" fillId="3" borderId="1" applyAlignment="1" applyProtection="1" pivotButton="0" quotePrefix="0" xfId="0">
      <alignment horizontal="center"/>
      <protection locked="0" hidden="0"/>
    </xf>
    <xf numFmtId="1" fontId="5" fillId="3" borderId="1" applyAlignment="1" applyProtection="1" pivotButton="0" quotePrefix="0" xfId="0">
      <alignment horizontal="center"/>
      <protection locked="0" hidden="0"/>
    </xf>
    <xf numFmtId="164" fontId="5" fillId="3" borderId="1" applyAlignment="1" applyProtection="1" pivotButton="0" quotePrefix="0" xfId="0">
      <alignment horizontal="center"/>
      <protection locked="0" hidden="0"/>
    </xf>
    <xf numFmtId="2" fontId="5" fillId="3" borderId="1" applyAlignment="1" applyProtection="1" pivotButton="0" quotePrefix="0" xfId="0">
      <alignment horizontal="center"/>
      <protection locked="0" hidden="0"/>
    </xf>
    <xf numFmtId="168" fontId="5" fillId="3" borderId="1" applyAlignment="1" applyProtection="1" pivotButton="0" quotePrefix="0" xfId="0">
      <alignment horizontal="center"/>
      <protection locked="0" hidden="0"/>
    </xf>
    <xf numFmtId="0" fontId="3" fillId="2" borderId="0" applyAlignment="1" pivotButton="0" quotePrefix="0" xfId="0">
      <alignment horizontal="center" vertical="center" wrapText="1"/>
    </xf>
    <xf numFmtId="0" fontId="9" fillId="0" borderId="1" applyAlignment="1" pivotButton="0" quotePrefix="0" xfId="0">
      <alignment horizontal="center"/>
    </xf>
    <xf numFmtId="168" fontId="9" fillId="0" borderId="1" applyAlignment="1" pivotButton="0" quotePrefix="0" xfId="0">
      <alignment horizontal="center"/>
    </xf>
    <xf numFmtId="168" fontId="10" fillId="0" borderId="1" applyAlignment="1" pivotButton="0" quotePrefix="0" xfId="0">
      <alignment horizontal="center"/>
    </xf>
    <xf numFmtId="164" fontId="9" fillId="0" borderId="1" applyAlignment="1" pivotButton="0" quotePrefix="0" xfId="0">
      <alignment horizontal="center"/>
    </xf>
    <xf numFmtId="0" fontId="11" fillId="0" borderId="1" applyAlignment="1" pivotButton="0" quotePrefix="0" xfId="0">
      <alignment vertical="top" wrapText="1"/>
    </xf>
    <xf numFmtId="0" fontId="12" fillId="0" borderId="0" applyAlignment="1" pivotButton="0" quotePrefix="0" xfId="0">
      <alignment horizontal="right"/>
    </xf>
    <xf numFmtId="0" fontId="13" fillId="0" borderId="0" applyAlignment="1" pivotButton="0" quotePrefix="0" xfId="0">
      <alignment horizontal="right"/>
    </xf>
    <xf numFmtId="0" fontId="6" fillId="0" borderId="0" applyAlignment="1" pivotButton="0" quotePrefix="0" xfId="0">
      <alignment horizontal="right"/>
    </xf>
    <xf numFmtId="0" fontId="14" fillId="0" borderId="0" pivotButton="0" quotePrefix="0" xfId="0"/>
    <xf numFmtId="0" fontId="3" fillId="2" borderId="0" applyAlignment="1" pivotButton="0" quotePrefix="0" xfId="0">
      <alignment horizontal="left" vertical="center"/>
    </xf>
    <xf numFmtId="0" fontId="6" fillId="0" borderId="7" pivotButton="0" quotePrefix="0" xfId="0"/>
    <xf numFmtId="0" fontId="6" fillId="0" borderId="7" applyAlignment="1" pivotButton="0" quotePrefix="0" xfId="0">
      <alignment horizontal="center"/>
    </xf>
    <xf numFmtId="0" fontId="4" fillId="0" borderId="7" pivotButton="0" quotePrefix="0" xfId="0"/>
    <xf numFmtId="0" fontId="4" fillId="0" borderId="7" applyAlignment="1" pivotButton="0" quotePrefix="0" xfId="0">
      <alignment horizontal="center"/>
    </xf>
    <xf numFmtId="168" fontId="4" fillId="0" borderId="7" applyAlignment="1" pivotButton="0" quotePrefix="0" xfId="0">
      <alignment horizontal="center"/>
    </xf>
    <xf numFmtId="0" fontId="6" fillId="4" borderId="7" pivotButton="0" quotePrefix="0" xfId="0"/>
    <xf numFmtId="168" fontId="4" fillId="4" borderId="7" applyAlignment="1" pivotButton="0" quotePrefix="0" xfId="0">
      <alignment horizontal="center"/>
    </xf>
    <xf numFmtId="0" fontId="6" fillId="0" borderId="6" pivotButton="0" quotePrefix="0" xfId="0"/>
    <xf numFmtId="168" fontId="6" fillId="0" borderId="6" applyAlignment="1" pivotButton="0" quotePrefix="0" xfId="0">
      <alignment horizontal="center"/>
    </xf>
    <xf numFmtId="0" fontId="6" fillId="0" borderId="0" applyAlignment="1" pivotButton="0" quotePrefix="0" xfId="0">
      <alignment vertical="top" wrapText="1"/>
    </xf>
    <xf numFmtId="0" fontId="15" fillId="0" borderId="0" applyAlignment="1" pivotButton="0" quotePrefix="0" xfId="0">
      <alignment horizontal="justify" vertical="top" wrapText="1"/>
    </xf>
    <xf numFmtId="0" fontId="0" fillId="0" borderId="8" pivotButton="0" quotePrefix="0" xfId="0"/>
    <xf numFmtId="1" fontId="5" fillId="3" borderId="1" applyProtection="1" pivotButton="0" quotePrefix="0" xfId="0">
      <protection locked="0" hidden="0"/>
    </xf>
    <xf numFmtId="0" fontId="4" fillId="5" borderId="0" pivotButton="0" quotePrefix="0" xfId="0"/>
    <xf numFmtId="166" fontId="4" fillId="5" borderId="0" pivotButton="0" quotePrefix="0" xfId="0"/>
    <xf numFmtId="168" fontId="4" fillId="5" borderId="0" pivotButton="0" quotePrefix="0" xfId="0"/>
    <xf numFmtId="0" fontId="4" fillId="0" borderId="0" applyAlignment="1" pivotButton="0" quotePrefix="0" xfId="0">
      <alignment horizontal="center"/>
    </xf>
    <xf numFmtId="166" fontId="4" fillId="0" borderId="0" applyAlignment="1" pivotButton="0" quotePrefix="0" xfId="0">
      <alignment horizontal="center"/>
    </xf>
    <xf numFmtId="168" fontId="4" fillId="0" borderId="0" pivotButton="0" quotePrefix="0" xfId="0"/>
    <xf numFmtId="168" fontId="6" fillId="0" borderId="6" pivotButton="0" quotePrefix="0" xfId="0"/>
    <xf numFmtId="168" fontId="9" fillId="0" borderId="0" pivotButton="0" quotePrefix="0" xfId="0"/>
    <xf numFmtId="171" fontId="5" fillId="3" borderId="1" applyProtection="1" pivotButton="0" quotePrefix="0" xfId="0">
      <protection locked="0" hidden="0"/>
    </xf>
    <xf numFmtId="171" fontId="6" fillId="0" borderId="0" pivotButton="0" quotePrefix="0" xfId="0"/>
    <xf numFmtId="0" fontId="5" fillId="0" borderId="1" pivotButton="0" quotePrefix="0" xfId="0"/>
    <xf numFmtId="0" fontId="3" fillId="2" borderId="0" pivotButton="0" quotePrefix="0" xfId="0"/>
    <xf numFmtId="0" fontId="4" fillId="0" borderId="1" pivotButton="0" quotePrefix="0" xfId="0"/>
    <xf numFmtId="168" fontId="6" fillId="0" borderId="1" pivotButton="0" quotePrefix="0" xfId="0"/>
    <xf numFmtId="1" fontId="4" fillId="0" borderId="1" pivotButton="0" quotePrefix="0" xfId="0"/>
    <xf numFmtId="164" fontId="6" fillId="0" borderId="1" pivotButton="0" quotePrefix="0" xfId="0"/>
    <xf numFmtId="164" fontId="4" fillId="0" borderId="1" pivotButton="0" quotePrefix="0" xfId="0"/>
    <xf numFmtId="169" fontId="4" fillId="0" borderId="1" pivotButton="0" quotePrefix="0" xfId="0"/>
    <xf numFmtId="170" fontId="4" fillId="0" borderId="1" pivotButton="0" quotePrefix="0" xfId="0"/>
    <xf numFmtId="2" fontId="4" fillId="0" borderId="1" pivotButton="0" quotePrefix="0" xfId="0"/>
    <xf numFmtId="166" fontId="4" fillId="0" borderId="1" pivotButton="0" quotePrefix="0" xfId="0"/>
    <xf numFmtId="0" fontId="6" fillId="5" borderId="0" pivotButton="0" quotePrefix="0" xfId="0"/>
    <xf numFmtId="0" fontId="0" fillId="5" borderId="0" pivotButton="0" quotePrefix="0" xfId="0"/>
    <xf numFmtId="166" fontId="4" fillId="0" borderId="0" pivotButton="0" quotePrefix="0" xfId="0"/>
    <xf numFmtId="170" fontId="4" fillId="0" borderId="0" pivotButton="0" quotePrefix="0" xfId="0"/>
    <xf numFmtId="2" fontId="5" fillId="3" borderId="1" applyProtection="1" pivotButton="0" quotePrefix="0" xfId="0">
      <protection locked="0" hidden="0"/>
    </xf>
    <xf numFmtId="0" fontId="5" fillId="3" borderId="1" applyAlignment="1" applyProtection="1" pivotButton="0" quotePrefix="0" xfId="0">
      <alignment vertical="top" wrapText="1"/>
      <protection locked="0" hidden="0"/>
    </xf>
  </cellXfs>
  <cellStyles count="1">
    <cellStyle name="Normal" xfId="0" builtinId="0" hidden="0"/>
  </cellStyles>
  <dxfs count="6">
    <dxf>
      <font>
        <name val="Arial"/>
        <b val="1"/>
        <color rgb="00006100"/>
      </font>
      <fill>
        <patternFill patternType="solid">
          <fgColor rgb="00C6EFCE"/>
        </patternFill>
      </fill>
    </dxf>
    <dxf>
      <font>
        <name val="Arial"/>
        <b val="1"/>
        <color rgb="009C0006"/>
      </font>
      <fill>
        <patternFill patternType="solid">
          <fgColor rgb="00FFC7CE"/>
        </patternFill>
      </fill>
    </dxf>
    <dxf>
      <font>
        <name val="Arial"/>
        <color rgb="00006100"/>
      </font>
    </dxf>
    <dxf>
      <fill>
        <patternFill patternType="solid">
          <fgColor rgb="00F7F4FB"/>
        </patternFill>
      </fill>
    </dxf>
    <dxf>
      <fill>
        <patternFill patternType="solid">
          <fgColor rgb="00C6EFCE"/>
        </patternFill>
      </fill>
    </dxf>
    <dxf>
      <fill>
        <patternFill patternType="solid">
          <fgColor rgb="00FFF2C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xl/vbaProject.bin" Id="rIdVBA1" /></Relationships>
</file>

<file path=xl/comments/comment1.xml><?xml version="1.0" encoding="utf-8"?>
<comments xmlns="http://schemas.openxmlformats.org/spreadsheetml/2006/main">
  <authors>
    <author>Cotizador</author>
  </authors>
  <commentList>
    <comment ref="C4" authorId="0" shapeId="0">
      <text>
        <t>Fuente: carta de cotización del archivo original.</t>
      </text>
    </comment>
    <comment ref="C12" authorId="0" shapeId="0">
      <text>
        <t>Dato del archivo original (CM 24m!B17 = 20.5%). Actualícelo con su costo de fondeo vigente.</t>
      </text>
    </comment>
    <comment ref="C13" authorId="0" shapeId="0">
      <text>
        <t>El archivo original usaba 8% como meta por defecto en la macro AjustarCash.</t>
      </text>
    </comment>
    <comment ref="B35" authorId="0" shapeId="0">
      <text>
        <t>Textos tomados de la hoja "Carta Cotizacion" del archivo original.</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_rels/drawing2.xml.rels><Relationships xmlns="http://schemas.openxmlformats.org/package/2006/relationships"><Relationship Type="http://schemas.openxmlformats.org/officeDocument/2006/relationships/image" Target="/xl/media/image2.jpeg" Id="rId1" /></Relationships>
</file>

<file path=xl/drawings/_rels/drawing3.xml.rels><Relationships xmlns="http://schemas.openxmlformats.org/package/2006/relationships"><Relationship Type="http://schemas.openxmlformats.org/officeDocument/2006/relationships/image" Target="/xl/media/image3.jpeg" Id="rId1" /></Relationships>
</file>

<file path=xl/drawings/_rels/drawing4.xml.rels><Relationships xmlns="http://schemas.openxmlformats.org/package/2006/relationships"><Relationship Type="http://schemas.openxmlformats.org/officeDocument/2006/relationships/image" Target="/xl/media/image4.jpeg" Id="rId1" /></Relationships>
</file>

<file path=xl/drawings/drawing1.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409700" cy="666750"/>
    <pic>
      <nvPicPr>
        <cNvPr id="1" name="Image 1" descr="Picture"/>
        <cNvPicPr/>
      </nvPicPr>
      <blipFill>
        <a:blip cstate="print" r:embed="rId1"/>
        <a:stretch>
          <a:fillRect/>
        </a:stretch>
      </blipFill>
      <spPr>
        <a:prstGeom prst="rect"/>
      </spPr>
    </pic>
    <clientData/>
  </oneCellAnchor>
</wsDr>
</file>

<file path=xl/drawings/drawing2.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162050" cy="552450"/>
    <pic>
      <nvPicPr>
        <cNvPr id="1" name="Image 1" descr="Picture"/>
        <cNvPicPr/>
      </nvPicPr>
      <blipFill>
        <a:blip cstate="print" r:embed="rId1"/>
        <a:stretch>
          <a:fillRect/>
        </a:stretch>
      </blipFill>
      <spPr>
        <a:prstGeom prst="rect"/>
      </spPr>
    </pic>
    <clientData/>
  </oneCellAnchor>
</wsDr>
</file>

<file path=xl/drawings/drawing3.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247775" cy="590550"/>
    <pic>
      <nvPicPr>
        <cNvPr id="1" name="Image 1" descr="Picture"/>
        <cNvPicPr/>
      </nvPicPr>
      <blipFill>
        <a:blip cstate="print" r:embed="rId1"/>
        <a:stretch>
          <a:fillRect/>
        </a:stretch>
      </blipFill>
      <spPr>
        <a:prstGeom prst="rect"/>
      </spPr>
    </pic>
    <clientData/>
  </oneCellAnchor>
</wsDr>
</file>

<file path=xl/drawings/drawing4.xml><?xml version="1.0" encoding="utf-8"?>
<wsDr xmlns:a="http://schemas.openxmlformats.org/drawingml/2006/main" xmlns:r="http://schemas.openxmlformats.org/officeDocument/2006/relationships" xmlns="http://schemas.openxmlformats.org/drawingml/2006/spreadsheetDrawing">
  <oneCellAnchor>
    <from>
      <col>1</col>
      <colOff>0</colOff>
      <row>0</row>
      <rowOff>0</rowOff>
    </from>
    <ext cx="1104900" cy="523875"/>
    <pic>
      <nvPicPr>
        <cNvPr id="1" name="Image 1" descr="Picture"/>
        <cNvPicPr/>
      </nvPicPr>
      <blipFill>
        <a:blip cstate="print" r:embed="rId1"/>
        <a:stretch>
          <a:fillRect/>
        </a:stretch>
      </blipFill>
      <spPr>
        <a:prstGeom prst="rect"/>
      </spPr>
    </pic>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Cotizador'!A1" TargetMode="External" Id="rId1" /><Relationship Type="http://schemas.openxmlformats.org/officeDocument/2006/relationships/hyperlink" Target="#'Carta Cotizacion'!A1" TargetMode="External" Id="rId2" /><Relationship Type="http://schemas.openxmlformats.org/officeDocument/2006/relationships/hyperlink" Target="#'Tabla de Pagos'!A1" TargetMode="External" Id="rId3" /><Relationship Type="http://schemas.openxmlformats.org/officeDocument/2006/relationships/hyperlink" Target="#'Sensibilidad'!A1" TargetMode="External" Id="rId4" /><Relationship Type="http://schemas.openxmlformats.org/officeDocument/2006/relationships/hyperlink" Target="#'Historial'!A1" TargetMode="External" Id="rId5" /><Relationship Type="http://schemas.openxmlformats.org/officeDocument/2006/relationships/hyperlink" Target="#'Corrida 1'!A1" TargetMode="External" Id="rId6" /><Relationship Type="http://schemas.openxmlformats.org/officeDocument/2006/relationships/hyperlink" Target="#'Configuracion'!A1" TargetMode="External" Id="rId7" /><Relationship Type="http://schemas.openxmlformats.org/officeDocument/2006/relationships/drawing" Target="/xl/drawings/drawing1.xml" Id="rId8" /></Relationships>
</file>

<file path=xl/worksheets/_rels/sheet2.xml.rels><Relationships xmlns="http://schemas.openxmlformats.org/package/2006/relationships"><Relationship Type="http://schemas.openxmlformats.org/officeDocument/2006/relationships/drawing" Target="/xl/drawings/drawing2.xml" Id="rId1" /></Relationships>
</file>

<file path=xl/worksheets/_rels/sheet3.xml.rels><Relationships xmlns="http://schemas.openxmlformats.org/package/2006/relationships"><Relationship Type="http://schemas.openxmlformats.org/officeDocument/2006/relationships/drawing" Target="/xl/drawings/drawing3.xml" Id="rId1" /></Relationships>
</file>

<file path=xl/worksheets/_rels/sheet4.xml.rels><Relationships xmlns="http://schemas.openxmlformats.org/package/2006/relationships"><Relationship Type="http://schemas.openxmlformats.org/officeDocument/2006/relationships/drawing" Target="/xl/drawings/drawing4.xml" Id="rId1" /></Relationships>
</file>

<file path=xl/worksheets/_rels/sheet1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codeName="Hoja1">
    <tabColor rgb="004B2A7B"/>
    <outlinePr summaryBelow="1" summaryRight="1"/>
    <pageSetUpPr fitToPage="1"/>
  </sheetPr>
  <dimension ref="B2:C48"/>
  <sheetViews>
    <sheetView showGridLines="0" workbookViewId="0">
      <selection activeCell="A1" sqref="A1"/>
    </sheetView>
  </sheetViews>
  <sheetFormatPr baseColWidth="8" defaultRowHeight="15"/>
  <cols>
    <col width="2" customWidth="1" min="1" max="1"/>
    <col width="34" customWidth="1" min="2" max="2"/>
    <col width="70" customWidth="1" min="3" max="3"/>
    <col width="3" customWidth="1" min="4" max="4"/>
    <col width="3" customWidth="1" min="5" max="5"/>
    <col width="3" customWidth="1" min="6" max="6"/>
  </cols>
  <sheetData>
    <row r="2" ht="30" customHeight="1">
      <c r="C2" s="1" t="inlineStr">
        <is>
          <t>COTIZADOR DE ARRENDAMIENTO</t>
        </is>
      </c>
    </row>
    <row r="3">
      <c r="C3" s="2" t="inlineStr">
        <is>
          <t>Arrendamiento puro y financiero · 4 escenarios · cash margin · TIR · CAT · carta y tabla de pagos</t>
        </is>
      </c>
    </row>
    <row r="6" ht="20" customHeight="1">
      <c r="B6" s="3" t="inlineStr">
        <is>
          <t>PASOS PARA COTIZAR</t>
        </is>
      </c>
      <c r="C6" s="3" t="n"/>
    </row>
    <row r="7" ht="30" customHeight="1">
      <c r="B7" s="4" t="inlineStr">
        <is>
          <t>1. Nueva cotización</t>
        </is>
      </c>
      <c r="C7" s="5" t="inlineStr">
        <is>
          <t>Cinta "Cotizador Arrendamiento" → Nueva cotización (o Ctrl+Shift+N). Limpia la captura y asigna folio.</t>
        </is>
      </c>
    </row>
    <row r="8" ht="30" customHeight="1">
      <c r="B8" s="4" t="inlineStr">
        <is>
          <t>2. Capturar datos</t>
        </is>
      </c>
      <c r="C8" s="5" t="inlineStr">
        <is>
          <t>En la hoja Cotizador llene solo las celdas AMARILLAS (texto azul): cliente, equipo, valor, fechas y los 4 escenarios.</t>
        </is>
      </c>
    </row>
    <row r="9" ht="30" customHeight="1">
      <c r="B9" s="4" t="inlineStr">
        <is>
          <t>3. Revisar rentabilidad</t>
        </is>
      </c>
      <c r="C9" s="5" t="inlineStr">
        <is>
          <t>Sección 5 del Cotizador: cash margin, TIR y dictamen (verde = cumple). Si no cumple use "Aplicar tasa mínima".</t>
        </is>
      </c>
    </row>
    <row r="10" ht="30" customHeight="1">
      <c r="B10" s="4" t="inlineStr">
        <is>
          <t>4. Revisar la carta</t>
        </is>
      </c>
      <c r="C10" s="5" t="inlineStr">
        <is>
          <t>Hoja Carta Cotizacion: lista para imprimir. Los escenarios con "Incluir = No" no aparecen.</t>
        </is>
      </c>
    </row>
    <row r="11" ht="30" customHeight="1">
      <c r="B11" s="4" t="inlineStr">
        <is>
          <t>5. Entregar</t>
        </is>
      </c>
      <c r="C11" s="5" t="inlineStr">
        <is>
          <t>Carta en PDF (Ctrl+Shift+P), Tabla de pagos en PDF o Enviar por correo (Outlook).</t>
        </is>
      </c>
    </row>
    <row r="12" ht="30" customHeight="1">
      <c r="B12" s="4" t="inlineStr">
        <is>
          <t>6. Guardar</t>
        </is>
      </c>
      <c r="C12" s="5" t="inlineStr">
        <is>
          <t>Guardar en historial (Ctrl+Shift+G). Desde Historial puede volver a cargar cualquier folio.</t>
        </is>
      </c>
    </row>
    <row r="14" ht="20" customHeight="1">
      <c r="B14" s="3" t="inlineStr">
        <is>
          <t>IR A…</t>
        </is>
      </c>
      <c r="C14" s="3" t="n"/>
    </row>
    <row r="15">
      <c r="B15" s="6" t="inlineStr">
        <is>
          <t>Cotizador</t>
        </is>
      </c>
      <c r="C15" s="7" t="inlineStr">
        <is>
          <t>Captura y resultados</t>
        </is>
      </c>
    </row>
    <row r="16">
      <c r="B16" s="6" t="inlineStr">
        <is>
          <t>Carta Cotizacion</t>
        </is>
      </c>
      <c r="C16" s="7" t="inlineStr">
        <is>
          <t>Carta para el cliente</t>
        </is>
      </c>
    </row>
    <row r="17">
      <c r="B17" s="6" t="inlineStr">
        <is>
          <t>Tabla de Pagos</t>
        </is>
      </c>
      <c r="C17" s="7" t="inlineStr">
        <is>
          <t>Calendario de pagos con IVA</t>
        </is>
      </c>
    </row>
    <row r="18">
      <c r="B18" s="6" t="inlineStr">
        <is>
          <t>Sensibilidad</t>
        </is>
      </c>
      <c r="C18" s="7" t="inlineStr">
        <is>
          <t>Matriz de rentas por plazo y tasa</t>
        </is>
      </c>
    </row>
    <row r="19">
      <c r="B19" s="6" t="inlineStr">
        <is>
          <t>Historial</t>
        </is>
      </c>
      <c r="C19" s="7" t="inlineStr">
        <is>
          <t>Registro de cotizaciones</t>
        </is>
      </c>
    </row>
    <row r="20">
      <c r="B20" s="6" t="inlineStr">
        <is>
          <t>Corrida 1</t>
        </is>
      </c>
      <c r="C20" s="7" t="inlineStr">
        <is>
          <t>Corrida financiera detallada (también 2, 3 y 4)</t>
        </is>
      </c>
    </row>
    <row r="21">
      <c r="B21" s="6" t="inlineStr">
        <is>
          <t>Configuracion</t>
        </is>
      </c>
      <c r="C21" s="7" t="inlineStr">
        <is>
          <t>Empresa, IVA, fondeo, promotores, textos (administrador)</t>
        </is>
      </c>
    </row>
    <row r="23" ht="20" customHeight="1">
      <c r="B23" s="3" t="inlineStr">
        <is>
          <t>CÓDIGO DE COLORES</t>
        </is>
      </c>
      <c r="C23" s="3" t="n"/>
    </row>
    <row r="24">
      <c r="B24" s="8" t="inlineStr">
        <is>
          <t>Celda amarilla, texto azul</t>
        </is>
      </c>
      <c r="C24" s="7" t="inlineStr">
        <is>
          <t>Dato que usted captura</t>
        </is>
      </c>
    </row>
    <row r="25">
      <c r="B25" s="9" t="inlineStr">
        <is>
          <t>Texto verde</t>
        </is>
      </c>
      <c r="C25" s="7" t="inlineStr">
        <is>
          <t>Resultado tomado de otra hoja (no editar)</t>
        </is>
      </c>
    </row>
    <row r="26">
      <c r="B26" s="7" t="inlineStr">
        <is>
          <t>Texto negro</t>
        </is>
      </c>
      <c r="C26" s="7" t="inlineStr">
        <is>
          <t>Fórmula (no editar)</t>
        </is>
      </c>
    </row>
    <row r="28" ht="20" customHeight="1">
      <c r="B28" s="3" t="inlineStr">
        <is>
          <t>MACROS DISPONIBLES (cinta "Cotizador Arrendamiento" o Alt+F8)</t>
        </is>
      </c>
      <c r="C28" s="3" t="n"/>
    </row>
    <row r="29">
      <c r="B29" s="4" t="inlineStr">
        <is>
          <t>NuevaCotizacion  (Ctrl+Shift+N)</t>
        </is>
      </c>
      <c r="C29" s="5" t="inlineStr">
        <is>
          <t>Limpia la captura, pone valores por defecto y el siguiente folio.</t>
        </is>
      </c>
    </row>
    <row r="30">
      <c r="B30" s="4" t="inlineStr">
        <is>
          <t>GuardarCotizacion  (Ctrl+Shift+G)</t>
        </is>
      </c>
      <c r="C30" s="5" t="inlineStr">
        <is>
          <t>Agrega/actualiza el folio en Historial con todos los datos capturados.</t>
        </is>
      </c>
    </row>
    <row r="31">
      <c r="B31" s="4" t="inlineStr">
        <is>
          <t>CargarCotizacion</t>
        </is>
      </c>
      <c r="C31" s="5" t="inlineStr">
        <is>
          <t>Recupera una cotización del Historial (fila seleccionada o folio).</t>
        </is>
      </c>
    </row>
    <row r="32">
      <c r="B32" s="4" t="inlineStr">
        <is>
          <t>ExportarCartaPDF  (Ctrl+Shift+P)</t>
        </is>
      </c>
      <c r="C32" s="5" t="inlineStr">
        <is>
          <t>Guarda la carta en PDF: Cotizacion_&lt;folio&gt;_&lt;cliente&gt;.pdf</t>
        </is>
      </c>
    </row>
    <row r="33">
      <c r="B33" s="4" t="inlineStr">
        <is>
          <t>ExportarTablaPDF</t>
        </is>
      </c>
      <c r="C33" s="5" t="inlineStr">
        <is>
          <t>Guarda la tabla de pagos del escenario elegido en PDF.</t>
        </is>
      </c>
    </row>
    <row r="34">
      <c r="B34" s="4" t="inlineStr">
        <is>
          <t>EnviarPorCorreo</t>
        </is>
      </c>
      <c r="C34" s="5" t="inlineStr">
        <is>
          <t>Genera el PDF y abre un correo de Outlook al cliente con el PDF adjunto.</t>
        </is>
      </c>
    </row>
    <row r="35">
      <c r="B35" s="4" t="inlineStr">
        <is>
          <t>AplicarTasaMinima</t>
        </is>
      </c>
      <c r="C35" s="5" t="inlineStr">
        <is>
          <t>Pone en el escenario la tasa mínima que cumple el cash margin objetivo.</t>
        </is>
      </c>
    </row>
    <row r="36">
      <c r="B36" s="4" t="inlineStr">
        <is>
          <t>TasaParaRentaDeseada</t>
        </is>
      </c>
      <c r="C36" s="5" t="inlineStr">
        <is>
          <t>Calcula y aplica la tasa que da la renta que pide el cliente.</t>
        </is>
      </c>
    </row>
    <row r="37">
      <c r="B37" s="4" t="inlineStr">
        <is>
          <t>CopiarEscenario1</t>
        </is>
      </c>
      <c r="C37" s="5" t="inlineStr">
        <is>
          <t>Copia tasas, enganche, residual, comisión, seguros, etc. del escenario 1 a los demás.</t>
        </is>
      </c>
    </row>
    <row r="38">
      <c r="B38" s="4" t="inlineStr">
        <is>
          <t>ProtegerHojas / DesprotegerHojas</t>
        </is>
      </c>
      <c r="C38" s="5" t="inlineStr">
        <is>
          <t>Protege (sin contraseña) las fórmulas para evitar borrados accidentales.</t>
        </is>
      </c>
    </row>
    <row r="40" ht="20" customHeight="1">
      <c r="B40" s="3" t="inlineStr">
        <is>
          <t>MODELO MATEMÁTICO</t>
        </is>
      </c>
      <c r="C40" s="3" t="n"/>
    </row>
    <row r="41" ht="42" customHeight="1">
      <c r="B41" s="4" t="inlineStr">
        <is>
          <t>Renta básica</t>
        </is>
      </c>
      <c r="C41" s="5" t="inlineStr">
        <is>
          <t>R = PMT(i, n, −M, VR, tipo), con i = tasa anual/12, M = valor − enganche + seguro/GPS financiados, VR = residual × valor, tipo = 1 anticipado / 0 vencido.</t>
        </is>
      </c>
    </row>
    <row r="42" ht="42" customHeight="1">
      <c r="B42" s="4" t="inlineStr">
        <is>
          <t>Renta sucesiva</t>
        </is>
      </c>
      <c r="C42" s="5" t="inlineStr">
        <is>
          <t>Rs = PMT(i2, m, −PF, 0, tipo). Si m = 0 el pago final se cobra como opción de compra única.</t>
        </is>
      </c>
    </row>
    <row r="43" ht="42" customHeight="1">
      <c r="B43" s="4" t="inlineStr">
        <is>
          <t>Amortización</t>
        </is>
      </c>
      <c r="C43" s="5" t="inlineStr">
        <is>
          <t>Interés_t = (Saldo_t − tipo × Pago_t) × i ; Capital = Pago − Interés. El saldo al final del plazo básico es exactamente VR y termina en 0.</t>
        </is>
      </c>
    </row>
    <row r="44" ht="42" customHeight="1">
      <c r="B44" s="4" t="inlineStr">
        <is>
          <t>Cash margin</t>
        </is>
      </c>
      <c r="C44" s="5" t="inlineStr">
        <is>
          <t>CM = flujo en firma + Σ flujo_t × (1+fondeo/360)^(−días) × (1+fondeo/12)^(−t). Flujo en firma = −(valor + financiados) + enganche + comisión + renta proporcional + depósito − comisión banco. El depósito se devuelve en el último pago.</t>
        </is>
      </c>
    </row>
    <row r="45" ht="42" customHeight="1">
      <c r="B45" s="4" t="inlineStr">
        <is>
          <t>Tasa mínima</t>
        </is>
      </c>
      <c r="C45" s="5" t="inlineStr">
        <is>
          <t>CM es lineal en R: CM(R) = A + B·R. Renta mínima = (CM objetivo × M − A)/B ; tasa mínima = RATE(n, Rmín, −M, VR, tipo) × 12. Sin tanteos ni Buscar objetivo.</t>
        </is>
      </c>
    </row>
    <row r="46" ht="42" customHeight="1">
      <c r="B46" s="4" t="inlineStr">
        <is>
          <t>TIR y CAT</t>
        </is>
      </c>
      <c r="C46" s="5" t="inlineStr">
        <is>
          <t>TIR = XIRR de los flujos del arrendador con fechas reales. CAT informativo = XIRR de los flujos del cliente sin IVA (no oficial).</t>
        </is>
      </c>
    </row>
    <row r="48">
      <c r="B48" s="10" t="inlineStr">
        <is>
          <t>Versión 2.0 – octubre 2026</t>
        </is>
      </c>
    </row>
  </sheetData>
  <hyperlinks>
    <hyperlink xmlns:r="http://schemas.openxmlformats.org/officeDocument/2006/relationships" ref="B15" r:id="rId1"/>
    <hyperlink xmlns:r="http://schemas.openxmlformats.org/officeDocument/2006/relationships" ref="B16" r:id="rId2"/>
    <hyperlink xmlns:r="http://schemas.openxmlformats.org/officeDocument/2006/relationships" ref="B17" r:id="rId3"/>
    <hyperlink xmlns:r="http://schemas.openxmlformats.org/officeDocument/2006/relationships" ref="B18" r:id="rId4"/>
    <hyperlink xmlns:r="http://schemas.openxmlformats.org/officeDocument/2006/relationships" ref="B19" r:id="rId5"/>
    <hyperlink xmlns:r="http://schemas.openxmlformats.org/officeDocument/2006/relationships" ref="B20" r:id="rId6"/>
    <hyperlink xmlns:r="http://schemas.openxmlformats.org/officeDocument/2006/relationships" ref="B21" r:id="rId7"/>
  </hyperlinks>
  <pageMargins left="0.75" right="0.75" top="1" bottom="1" header="0.5" footer="0.5"/>
  <pageSetup orientation="portrait" paperSize="1" fitToHeight="0" fitToWidth="1"/>
  <drawing xmlns:r="http://schemas.openxmlformats.org/officeDocument/2006/relationships" r:id="rId8"/>
</worksheet>
</file>

<file path=xl/worksheets/sheet2.xml><?xml version="1.0" encoding="utf-8"?>
<worksheet xmlns="http://schemas.openxmlformats.org/spreadsheetml/2006/main">
  <sheetPr codeName="Hoja2">
    <tabColor rgb="00FFC000"/>
    <outlinePr summaryBelow="1" summaryRight="1"/>
    <pageSetUpPr fitToPage="1"/>
  </sheetPr>
  <dimension ref="B1:H73"/>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46" customWidth="1" min="2" max="2"/>
    <col width="18" customWidth="1" min="3" max="3"/>
    <col width="18" customWidth="1" min="4" max="4"/>
    <col width="18" customWidth="1" min="5" max="5"/>
    <col width="18" customWidth="1" min="6" max="6"/>
    <col width="2" customWidth="1" min="7" max="7"/>
    <col width="60" customWidth="1" min="8" max="8"/>
  </cols>
  <sheetData>
    <row r="1" ht="22" customHeight="1">
      <c r="C1" s="11" t="inlineStr">
        <is>
          <t>COTIZADOR DE ARRENDAMIENTO</t>
        </is>
      </c>
      <c r="H1" s="4" t="inlineStr">
        <is>
          <t>CÓMO USAR</t>
        </is>
      </c>
    </row>
    <row r="2" ht="22" customHeight="1">
      <c r="C2" s="2" t="inlineStr">
        <is>
          <t>Corridas financieras, cash margin, TIR y carta para el cliente</t>
        </is>
      </c>
      <c r="H2" s="12" t="inlineStr">
        <is>
          <t>1) Capture las celdas AMARILLAS (texto azul). 2) Revise resultados y semáforo. 3) Use la pestaña "Cotizador Arrendamiento" de la cinta (o Alt+F8) para guardar, generar PDF o enviar.</t>
        </is>
      </c>
    </row>
    <row r="3" ht="22" customHeight="1">
      <c r="C3" s="13" t="str">
        <f>"Folio: "&amp;inp_Folio&amp;"   |   "&amp;inp_Cliente</f>
        <v>Folio: COT-0001   |   CLIENTE DE EJEMPLO, S.A. DE C.V.</v>
      </c>
    </row>
    <row r="4"/>
    <row r="5" ht="20" customHeight="1">
      <c r="B5" s="3" t="inlineStr">
        <is>
          <t>1. DATOS DEL CLIENTE</t>
        </is>
      </c>
      <c r="C5" s="3" t="n"/>
      <c r="D5" s="3" t="n"/>
      <c r="E5" s="3" t="n"/>
      <c r="F5" s="3" t="n"/>
      <c r="G5" s="3" t="n"/>
      <c r="H5" s="3" t="n"/>
    </row>
    <row r="6">
      <c r="B6" s="7" t="inlineStr">
        <is>
          <t>Folio de la cotización</t>
        </is>
      </c>
      <c r="C6" s="14" t="inlineStr">
        <is>
          <t>COT-0001</t>
        </is>
      </c>
      <c r="D6" s="15" t="n"/>
      <c r="E6" s="15" t="n"/>
      <c r="F6" s="16" t="n"/>
      <c r="H6" s="10" t="inlineStr">
        <is>
          <t>La macro "Nueva cotización" asigna el siguiente folio automáticamente.</t>
        </is>
      </c>
    </row>
    <row r="7">
      <c r="B7" s="7" t="inlineStr">
        <is>
          <t>Fecha de la cotización</t>
        </is>
      </c>
      <c r="C7" s="17" t="n">
        <v>46300</v>
      </c>
      <c r="D7" s="15" t="n"/>
      <c r="E7" s="15" t="n"/>
      <c r="F7" s="16" t="n"/>
      <c r="H7" s="10" t="inlineStr">
        <is>
          <t>Fecha que aparece en la carta.</t>
        </is>
      </c>
    </row>
    <row r="8">
      <c r="B8" s="7" t="inlineStr">
        <is>
          <t>Cliente / Arrendatario (razón social)</t>
        </is>
      </c>
      <c r="C8" s="14" t="inlineStr">
        <is>
          <t>CLIENTE DE EJEMPLO, S.A. DE C.V.</t>
        </is>
      </c>
      <c r="D8" s="15" t="n"/>
      <c r="E8" s="15" t="n"/>
      <c r="F8" s="16" t="n"/>
      <c r="H8" s="10" t="inlineStr">
        <is>
          <t>Razón social completa del arrendatario.</t>
        </is>
      </c>
    </row>
    <row r="9">
      <c r="B9" s="7" t="inlineStr">
        <is>
          <t>RFC del cliente</t>
        </is>
      </c>
      <c r="C9" s="14" t="inlineStr"/>
      <c r="D9" s="15" t="n"/>
      <c r="E9" s="15" t="n"/>
      <c r="F9" s="16" t="n"/>
      <c r="H9" s="10" t="inlineStr">
        <is>
          <t>Opcional.</t>
        </is>
      </c>
    </row>
    <row r="10">
      <c r="B10" s="7" t="inlineStr">
        <is>
          <t>Atención a (nombre del contacto)</t>
        </is>
      </c>
      <c r="C10" s="14" t="inlineStr"/>
      <c r="D10" s="15" t="n"/>
      <c r="E10" s="15" t="n"/>
      <c r="F10" s="16" t="n"/>
      <c r="H10" s="10" t="inlineStr">
        <is>
          <t>Opcional. Aparece en la carta como "At'n".</t>
        </is>
      </c>
    </row>
    <row r="11">
      <c r="B11" s="7" t="inlineStr">
        <is>
          <t>Correo electrónico del cliente</t>
        </is>
      </c>
      <c r="C11" s="14" t="inlineStr"/>
      <c r="D11" s="15" t="n"/>
      <c r="E11" s="15" t="n"/>
      <c r="F11" s="16" t="n"/>
      <c r="H11" s="10" t="inlineStr">
        <is>
          <t>Se usa para el botón "Enviar por correo".</t>
        </is>
      </c>
    </row>
    <row r="12">
      <c r="B12" s="7" t="inlineStr">
        <is>
          <t>Proveedor del equipo</t>
        </is>
      </c>
      <c r="C12" s="14" t="inlineStr"/>
      <c r="D12" s="15" t="n"/>
      <c r="E12" s="15" t="n"/>
      <c r="F12" s="16" t="n"/>
      <c r="H12" s="10" t="inlineStr"/>
    </row>
    <row r="13">
      <c r="B13" s="7" t="inlineStr">
        <is>
          <t>Descripción del equipo</t>
        </is>
      </c>
      <c r="C13" s="14" t="inlineStr">
        <is>
          <t>Auto BYD M9 2026</t>
        </is>
      </c>
      <c r="D13" s="15" t="n"/>
      <c r="E13" s="15" t="n"/>
      <c r="F13" s="16" t="n"/>
      <c r="H13" s="10" t="inlineStr">
        <is>
          <t>Marca, modelo, año, cantidad.</t>
        </is>
      </c>
    </row>
    <row r="14">
      <c r="B14" s="7" t="inlineStr">
        <is>
          <t>Promotor</t>
        </is>
      </c>
      <c r="C14" s="14" t="inlineStr">
        <is>
          <t>NOMBRE DEL PROMOTOR</t>
        </is>
      </c>
      <c r="D14" s="15" t="n"/>
      <c r="E14" s="15" t="n"/>
      <c r="F14" s="16" t="n"/>
      <c r="H14" s="10" t="inlineStr">
        <is>
          <t>Lista editable en la hoja Configuracion.</t>
        </is>
      </c>
    </row>
    <row r="15">
      <c r="B15" s="7" t="inlineStr">
        <is>
          <t>Obligado solidario</t>
        </is>
      </c>
      <c r="C15" s="14" t="inlineStr">
        <is>
          <t>Por definir</t>
        </is>
      </c>
      <c r="D15" s="15" t="n"/>
      <c r="E15" s="15" t="n"/>
      <c r="F15" s="16" t="n"/>
      <c r="H15" s="10" t="inlineStr"/>
    </row>
    <row r="17" ht="20" customHeight="1">
      <c r="B17" s="3" t="inlineStr">
        <is>
          <t>2. CONDICIONES GENERALES DE LA OPERACIÓN</t>
        </is>
      </c>
      <c r="C17" s="3" t="n"/>
      <c r="D17" s="3" t="n"/>
      <c r="E17" s="3" t="n"/>
      <c r="F17" s="3" t="n"/>
      <c r="G17" s="3" t="n"/>
      <c r="H17" s="3" t="n"/>
    </row>
    <row r="18">
      <c r="B18" s="7" t="inlineStr">
        <is>
          <t>Tipo de arrendamiento</t>
        </is>
      </c>
      <c r="C18" s="14" t="inlineStr">
        <is>
          <t>Arrendamiento Puro</t>
        </is>
      </c>
      <c r="H18" s="18" t="inlineStr">
        <is>
          <t>Puro: IVA sobre la renta completa. Financiero: según Configuracion.</t>
        </is>
      </c>
    </row>
    <row r="19">
      <c r="B19" s="7" t="inlineStr">
        <is>
          <t>Moneda</t>
        </is>
      </c>
      <c r="C19" s="14" t="inlineStr">
        <is>
          <t>Moneda Nacional</t>
        </is>
      </c>
      <c r="H19" s="18" t="inlineStr">
        <is>
          <t>Todos los montos se capturan en la moneda de la operación.</t>
        </is>
      </c>
    </row>
    <row r="20">
      <c r="B20" s="7" t="inlineStr">
        <is>
          <t>Tipo de cambio (informativo)</t>
        </is>
      </c>
      <c r="C20" s="19" t="n">
        <v>1</v>
      </c>
      <c r="H20" s="18" t="inlineStr">
        <is>
          <t>Solo informativo; capture 1 si es Moneda Nacional.</t>
        </is>
      </c>
    </row>
    <row r="21">
      <c r="B21" s="7" t="inlineStr">
        <is>
          <t>Modalidad de pago de las rentas</t>
        </is>
      </c>
      <c r="C21" s="14" t="inlineStr">
        <is>
          <t>Anticipado</t>
        </is>
      </c>
      <c r="H21" s="18" t="inlineStr">
        <is>
          <t>Anticipado: la renta se paga al inicio de cada mes. Vencido: al final. Cambia la fórmula de la renta (PMT tipo 1 ó 0).</t>
        </is>
      </c>
    </row>
    <row r="22">
      <c r="B22" s="7" t="inlineStr">
        <is>
          <t>Valor del equipo (sin IVA)</t>
        </is>
      </c>
      <c r="C22" s="20" t="n">
        <v>758450</v>
      </c>
      <c r="H22" s="18" t="inlineStr">
        <is>
          <t>Precio de factura del proveedor antes de IVA (ejemplo: archivo original).</t>
        </is>
      </c>
    </row>
    <row r="23">
      <c r="B23" s="7" t="inlineStr">
        <is>
          <t xml:space="preserve">   IVA del equipo</t>
        </is>
      </c>
      <c r="C23" s="21">
        <f>inp_Valor*par_IVA</f>
        <v>121352</v>
      </c>
    </row>
    <row r="24">
      <c r="B24" s="7" t="inlineStr">
        <is>
          <t xml:space="preserve">   Valor del equipo con IVA</t>
        </is>
      </c>
      <c r="C24" s="21">
        <f>inp_Valor+C23</f>
        <v>879802</v>
      </c>
      <c r="D24" s="10" t="str">
        <f>IF(inp_TC&lt;&gt;1,"Equivalente MXN: "&amp;TEXT(C24*inp_TC,"$#,##0.00"),"")</f>
        <v/>
      </c>
    </row>
    <row r="25">
      <c r="B25" s="7" t="inlineStr">
        <is>
          <t>Fecha de firma / pago al proveedor</t>
        </is>
      </c>
      <c r="C25" s="17" t="n">
        <v>46295</v>
      </c>
      <c r="H25" s="18" t="inlineStr">
        <is>
          <t>Fecha del desembolso; aquí se cobran enganche, comisión, depósito y renta proporcional.</t>
        </is>
      </c>
    </row>
    <row r="26">
      <c r="B26" s="7" t="inlineStr">
        <is>
          <t>Fecha de la primera renta</t>
        </is>
      </c>
      <c r="C26" s="17" t="n">
        <v>46296</v>
      </c>
      <c r="H26" s="18" t="inlineStr">
        <is>
          <t>Si hay días entre la firma y el inicio del plazo se cobra renta proporcional (renta/30 x días).</t>
        </is>
      </c>
    </row>
    <row r="27">
      <c r="B27" s="7" t="inlineStr">
        <is>
          <t>Comisión banco / alianza ($, uso interno)</t>
        </is>
      </c>
      <c r="C27" s="20" t="n">
        <v>0</v>
      </c>
      <c r="H27" s="18" t="inlineStr">
        <is>
          <t>Costo pagado a un tercero; reduce el cash margin.</t>
        </is>
      </c>
    </row>
    <row r="28">
      <c r="B28" s="7" t="inlineStr">
        <is>
          <t>Tasa de fondeo anual (uso interno)</t>
        </is>
      </c>
      <c r="C28" s="22" t="n">
        <v>0.205</v>
      </c>
      <c r="H28" s="18" t="inlineStr">
        <is>
          <t>Costo del dinero para calcular cash margin. Valor inicial desde Configuracion.</t>
        </is>
      </c>
    </row>
    <row r="29">
      <c r="B29" s="7" t="inlineStr">
        <is>
          <t>Cash margin objetivo (% del monto financiado)</t>
        </is>
      </c>
      <c r="C29" s="22" t="n">
        <v>0.08</v>
      </c>
      <c r="H29" s="18" t="inlineStr">
        <is>
          <t>Meta interna; con ella se calcula la tasa mínima por escenario.</t>
        </is>
      </c>
    </row>
    <row r="31" ht="20" customHeight="1">
      <c r="B31" s="3" t="inlineStr">
        <is>
          <t>3. ESCENARIOS A COTIZAR (hasta 4 plazos en la misma carta)</t>
        </is>
      </c>
      <c r="C31" s="3" t="n"/>
      <c r="D31" s="3" t="n"/>
      <c r="E31" s="3" t="n"/>
      <c r="F31" s="3" t="n"/>
      <c r="G31" s="3" t="n"/>
      <c r="H31" s="3" t="n"/>
    </row>
    <row r="32">
      <c r="B32" s="23" t="inlineStr">
        <is>
          <t>Concepto</t>
        </is>
      </c>
      <c r="C32" s="24" t="inlineStr">
        <is>
          <t>Escenario 1</t>
        </is>
      </c>
      <c r="D32" s="24" t="inlineStr">
        <is>
          <t>Escenario 2</t>
        </is>
      </c>
      <c r="E32" s="24" t="inlineStr">
        <is>
          <t>Escenario 3</t>
        </is>
      </c>
      <c r="F32" s="24" t="inlineStr">
        <is>
          <t>Escenario 4</t>
        </is>
      </c>
    </row>
    <row r="33">
      <c r="B33" s="7" t="inlineStr">
        <is>
          <t>Incluir en la carta</t>
        </is>
      </c>
      <c r="C33" s="25" t="inlineStr">
        <is>
          <t>Sí</t>
        </is>
      </c>
      <c r="D33" s="25" t="inlineStr">
        <is>
          <t>Sí</t>
        </is>
      </c>
      <c r="E33" s="25" t="inlineStr">
        <is>
          <t>Sí</t>
        </is>
      </c>
      <c r="F33" s="25" t="inlineStr">
        <is>
          <t>Sí</t>
        </is>
      </c>
      <c r="H33" s="18" t="inlineStr">
        <is>
          <t>Elija "No" para ocultar el escenario en la carta.</t>
        </is>
      </c>
    </row>
    <row r="34">
      <c r="B34" s="7" t="inlineStr">
        <is>
          <t>Plazo básico (meses)</t>
        </is>
      </c>
      <c r="C34" s="26" t="n">
        <v>24</v>
      </c>
      <c r="D34" s="26" t="n">
        <v>36</v>
      </c>
      <c r="E34" s="26" t="n">
        <v>48</v>
      </c>
      <c r="F34" s="26" t="n">
        <v>60</v>
      </c>
      <c r="H34" s="18" t="inlineStr">
        <is>
          <t>1 a 84 meses.</t>
        </is>
      </c>
    </row>
    <row r="35">
      <c r="B35" s="7" t="inlineStr">
        <is>
          <t>Plazo sucesivo (meses; 0 = opción de compra)</t>
        </is>
      </c>
      <c r="C35" s="26" t="n">
        <v>1</v>
      </c>
      <c r="D35" s="26" t="n">
        <v>1</v>
      </c>
      <c r="E35" s="26" t="n">
        <v>1</v>
      </c>
      <c r="F35" s="26" t="n">
        <v>1</v>
      </c>
      <c r="H35" s="18" t="inlineStr">
        <is>
          <t>El valor residual se cobra en rentas del plazo sucesivo. Con 0 se cobra como opción de compra única.</t>
        </is>
      </c>
    </row>
    <row r="36">
      <c r="B36" s="7" t="inlineStr">
        <is>
          <t>Tasa anual plazo básico</t>
        </is>
      </c>
      <c r="C36" s="27" t="n">
        <v>0.17</v>
      </c>
      <c r="D36" s="27" t="n">
        <v>0.17</v>
      </c>
      <c r="E36" s="27" t="n">
        <v>0.17</v>
      </c>
      <c r="F36" s="27" t="n">
        <v>0.17</v>
      </c>
      <c r="H36" s="18" t="inlineStr">
        <is>
          <t>Tasa nominal anual; se divide entre 12 (pagos mensuales).</t>
        </is>
      </c>
    </row>
    <row r="37">
      <c r="B37" s="7" t="inlineStr">
        <is>
          <t>Tasa anual plazo sucesivo</t>
        </is>
      </c>
      <c r="C37" s="27" t="n">
        <v>0.17</v>
      </c>
      <c r="D37" s="27" t="n">
        <v>0.17</v>
      </c>
      <c r="E37" s="27" t="n">
        <v>0.17</v>
      </c>
      <c r="F37" s="27" t="n">
        <v>0.17</v>
      </c>
      <c r="H37" s="18" t="inlineStr"/>
    </row>
    <row r="38">
      <c r="B38" s="7" t="inlineStr">
        <is>
          <t>Enganche / downpayment (% del valor)</t>
        </is>
      </c>
      <c r="C38" s="27" t="n">
        <v>0.05</v>
      </c>
      <c r="D38" s="27" t="n">
        <v>0.05</v>
      </c>
      <c r="E38" s="27" t="n">
        <v>0.05</v>
      </c>
      <c r="F38" s="27" t="n">
        <v>0.05</v>
      </c>
      <c r="H38" s="18" t="inlineStr">
        <is>
          <t>Archivo original: 5%.</t>
        </is>
      </c>
    </row>
    <row r="39">
      <c r="B39" s="7" t="inlineStr">
        <is>
          <t>Valor residual (% del valor)</t>
        </is>
      </c>
      <c r="C39" s="27" t="n">
        <v>0.05</v>
      </c>
      <c r="D39" s="27" t="n">
        <v>0.05</v>
      </c>
      <c r="E39" s="27" t="n">
        <v>0.05</v>
      </c>
      <c r="F39" s="27" t="n">
        <v>0.05</v>
      </c>
      <c r="H39" s="18" t="inlineStr">
        <is>
          <t>Saldo que queda al final del plazo básico (valor futuro en la fórmula de renta).</t>
        </is>
      </c>
    </row>
    <row r="40">
      <c r="B40" s="7" t="inlineStr">
        <is>
          <t>Pago final distinto al residual (% del valor, opcional)</t>
        </is>
      </c>
      <c r="C40" s="27" t="n"/>
      <c r="D40" s="27" t="n"/>
      <c r="E40" s="27" t="n"/>
      <c r="F40" s="27" t="n"/>
      <c r="H40" s="18" t="inlineStr">
        <is>
          <t>Déjelo VACÍO para que el pago final sea igual al residual (corrida que cuadra en cero).</t>
        </is>
      </c>
    </row>
    <row r="41">
      <c r="B41" s="7" t="inlineStr">
        <is>
          <t>Comisión por apertura (% del valor)</t>
        </is>
      </c>
      <c r="C41" s="27" t="n">
        <v>0.008</v>
      </c>
      <c r="D41" s="27" t="n">
        <v>0.008</v>
      </c>
      <c r="E41" s="27" t="n">
        <v>0.008</v>
      </c>
      <c r="F41" s="27" t="n">
        <v>0.008</v>
      </c>
      <c r="H41" s="18" t="inlineStr">
        <is>
          <t>Archivo original: 0.8% sobre el valor del equipo.</t>
        </is>
      </c>
    </row>
    <row r="42">
      <c r="B42" s="7" t="inlineStr">
        <is>
          <t>Depósito en garantía (# de rentas con IVA)</t>
        </is>
      </c>
      <c r="C42" s="28" t="n">
        <v>1</v>
      </c>
      <c r="D42" s="28" t="n">
        <v>1</v>
      </c>
      <c r="E42" s="28" t="n">
        <v>1</v>
      </c>
      <c r="F42" s="28" t="n">
        <v>1</v>
      </c>
      <c r="H42" s="18" t="inlineStr">
        <is>
          <t>Se devuelve/aplica en el último pago.</t>
        </is>
      </c>
    </row>
    <row r="43">
      <c r="B43" s="7" t="inlineStr">
        <is>
          <t>Seguro del equipo (monto total sin IVA)</t>
        </is>
      </c>
      <c r="C43" s="29" t="n">
        <v>0</v>
      </c>
      <c r="D43" s="29" t="n">
        <v>0</v>
      </c>
      <c r="E43" s="29" t="n">
        <v>0</v>
      </c>
      <c r="F43" s="29" t="n">
        <v>0</v>
      </c>
      <c r="H43" s="18" t="inlineStr">
        <is>
          <t>Monto de la póliza por todo el plazo.</t>
        </is>
      </c>
    </row>
    <row r="44">
      <c r="B44" s="7" t="inlineStr">
        <is>
          <t>Seguro: forma de pago</t>
        </is>
      </c>
      <c r="C44" s="25" t="inlineStr">
        <is>
          <t>Financiado</t>
        </is>
      </c>
      <c r="D44" s="25" t="inlineStr">
        <is>
          <t>Financiado</t>
        </is>
      </c>
      <c r="E44" s="25" t="inlineStr">
        <is>
          <t>Financiado</t>
        </is>
      </c>
      <c r="F44" s="25" t="inlineStr">
        <is>
          <t>Financiado</t>
        </is>
      </c>
      <c r="H44" s="18" t="inlineStr">
        <is>
          <t>Financiado: se suma al monto a financiar. Contado: se cobra en el pago inicial.</t>
        </is>
      </c>
    </row>
    <row r="45">
      <c r="B45" s="7" t="inlineStr">
        <is>
          <t>GPS (monto total sin IVA)</t>
        </is>
      </c>
      <c r="C45" s="29" t="n">
        <v>0</v>
      </c>
      <c r="D45" s="29" t="n">
        <v>0</v>
      </c>
      <c r="E45" s="29" t="n">
        <v>0</v>
      </c>
      <c r="F45" s="29" t="n">
        <v>0</v>
      </c>
      <c r="H45" s="18" t="inlineStr"/>
    </row>
    <row r="46">
      <c r="B46" s="7" t="inlineStr">
        <is>
          <t>GPS: forma de pago</t>
        </is>
      </c>
      <c r="C46" s="25" t="inlineStr">
        <is>
          <t>Financiado</t>
        </is>
      </c>
      <c r="D46" s="25" t="inlineStr">
        <is>
          <t>Financiado</t>
        </is>
      </c>
      <c r="E46" s="25" t="inlineStr">
        <is>
          <t>Financiado</t>
        </is>
      </c>
      <c r="F46" s="25" t="inlineStr">
        <is>
          <t>Financiado</t>
        </is>
      </c>
      <c r="H46" s="18" t="inlineStr"/>
    </row>
    <row r="48" ht="20" customHeight="1">
      <c r="B48" s="3" t="inlineStr">
        <is>
          <t>4. RESULTADOS PARA EL CLIENTE</t>
        </is>
      </c>
      <c r="C48" s="30" t="inlineStr">
        <is>
          <t>Escenario 1</t>
        </is>
      </c>
      <c r="D48" s="30" t="inlineStr">
        <is>
          <t>Escenario 2</t>
        </is>
      </c>
      <c r="E48" s="30" t="inlineStr">
        <is>
          <t>Escenario 3</t>
        </is>
      </c>
      <c r="F48" s="30" t="inlineStr">
        <is>
          <t>Escenario 4</t>
        </is>
      </c>
      <c r="G48" s="3" t="n"/>
      <c r="H48" s="3" t="n"/>
    </row>
    <row r="49">
      <c r="B49" s="7" t="inlineStr">
        <is>
          <t>Plazo</t>
        </is>
      </c>
      <c r="C49" s="31" t="str">
        <f>INDEX(esc_Plazo,1,1)&amp;" + "&amp;INDEX(esc_Sucesivo,1,1)&amp;" meses"</f>
        <v>24 + 1 meses</v>
      </c>
      <c r="D49" s="31" t="str">
        <f>INDEX(esc_Plazo,1,2)&amp;" + "&amp;INDEX(esc_Sucesivo,1,2)&amp;" meses"</f>
        <v>36 + 1 meses</v>
      </c>
      <c r="E49" s="31" t="str">
        <f>INDEX(esc_Plazo,1,3)&amp;" + "&amp;INDEX(esc_Sucesivo,1,3)&amp;" meses"</f>
        <v>48 + 1 meses</v>
      </c>
      <c r="F49" s="31" t="str">
        <f>INDEX(esc_Plazo,1,4)&amp;" + "&amp;INDEX(esc_Sucesivo,1,4)&amp;" meses"</f>
        <v>60 + 1 meses</v>
      </c>
    </row>
    <row r="50">
      <c r="B50" s="7" t="inlineStr">
        <is>
          <t>Monto a financiar</t>
        </is>
      </c>
      <c r="C50" s="32">
        <f>'Corrida 1'!$C$19</f>
        <v>720527.5</v>
      </c>
      <c r="D50" s="32">
        <f>'Corrida 2'!$C$19</f>
        <v>720527.5</v>
      </c>
      <c r="E50" s="32">
        <f>'Corrida 3'!$C$19</f>
        <v>720527.5</v>
      </c>
      <c r="F50" s="32">
        <f>'Corrida 4'!$C$19</f>
        <v>720527.5</v>
      </c>
    </row>
    <row r="51">
      <c r="B51" s="4" t="inlineStr">
        <is>
          <t>Renta mensual (sin IVA)</t>
        </is>
      </c>
      <c r="C51" s="33">
        <f>'Corrida 1'!$C$24</f>
        <v>33807.8278646643</v>
      </c>
      <c r="D51" s="33">
        <f>'Corrida 2'!$C$24</f>
        <v>24526.5066459098</v>
      </c>
      <c r="E51" s="33">
        <f>'Corrida 3'!$C$24</f>
        <v>19951.1897165926</v>
      </c>
      <c r="F51" s="33">
        <f>'Corrida 4'!$C$24</f>
        <v>17257.2501872036</v>
      </c>
    </row>
    <row r="52">
      <c r="B52" s="7" t="inlineStr">
        <is>
          <t>IVA de la renta</t>
        </is>
      </c>
      <c r="C52" s="32">
        <f>'Corrida 1'!$I$21</f>
        <v>5409.25245834629</v>
      </c>
      <c r="D52" s="32">
        <f>'Corrida 2'!$I$21</f>
        <v>3924.24106334557</v>
      </c>
      <c r="E52" s="32">
        <f>'Corrida 3'!$I$21</f>
        <v>3192.19035465482</v>
      </c>
      <c r="F52" s="32">
        <f>'Corrida 4'!$I$21</f>
        <v>2761.16002995257</v>
      </c>
    </row>
    <row r="53">
      <c r="B53" s="4" t="inlineStr">
        <is>
          <t>Renta mensual con IVA</t>
        </is>
      </c>
      <c r="C53" s="33">
        <f>'Corrida 1'!$C$24+'Corrida 1'!$I$21</f>
        <v>39217.0803230106</v>
      </c>
      <c r="D53" s="33">
        <f>'Corrida 2'!$C$24+'Corrida 2'!$I$21</f>
        <v>28450.7477092554</v>
      </c>
      <c r="E53" s="33">
        <f>'Corrida 3'!$C$24+'Corrida 3'!$I$21</f>
        <v>23143.3800712474</v>
      </c>
      <c r="F53" s="33">
        <f>'Corrida 4'!$C$24+'Corrida 4'!$I$21</f>
        <v>20018.4102171562</v>
      </c>
    </row>
    <row r="54">
      <c r="B54" s="7" t="inlineStr">
        <is>
          <t>Renta plazo sucesivo / opción de compra (sin IVA)</t>
        </is>
      </c>
      <c r="C54" s="32">
        <f>'Corrida 1'!$C$25+'Corrida 1'!$C$26</f>
        <v>37922.5</v>
      </c>
      <c r="D54" s="32">
        <f>'Corrida 2'!$C$25+'Corrida 2'!$C$26</f>
        <v>37922.5</v>
      </c>
      <c r="E54" s="32">
        <f>'Corrida 3'!$C$25+'Corrida 3'!$C$26</f>
        <v>37922.5</v>
      </c>
      <c r="F54" s="32">
        <f>'Corrida 4'!$C$25+'Corrida 4'!$C$26</f>
        <v>37922.5</v>
      </c>
    </row>
    <row r="55">
      <c r="B55" s="4" t="inlineStr">
        <is>
          <t>Pago inicial total (con IVA)</t>
        </is>
      </c>
      <c r="C55" s="33">
        <f>'Corrida 1'!$I$20</f>
        <v>91552.8323337777</v>
      </c>
      <c r="D55" s="33">
        <f>'Corrida 2'!$I$20</f>
        <v>80427.6219662306</v>
      </c>
      <c r="E55" s="33">
        <f>'Corrida 3'!$I$20</f>
        <v>74943.3420736223</v>
      </c>
      <c r="F55" s="33">
        <f>'Corrida 4'!$I$20</f>
        <v>71714.206557728</v>
      </c>
    </row>
    <row r="56">
      <c r="B56" s="7" t="inlineStr">
        <is>
          <t>Total de pagos del contrato (con IVA)</t>
        </is>
      </c>
      <c r="C56" s="32">
        <f>'Corrida 1'!$I$22</f>
        <v>985200.027752255</v>
      </c>
      <c r="D56" s="32">
        <f>'Corrida 2'!$I$22</f>
        <v>1068217.01753319</v>
      </c>
      <c r="E56" s="32">
        <f>'Corrida 3'!$I$22</f>
        <v>1154872.34341988</v>
      </c>
      <c r="F56" s="32">
        <f>'Corrida 4'!$I$22</f>
        <v>1245094.71302937</v>
      </c>
    </row>
    <row r="57">
      <c r="B57" s="7" t="inlineStr">
        <is>
          <t>CAT informativo sin IVA</t>
        </is>
      </c>
      <c r="C57" s="34">
        <f>'Corrida 1'!$I$10</f>
        <v>0.195794440803109</v>
      </c>
      <c r="D57" s="34">
        <f>'Corrida 2'!$I$10</f>
        <v>0.191541158305033</v>
      </c>
      <c r="E57" s="34">
        <f>'Corrida 3'!$I$10</f>
        <v>0.189620339613501</v>
      </c>
      <c r="F57" s="34">
        <f>'Corrida 4'!$I$10</f>
        <v>0.188535490302134</v>
      </c>
      <c r="H57" s="18" t="inlineStr">
        <is>
          <t>CAT calculado con XIRR sobre los flujos del cliente; informativo, no sustituye el cálculo oficial de Banxico.</t>
        </is>
      </c>
    </row>
    <row r="59" ht="20" customHeight="1">
      <c r="B59" s="3" t="inlineStr">
        <is>
          <t>5. ANÁLISIS INTERNO – RENTABILIDAD (no aparece en la carta)</t>
        </is>
      </c>
      <c r="C59" s="30" t="inlineStr">
        <is>
          <t>Escenario 1</t>
        </is>
      </c>
      <c r="D59" s="30" t="inlineStr">
        <is>
          <t>Escenario 2</t>
        </is>
      </c>
      <c r="E59" s="30" t="inlineStr">
        <is>
          <t>Escenario 3</t>
        </is>
      </c>
      <c r="F59" s="30" t="inlineStr">
        <is>
          <t>Escenario 4</t>
        </is>
      </c>
      <c r="G59" s="3" t="n"/>
      <c r="H59" s="3" t="n"/>
    </row>
    <row r="60">
      <c r="B60" s="7" t="inlineStr">
        <is>
          <t>Spread (tasa cliente − fondeo)</t>
        </is>
      </c>
      <c r="C60" s="34">
        <f>'Corrida 1'!$I$23</f>
        <v>-0.035</v>
      </c>
      <c r="D60" s="34">
        <f>'Corrida 2'!$I$23</f>
        <v>-0.035</v>
      </c>
      <c r="E60" s="34">
        <f>'Corrida 3'!$I$23</f>
        <v>-0.035</v>
      </c>
      <c r="F60" s="34">
        <f>'Corrida 4'!$I$23</f>
        <v>-0.035</v>
      </c>
      <c r="H60" s="18" t="inlineStr">
        <is>
          <t>C/R = con residual (incluye pago final). S/R = sin residual. Descontado a la tasa de fondeo, igual que el archivo original.</t>
        </is>
      </c>
    </row>
    <row r="61">
      <c r="B61" s="7" t="inlineStr">
        <is>
          <t>TIR anual efectiva del arrendador</t>
        </is>
      </c>
      <c r="C61" s="34">
        <f>'Corrida 1'!$I$8</f>
        <v>0.219172464679863</v>
      </c>
      <c r="D61" s="34">
        <f>'Corrida 2'!$I$8</f>
        <v>0.206625865419672</v>
      </c>
      <c r="E61" s="34">
        <f>'Corrida 3'!$I$8</f>
        <v>0.20099418420595</v>
      </c>
      <c r="F61" s="34">
        <f>'Corrida 4'!$I$8</f>
        <v>0.197811540582949</v>
      </c>
    </row>
    <row r="62">
      <c r="B62" s="7" t="inlineStr">
        <is>
          <t>TIR nominal anual (cap. mensual)</t>
        </is>
      </c>
      <c r="C62" s="34">
        <f>'Corrida 1'!$I$9</f>
        <v>0.199817710523955</v>
      </c>
      <c r="D62" s="34">
        <f>'Corrida 2'!$I$9</f>
        <v>0.189305595043472</v>
      </c>
      <c r="E62" s="34">
        <f>'Corrida 3'!$I$9</f>
        <v>0.184554497286933</v>
      </c>
      <c r="F62" s="34">
        <f>'Corrida 4'!$I$9</f>
        <v>0.181860460154001</v>
      </c>
    </row>
    <row r="63">
      <c r="B63" s="7" t="inlineStr">
        <is>
          <t>Cash margin C/R ($)</t>
        </is>
      </c>
      <c r="C63" s="32">
        <f>'Corrida 1'!$I$4</f>
        <v>-2988.0150290709</v>
      </c>
      <c r="D63" s="32">
        <f>'Corrida 2'!$I$4</f>
        <v>-13770.206640901</v>
      </c>
      <c r="E63" s="32">
        <f>'Corrida 3'!$I$4</f>
        <v>-23442.9660725886</v>
      </c>
      <c r="F63" s="32">
        <f>'Corrida 4'!$I$4</f>
        <v>-32171.6428554226</v>
      </c>
    </row>
    <row r="64">
      <c r="B64" s="7" t="inlineStr">
        <is>
          <t>Cash margin C/R (% del monto financiado)</t>
        </is>
      </c>
      <c r="C64" s="34">
        <f>'Corrida 1'!$I$5</f>
        <v>-0.00414698263296113</v>
      </c>
      <c r="D64" s="34">
        <f>'Corrida 2'!$I$5</f>
        <v>-0.0191112853304017</v>
      </c>
      <c r="E64" s="34">
        <f>'Corrida 3'!$I$5</f>
        <v>-0.0325358380805571</v>
      </c>
      <c r="F64" s="34">
        <f>'Corrida 4'!$I$5</f>
        <v>-0.0446501248813162</v>
      </c>
    </row>
    <row r="65">
      <c r="B65" s="7" t="inlineStr">
        <is>
          <t>Cash margin S/R ($)</t>
        </is>
      </c>
      <c r="C65" s="32">
        <f>'Corrida 1'!$I$6</f>
        <v>-28228.2165983341</v>
      </c>
      <c r="D65" s="32">
        <f>'Corrida 2'!$I$6</f>
        <v>-34367.6997583376</v>
      </c>
      <c r="E65" s="32">
        <f>'Corrida 3'!$I$6</f>
        <v>-40251.7352719397</v>
      </c>
      <c r="F65" s="32">
        <f>'Corrida 4'!$I$6</f>
        <v>-45888.5898832082</v>
      </c>
    </row>
    <row r="66">
      <c r="B66" s="7" t="inlineStr">
        <is>
          <t>Cash margin S/R (%)</t>
        </is>
      </c>
      <c r="C66" s="34">
        <f>'Corrida 1'!$I$7</f>
        <v>-0.0391771536802331</v>
      </c>
      <c r="D66" s="34">
        <f>'Corrida 2'!$I$7</f>
        <v>-0.0476979709425908</v>
      </c>
      <c r="E66" s="34">
        <f>'Corrida 3'!$I$7</f>
        <v>-0.0558642595486496</v>
      </c>
      <c r="F66" s="34">
        <f>'Corrida 4'!$I$7</f>
        <v>-0.0636874926816925</v>
      </c>
    </row>
    <row r="67">
      <c r="B67" s="7" t="inlineStr">
        <is>
          <t>Dictamen vs. CM objetivo</t>
        </is>
      </c>
      <c r="C67" s="31" t="str">
        <f>IF('Corrida 1'!$I$5&gt;=inp_CMobj,"CUMPLE","NO CUMPLE")</f>
        <v>NO CUMPLE</v>
      </c>
      <c r="D67" s="31" t="str">
        <f>IF('Corrida 2'!$I$5&gt;=inp_CMobj,"CUMPLE","NO CUMPLE")</f>
        <v>NO CUMPLE</v>
      </c>
      <c r="E67" s="31" t="str">
        <f>IF('Corrida 3'!$I$5&gt;=inp_CMobj,"CUMPLE","NO CUMPLE")</f>
        <v>NO CUMPLE</v>
      </c>
      <c r="F67" s="31" t="str">
        <f>IF('Corrida 4'!$I$5&gt;=inp_CMobj,"CUMPLE","NO CUMPLE")</f>
        <v>NO CUMPLE</v>
      </c>
    </row>
    <row r="68">
      <c r="B68" s="7" t="inlineStr">
        <is>
          <t>Renta mínima para el CM objetivo (sin IVA)</t>
        </is>
      </c>
      <c r="C68" s="32">
        <f>'Corrida 1'!$I$14</f>
        <v>36794.8305383672</v>
      </c>
      <c r="D68" s="32">
        <f>'Corrida 2'!$I$14</f>
        <v>27101.8881389722</v>
      </c>
      <c r="E68" s="32">
        <f>'Corrida 3'!$I$14</f>
        <v>22350.6645615289</v>
      </c>
      <c r="F68" s="32">
        <f>'Corrida 4'!$I$14</f>
        <v>19575.5368575656</v>
      </c>
    </row>
    <row r="69">
      <c r="B69" s="7" t="inlineStr">
        <is>
          <t>Tasa anual mínima para el CM objetivo</t>
        </is>
      </c>
      <c r="C69" s="34">
        <f>'Corrida 1'!$I$15</f>
        <v>0.259865265441571</v>
      </c>
      <c r="D69" s="34">
        <f>'Corrida 2'!$I$15</f>
        <v>0.242853058451034</v>
      </c>
      <c r="E69" s="34">
        <f>'Corrida 3'!$I$15</f>
        <v>0.234480226639672</v>
      </c>
      <c r="F69" s="34">
        <f>'Corrida 4'!$I$15</f>
        <v>0.229531888925224</v>
      </c>
      <c r="H69" s="10" t="inlineStr">
        <is>
          <t>Macro "Aplicar tasa mínima": copia esta tasa a la fila de tasas del escenario.</t>
        </is>
      </c>
    </row>
    <row r="70">
      <c r="B70" s="7" t="inlineStr">
        <is>
          <t>Cuadre de la corrida (saldo final)</t>
        </is>
      </c>
      <c r="C70" s="31" t="str">
        <f>IF(ABS('Corrida 1'!$I$16)&lt;0.01,"OK","Dif. "&amp;TEXT('Corrida 1'!$I$16,"#,##0.00"))</f>
        <v>OK</v>
      </c>
      <c r="D70" s="31" t="str">
        <f>IF(ABS('Corrida 2'!$I$16)&lt;0.01,"OK","Dif. "&amp;TEXT('Corrida 2'!$I$16,"#,##0.00"))</f>
        <v>OK</v>
      </c>
      <c r="E70" s="31" t="str">
        <f>IF(ABS('Corrida 3'!$I$16)&lt;0.01,"OK","Dif. "&amp;TEXT('Corrida 3'!$I$16,"#,##0.00"))</f>
        <v>OK</v>
      </c>
      <c r="F70" s="31" t="str">
        <f>IF(ABS('Corrida 4'!$I$16)&lt;0.01,"OK","Dif. "&amp;TEXT('Corrida 4'!$I$16,"#,##0.00"))</f>
        <v>OK</v>
      </c>
    </row>
    <row r="72" ht="20" customHeight="1">
      <c r="B72" s="3" t="inlineStr">
        <is>
          <t>6. VALIDACIONES Y ALERTAS</t>
        </is>
      </c>
      <c r="C72" s="3" t="n"/>
      <c r="D72" s="3" t="n"/>
      <c r="E72" s="3" t="n"/>
      <c r="F72" s="3" t="n"/>
      <c r="G72" s="3" t="n"/>
      <c r="H72" s="3" t="n"/>
    </row>
    <row r="73" ht="75" customHeight="1">
      <c r="B73" s="4" t="inlineStr">
        <is>
          <t>Alertas por escenario</t>
        </is>
      </c>
      <c r="C73" s="35" t="str">
        <f>IF(IF(inp_Valor&lt;=0,"Capture el valor del equipo. ","")&amp;IF(inp_FechaPrimera&lt;inp_FechaFirma,"La 1a renta es anterior a la firma. ","")&amp;IF(INDEX(esc_Tasa,1,1)&lt;inp_Fondeo,"Spread negativo (tasa &lt; fondeo). ","")&amp;IF(INDEX(esc_Tasa,1,1)=0,"Tasa en cero. ","")&amp;IF(INDEX(esc_Residual,1,1)+INDEX(esc_Enganche,1,1)&gt;=1,"Enganche + residual &gt;= 100%. ","")&amp;IF(AND(INDEX(esc_PagoFinal,1,1)&lt;&gt;"",INDEX(esc_PagoFinal,1,1)&lt;&gt;INDEX(esc_Residual,1,1)),"Pago final distinto al residual: la tasa real difiere de la pactada. ","")&amp;IF('Corrida 1'!$I$5&lt;inp_CMobj,"CM por debajo del objetivo. ","")&amp;IF(ABS('Corrida 1'!$I$16)&gt;=0.01,"La corrida no cuadra. ","")="","Sin alertas",IF(inp_Valor&lt;=0,"Capture el valor del equipo. ","")&amp;IF(inp_FechaPrimera&lt;inp_FechaFirma,"La 1a renta es anterior a la firma. ","")&amp;IF(INDEX(esc_Tasa,1,1)&lt;inp_Fondeo,"Spread negativo (tasa &lt; fondeo). ","")&amp;IF(INDEX(esc_Tasa,1,1)=0,"Tasa en cero. ","")&amp;IF(INDEX(esc_Residual,1,1)+INDEX(esc_Enganche,1,1)&gt;=1,"Enganche + residual &gt;= 100%. ","")&amp;IF(AND(INDEX(esc_PagoFinal,1,1)&lt;&gt;"",INDEX(esc_PagoFinal,1,1)&lt;&gt;INDEX(esc_Residual,1,1)),"Pago final distinto al residual: la tasa real difiere de la pactada. ","")&amp;IF('Corrida 1'!$I$5&lt;inp_CMobj,"CM por debajo del objetivo. ","")&amp;IF(ABS('Corrida 1'!$I$16)&gt;=0.01,"La corrida no cuadra. ",""))</f>
        <v>Spread negativo (tasa &lt; fondeo). CM por debajo del objetivo. </v>
      </c>
      <c r="D73" s="35" t="str">
        <f>IF(IF(inp_Valor&lt;=0,"Capture el valor del equipo. ","")&amp;IF(inp_FechaPrimera&lt;inp_FechaFirma,"La 1a renta es anterior a la firma. ","")&amp;IF(INDEX(esc_Tasa,1,2)&lt;inp_Fondeo,"Spread negativo (tasa &lt; fondeo). ","")&amp;IF(INDEX(esc_Tasa,1,2)=0,"Tasa en cero. ","")&amp;IF(INDEX(esc_Residual,1,2)+INDEX(esc_Enganche,1,2)&gt;=1,"Enganche + residual &gt;= 100%. ","")&amp;IF(AND(INDEX(esc_PagoFinal,1,2)&lt;&gt;"",INDEX(esc_PagoFinal,1,2)&lt;&gt;INDEX(esc_Residual,1,2)),"Pago final distinto al residual: la tasa real difiere de la pactada. ","")&amp;IF('Corrida 2'!$I$5&lt;inp_CMobj,"CM por debajo del objetivo. ","")&amp;IF(ABS('Corrida 2'!$I$16)&gt;=0.01,"La corrida no cuadra. ","")="","Sin alertas",IF(inp_Valor&lt;=0,"Capture el valor del equipo. ","")&amp;IF(inp_FechaPrimera&lt;inp_FechaFirma,"La 1a renta es anterior a la firma. ","")&amp;IF(INDEX(esc_Tasa,1,2)&lt;inp_Fondeo,"Spread negativo (tasa &lt; fondeo). ","")&amp;IF(INDEX(esc_Tasa,1,2)=0,"Tasa en cero. ","")&amp;IF(INDEX(esc_Residual,1,2)+INDEX(esc_Enganche,1,2)&gt;=1,"Enganche + residual &gt;= 100%. ","")&amp;IF(AND(INDEX(esc_PagoFinal,1,2)&lt;&gt;"",INDEX(esc_PagoFinal,1,2)&lt;&gt;INDEX(esc_Residual,1,2)),"Pago final distinto al residual: la tasa real difiere de la pactada. ","")&amp;IF('Corrida 2'!$I$5&lt;inp_CMobj,"CM por debajo del objetivo. ","")&amp;IF(ABS('Corrida 2'!$I$16)&gt;=0.01,"La corrida no cuadra. ",""))</f>
        <v>Spread negativo (tasa &lt; fondeo). CM por debajo del objetivo. </v>
      </c>
      <c r="E73" s="35" t="str">
        <f>IF(IF(inp_Valor&lt;=0,"Capture el valor del equipo. ","")&amp;IF(inp_FechaPrimera&lt;inp_FechaFirma,"La 1a renta es anterior a la firma. ","")&amp;IF(INDEX(esc_Tasa,1,3)&lt;inp_Fondeo,"Spread negativo (tasa &lt; fondeo). ","")&amp;IF(INDEX(esc_Tasa,1,3)=0,"Tasa en cero. ","")&amp;IF(INDEX(esc_Residual,1,3)+INDEX(esc_Enganche,1,3)&gt;=1,"Enganche + residual &gt;= 100%. ","")&amp;IF(AND(INDEX(esc_PagoFinal,1,3)&lt;&gt;"",INDEX(esc_PagoFinal,1,3)&lt;&gt;INDEX(esc_Residual,1,3)),"Pago final distinto al residual: la tasa real difiere de la pactada. ","")&amp;IF('Corrida 3'!$I$5&lt;inp_CMobj,"CM por debajo del objetivo. ","")&amp;IF(ABS('Corrida 3'!$I$16)&gt;=0.01,"La corrida no cuadra. ","")="","Sin alertas",IF(inp_Valor&lt;=0,"Capture el valor del equipo. ","")&amp;IF(inp_FechaPrimera&lt;inp_FechaFirma,"La 1a renta es anterior a la firma. ","")&amp;IF(INDEX(esc_Tasa,1,3)&lt;inp_Fondeo,"Spread negativo (tasa &lt; fondeo). ","")&amp;IF(INDEX(esc_Tasa,1,3)=0,"Tasa en cero. ","")&amp;IF(INDEX(esc_Residual,1,3)+INDEX(esc_Enganche,1,3)&gt;=1,"Enganche + residual &gt;= 100%. ","")&amp;IF(AND(INDEX(esc_PagoFinal,1,3)&lt;&gt;"",INDEX(esc_PagoFinal,1,3)&lt;&gt;INDEX(esc_Residual,1,3)),"Pago final distinto al residual: la tasa real difiere de la pactada. ","")&amp;IF('Corrida 3'!$I$5&lt;inp_CMobj,"CM por debajo del objetivo. ","")&amp;IF(ABS('Corrida 3'!$I$16)&gt;=0.01,"La corrida no cuadra. ",""))</f>
        <v>Spread negativo (tasa &lt; fondeo). CM por debajo del objetivo. </v>
      </c>
      <c r="F73" s="35" t="str">
        <f>IF(IF(inp_Valor&lt;=0,"Capture el valor del equipo. ","")&amp;IF(inp_FechaPrimera&lt;inp_FechaFirma,"La 1a renta es anterior a la firma. ","")&amp;IF(INDEX(esc_Tasa,1,4)&lt;inp_Fondeo,"Spread negativo (tasa &lt; fondeo). ","")&amp;IF(INDEX(esc_Tasa,1,4)=0,"Tasa en cero. ","")&amp;IF(INDEX(esc_Residual,1,4)+INDEX(esc_Enganche,1,4)&gt;=1,"Enganche + residual &gt;= 100%. ","")&amp;IF(AND(INDEX(esc_PagoFinal,1,4)&lt;&gt;"",INDEX(esc_PagoFinal,1,4)&lt;&gt;INDEX(esc_Residual,1,4)),"Pago final distinto al residual: la tasa real difiere de la pactada. ","")&amp;IF('Corrida 4'!$I$5&lt;inp_CMobj,"CM por debajo del objetivo. ","")&amp;IF(ABS('Corrida 4'!$I$16)&gt;=0.01,"La corrida no cuadra. ","")="","Sin alertas",IF(inp_Valor&lt;=0,"Capture el valor del equipo. ","")&amp;IF(inp_FechaPrimera&lt;inp_FechaFirma,"La 1a renta es anterior a la firma. ","")&amp;IF(INDEX(esc_Tasa,1,4)&lt;inp_Fondeo,"Spread negativo (tasa &lt; fondeo). ","")&amp;IF(INDEX(esc_Tasa,1,4)=0,"Tasa en cero. ","")&amp;IF(INDEX(esc_Residual,1,4)+INDEX(esc_Enganche,1,4)&gt;=1,"Enganche + residual &gt;= 100%. ","")&amp;IF(AND(INDEX(esc_PagoFinal,1,4)&lt;&gt;"",INDEX(esc_PagoFinal,1,4)&lt;&gt;INDEX(esc_Residual,1,4)),"Pago final distinto al residual: la tasa real difiere de la pactada. ","")&amp;IF('Corrida 4'!$I$5&lt;inp_CMobj,"CM por debajo del objetivo. ","")&amp;IF(ABS('Corrida 4'!$I$16)&gt;=0.01,"La corrida no cuadra. ",""))</f>
        <v>Spread negativo (tasa &lt; fondeo). CM por debajo del objetivo. </v>
      </c>
    </row>
  </sheetData>
  <sheetProtection selectLockedCells="0" selectUnlockedCells="0" sheet="1" objects="0" insertRows="1" insertHyperlinks="1" autoFilter="1" scenarios="0" formatColumns="0" deleteColumns="1" insertColumns="1" pivotTables="1" deleteRows="1" formatCells="1" formatRows="0" sort="1"/>
  <mergeCells count="14">
    <mergeCell ref="C13:F13"/>
    <mergeCell ref="C9:F9"/>
    <mergeCell ref="C3:F3"/>
    <mergeCell ref="C8:F8"/>
    <mergeCell ref="C12:F12"/>
    <mergeCell ref="C6:F6"/>
    <mergeCell ref="H2:H4"/>
    <mergeCell ref="C7:F7"/>
    <mergeCell ref="C1:F1"/>
    <mergeCell ref="C15:F15"/>
    <mergeCell ref="C11:F11"/>
    <mergeCell ref="C10:F10"/>
    <mergeCell ref="C2:F2"/>
    <mergeCell ref="C14:F14"/>
  </mergeCells>
  <conditionalFormatting sqref="C67:F67">
    <cfRule type="cellIs" priority="1" operator="equal" dxfId="0">
      <formula>"CUMPLE"</formula>
    </cfRule>
    <cfRule type="cellIs" priority="2" operator="equal" dxfId="1">
      <formula>"NO CUMPLE"</formula>
    </cfRule>
  </conditionalFormatting>
  <conditionalFormatting sqref="C73:F73">
    <cfRule type="cellIs" priority="3" operator="equal" dxfId="2">
      <formula>"Sin alertas"</formula>
    </cfRule>
  </conditionalFormatting>
  <dataValidations count="21">
    <dataValidation sqref="C14" showDropDown="0" showInputMessage="0" showErrorMessage="0" allowBlank="1" errorTitle="Valor no válido" error="Seleccione un valor de la lista." type="list">
      <formula1>=lst_Promotores</formula1>
    </dataValidation>
    <dataValidation sqref="C18" showDropDown="0" showInputMessage="0" showErrorMessage="0" allowBlank="1" errorTitle="Valor no válido" error="Seleccione un valor de la lista." type="list">
      <formula1>=lst_Tipo</formula1>
    </dataValidation>
    <dataValidation sqref="C19" showDropDown="0" showInputMessage="0" showErrorMessage="0" allowBlank="1" errorTitle="Valor no válido" error="Seleccione un valor de la lista." type="list">
      <formula1>=lst_Moneda</formula1>
    </dataValidation>
    <dataValidation sqref="C21" showDropDown="0" showInputMessage="0" showErrorMessage="0" allowBlank="1" errorTitle="Valor no válido" error="Seleccione un valor de la lista." type="list">
      <formula1>=lst_Modalidad</formula1>
    </dataValidation>
    <dataValidation sqref="C22" showDropDown="0" showInputMessage="0" showErrorMessage="0" allowBlank="1" errorTitle="Valor fuera de rango" error="Capture un valor entre 0 y 1000000000000.0." type="decimal" operator="between">
      <formula1>0</formula1>
      <formula2>1000000000000.0</formula2>
    </dataValidation>
    <dataValidation sqref="C28" showDropDown="0" showInputMessage="0" showErrorMessage="0" allowBlank="1" errorTitle="Valor fuera de rango" error="Capture un valor entre 0 y 1." type="decimal" operator="between">
      <formula1>0</formula1>
      <formula2>1</formula2>
    </dataValidation>
    <dataValidation sqref="C29" showDropDown="0" showInputMessage="0" showErrorMessage="0" allowBlank="1" errorTitle="Valor fuera de rango" error="Capture un valor entre -1 y 1." type="decimal" operator="between">
      <formula1>-1</formula1>
      <formula2>1</formula2>
    </dataValidation>
    <dataValidation sqref="C33:F33" showDropDown="0" showInputMessage="0" showErrorMessage="0" allowBlank="1" errorTitle="Valor no válido" error="Seleccione un valor de la lista." type="list">
      <formula1>=lst_SiNo</formula1>
    </dataValidation>
    <dataValidation sqref="C34:F34" showDropDown="0" showInputMessage="0" showErrorMessage="0" allowBlank="1" errorTitle="Valor fuera de rango" error="Capture un valor entre 1 y 84." type="whole" operator="between">
      <formula1>1</formula1>
      <formula2>84</formula2>
    </dataValidation>
    <dataValidation sqref="C35:F35" showDropDown="0" showInputMessage="0" showErrorMessage="0" allowBlank="1" errorTitle="Valor fuera de rango" error="Capture un valor entre 0 y 12." type="whole" operator="between">
      <formula1>0</formula1>
      <formula2>12</formula2>
    </dataValidation>
    <dataValidation sqref="C36:F36" showDropDown="0" showInputMessage="0" showErrorMessage="0" allowBlank="1" errorTitle="Valor fuera de rango" error="Capture un valor entre 0 y 2." type="decimal" operator="between">
      <formula1>0</formula1>
      <formula2>2</formula2>
    </dataValidation>
    <dataValidation sqref="C37:F37" showDropDown="0" showInputMessage="0" showErrorMessage="0" allowBlank="1" errorTitle="Valor fuera de rango" error="Capture un valor entre 0 y 2." type="decimal" operator="between">
      <formula1>0</formula1>
      <formula2>2</formula2>
    </dataValidation>
    <dataValidation sqref="C38:F38" showDropDown="0" showInputMessage="0" showErrorMessage="0" allowBlank="1" errorTitle="Valor fuera de rango" error="Capture un valor entre 0 y 0.9." type="decimal" operator="between">
      <formula1>0</formula1>
      <formula2>0.9</formula2>
    </dataValidation>
    <dataValidation sqref="C39:F39" showDropDown="0" showInputMessage="0" showErrorMessage="0" allowBlank="1" errorTitle="Valor fuera de rango" error="Capture un valor entre 0 y 0.9." type="decimal" operator="between">
      <formula1>0</formula1>
      <formula2>0.9</formula2>
    </dataValidation>
    <dataValidation sqref="C40:F40" showDropDown="0" showInputMessage="0" showErrorMessage="0" allowBlank="1" errorTitle="Valor fuera de rango" error="Capture un valor entre 0 y 0.9." type="decimal" operator="between">
      <formula1>0</formula1>
      <formula2>0.9</formula2>
    </dataValidation>
    <dataValidation sqref="C41:F41" showDropDown="0" showInputMessage="0" showErrorMessage="0" allowBlank="1" errorTitle="Valor fuera de rango" error="Capture un valor entre 0 y 0.2." type="decimal" operator="between">
      <formula1>0</formula1>
      <formula2>0.2</formula2>
    </dataValidation>
    <dataValidation sqref="C42:F42" showDropDown="0" showInputMessage="0" showErrorMessage="0" allowBlank="1" errorTitle="Valor fuera de rango" error="Capture un valor entre 0 y 12." type="decimal" operator="between">
      <formula1>0</formula1>
      <formula2>12</formula2>
    </dataValidation>
    <dataValidation sqref="C43:F43" showDropDown="0" showInputMessage="0" showErrorMessage="0" allowBlank="1" errorTitle="Valor fuera de rango" error="Capture un valor entre 0 y 1000000000000.0." type="decimal" operator="between">
      <formula1>0</formula1>
      <formula2>1000000000000.0</formula2>
    </dataValidation>
    <dataValidation sqref="C44:F44" showDropDown="0" showInputMessage="0" showErrorMessage="0" allowBlank="1" errorTitle="Valor no válido" error="Seleccione un valor de la lista." type="list">
      <formula1>=lst_Forma</formula1>
    </dataValidation>
    <dataValidation sqref="C45:F45" showDropDown="0" showInputMessage="0" showErrorMessage="0" allowBlank="1" errorTitle="Valor fuera de rango" error="Capture un valor entre 0 y 1000000000000.0." type="decimal" operator="between">
      <formula1>0</formula1>
      <formula2>1000000000000.0</formula2>
    </dataValidation>
    <dataValidation sqref="C46:F46" showDropDown="0" showInputMessage="0" showErrorMessage="0" allowBlank="1" errorTitle="Valor no válido" error="Seleccione un valor de la lista." type="list">
      <formula1>=lst_Forma</formula1>
    </dataValidation>
  </dataValidations>
  <pageMargins left="0.75" right="0.75" top="1" bottom="1" header="0.5" footer="0.5"/>
  <pageSetup orientation="portrait" fitToHeight="0" fitToWidth="1"/>
  <drawing xmlns:r="http://schemas.openxmlformats.org/officeDocument/2006/relationships" r:id="rId1"/>
</worksheet>
</file>

<file path=xl/worksheets/sheet3.xml><?xml version="1.0" encoding="utf-8"?>
<worksheet xmlns="http://schemas.openxmlformats.org/spreadsheetml/2006/main">
  <sheetPr codeName="Hoja3">
    <tabColor rgb="0070AD47"/>
    <outlinePr summaryBelow="1" summaryRight="1"/>
    <pageSetUpPr fitToPage="1"/>
  </sheetPr>
  <dimension ref="B1:F68"/>
  <sheetViews>
    <sheetView showGridLines="0" workbookViewId="0">
      <selection activeCell="A1" sqref="A1"/>
    </sheetView>
  </sheetViews>
  <sheetFormatPr baseColWidth="8" defaultRowHeight="15"/>
  <cols>
    <col width="2" customWidth="1" min="1" max="1"/>
    <col width="40" customWidth="1" min="2" max="2"/>
    <col width="17" customWidth="1" min="3" max="3"/>
    <col width="17" customWidth="1" min="4" max="4"/>
    <col width="17" customWidth="1" min="5" max="5"/>
    <col width="17" customWidth="1" min="6" max="6"/>
    <col width="2" customWidth="1" min="7" max="7"/>
  </cols>
  <sheetData>
    <row r="1">
      <c r="D1" s="36" t="str">
        <f>par_Arrendador</f>
        <v>SOFOPLUS, S.A.P.I. DE C.V., E.R.</v>
      </c>
    </row>
    <row r="2">
      <c r="D2" s="37" t="str">
        <f>par_Dir1</f>
        <v>Paseo de los Tamarindos No. 90 Piso 24 Torre 1</v>
      </c>
    </row>
    <row r="3">
      <c r="D3" s="37" t="str">
        <f>par_Dir2</f>
        <v>Col. Bosques de las Lomas</v>
      </c>
    </row>
    <row r="4">
      <c r="D4" s="37" t="str">
        <f>par_Dir3</f>
        <v>CDMX, C.P. 05120</v>
      </c>
    </row>
    <row r="6">
      <c r="B6" s="7" t="str">
        <f>par_Ciudad&amp;", a "&amp;DAY(inp_Fecha)&amp;" de "&amp;CHOOSE(MONTH(inp_Fecha),"enero","febrero","marzo","abril","mayo","junio","julio","agosto","septiembre","octubre","noviembre","diciembre")&amp;" de "&amp;YEAR(inp_Fecha)</f>
        <v>Ciudad de México, a 5 de octubre de 2026</v>
      </c>
      <c r="F6" s="38" t="str">
        <f>"Folio: "&amp;inp_Folio</f>
        <v>Folio: COT-0001</v>
      </c>
    </row>
    <row r="8">
      <c r="B8" s="39" t="str">
        <f>UPPER(inp_Cliente)</f>
        <v>CLIENTE DE EJEMPLO, S.A. DE C.V.</v>
      </c>
    </row>
    <row r="9">
      <c r="B9" s="7" t="str">
        <f>IF(inp_Contacto="","","At'n: "&amp;inp_Contacto)</f>
        <v/>
      </c>
    </row>
    <row r="11" ht="28" customHeight="1">
      <c r="B11" s="5" t="str">
        <f>"Por medio de la presente nos permitimos poner a su consideración la cotización de "&amp;inp_Tipo&amp;", con base en la siguiente información:"</f>
        <v>Por medio de la presente nos permitimos poner a su consideración la cotización de Arrendamiento Puro, con base en la siguiente información:</v>
      </c>
    </row>
    <row r="13" ht="20" customHeight="1">
      <c r="B13" s="3" t="inlineStr">
        <is>
          <t>TÉRMINOS Y CONDICIONES</t>
        </is>
      </c>
      <c r="C13" s="3" t="n"/>
      <c r="D13" s="3" t="n"/>
      <c r="E13" s="3" t="n"/>
      <c r="F13" s="3" t="n"/>
    </row>
    <row r="14">
      <c r="B14" s="4" t="inlineStr">
        <is>
          <t>Tipo de operación:</t>
        </is>
      </c>
      <c r="C14" s="7" t="str">
        <f>inp_Tipo&amp;" en "&amp;inp_Moneda</f>
        <v>Arrendamiento Puro en Moneda Nacional</v>
      </c>
    </row>
    <row r="15">
      <c r="B15" s="4" t="inlineStr">
        <is>
          <t>Arrendatario:</t>
        </is>
      </c>
      <c r="C15" s="7" t="str">
        <f>inp_Cliente</f>
        <v>CLIENTE DE EJEMPLO, S.A. DE C.V.</v>
      </c>
    </row>
    <row r="16">
      <c r="B16" s="4" t="inlineStr">
        <is>
          <t>Arrendador:</t>
        </is>
      </c>
      <c r="C16" s="7" t="str">
        <f>par_Arrendador</f>
        <v>SOFOPLUS, S.A.P.I. DE C.V., E.R.</v>
      </c>
    </row>
    <row r="17">
      <c r="B17" s="4" t="inlineStr">
        <is>
          <t>Obligado solidario:</t>
        </is>
      </c>
      <c r="C17" s="7" t="str">
        <f>inp_Obligado</f>
        <v>Por definir</v>
      </c>
    </row>
    <row r="18">
      <c r="B18" s="4" t="inlineStr">
        <is>
          <t>Proveedor:</t>
        </is>
      </c>
      <c r="C18" s="7" t="str">
        <f>IF(inp_Proveedor="","Por definir",inp_Proveedor)</f>
        <v>Por definir</v>
      </c>
    </row>
    <row r="19">
      <c r="B19" s="4" t="inlineStr">
        <is>
          <t>Equipo:</t>
        </is>
      </c>
      <c r="C19" s="7" t="str">
        <f>inp_Equipo</f>
        <v>Auto BYD M9 2026</v>
      </c>
    </row>
    <row r="20">
      <c r="B20" s="4" t="inlineStr">
        <is>
          <t>Valor del equipo:</t>
        </is>
      </c>
      <c r="C20" s="7" t="str">
        <f>TEXT(inp_Valor,"$#,##0.00")&amp;" más IVA"</f>
        <v>$758,450.00 más IVA</v>
      </c>
    </row>
    <row r="21">
      <c r="B21" s="4" t="inlineStr">
        <is>
          <t>Tipo de cambio (informativo):</t>
        </is>
      </c>
      <c r="C21" s="7" t="str">
        <f>IF(inp_Moneda="Moneda Nacional","No aplica",TEXT(inp_TC,"#,##0.0000"))</f>
        <v>No aplica</v>
      </c>
    </row>
    <row r="22">
      <c r="B22" s="4" t="inlineStr">
        <is>
          <t>Forma de pago de las rentas:</t>
        </is>
      </c>
      <c r="C22" s="7" t="str">
        <f>"Mensual, "&amp;LOWER(inp_Modalidad)&amp;IF(inp_Modalidad="Anticipado"," (al inicio de cada mes)"," (al final de cada mes)")</f>
        <v>Mensual, anticipado (al inicio de cada mes)</v>
      </c>
    </row>
    <row r="24" ht="20" customHeight="1">
      <c r="B24" s="40" t="inlineStr">
        <is>
          <t>CONCEPTO</t>
        </is>
      </c>
      <c r="C24" s="30" t="str">
        <f>IF(INDEX(esc_Incluir,1,1)="Sí","OPCIÓN "&amp;1,"")</f>
        <v>OPCIÓN 1</v>
      </c>
      <c r="D24" s="30" t="str">
        <f>IF(INDEX(esc_Incluir,1,2)="Sí","OPCIÓN "&amp;2,"")</f>
        <v>OPCIÓN 2</v>
      </c>
      <c r="E24" s="30" t="str">
        <f>IF(INDEX(esc_Incluir,1,3)="Sí","OPCIÓN "&amp;3,"")</f>
        <v>OPCIÓN 3</v>
      </c>
      <c r="F24" s="30" t="str">
        <f>IF(INDEX(esc_Incluir,1,4)="Sí","OPCIÓN "&amp;4,"")</f>
        <v>OPCIÓN 4</v>
      </c>
    </row>
    <row r="25">
      <c r="B25" s="41" t="inlineStr">
        <is>
          <t>Plazo básico</t>
        </is>
      </c>
      <c r="C25" s="42" t="str">
        <f>IF(INDEX(esc_Incluir,1,1)="Sí",INDEX(esc_Plazo,1,1)&amp;" meses","")</f>
        <v>24 meses</v>
      </c>
      <c r="D25" s="42" t="str">
        <f>IF(INDEX(esc_Incluir,1,2)="Sí",INDEX(esc_Plazo,1,2)&amp;" meses","")</f>
        <v>36 meses</v>
      </c>
      <c r="E25" s="42" t="str">
        <f>IF(INDEX(esc_Incluir,1,3)="Sí",INDEX(esc_Plazo,1,3)&amp;" meses","")</f>
        <v>48 meses</v>
      </c>
      <c r="F25" s="42" t="str">
        <f>IF(INDEX(esc_Incluir,1,4)="Sí",INDEX(esc_Plazo,1,4)&amp;" meses","")</f>
        <v>60 meses</v>
      </c>
    </row>
    <row r="26">
      <c r="B26" s="43" t="inlineStr">
        <is>
          <t>Plazo sucesivo</t>
        </is>
      </c>
      <c r="C26" s="44" t="str">
        <f>IF(INDEX(esc_Incluir,1,1)="Sí",IF(INDEX(esc_Sucesivo,1,1)&gt;0,INDEX(esc_Sucesivo,1,1)&amp;IF(INDEX(esc_Sucesivo,1,1)=1," mes"," meses"),"Opción de compra"),"")</f>
        <v>1 mes</v>
      </c>
      <c r="D26" s="44" t="str">
        <f>IF(INDEX(esc_Incluir,1,2)="Sí",IF(INDEX(esc_Sucesivo,1,2)&gt;0,INDEX(esc_Sucesivo,1,2)&amp;IF(INDEX(esc_Sucesivo,1,2)=1," mes"," meses"),"Opción de compra"),"")</f>
        <v>1 mes</v>
      </c>
      <c r="E26" s="44" t="str">
        <f>IF(INDEX(esc_Incluir,1,3)="Sí",IF(INDEX(esc_Sucesivo,1,3)&gt;0,INDEX(esc_Sucesivo,1,3)&amp;IF(INDEX(esc_Sucesivo,1,3)=1," mes"," meses"),"Opción de compra"),"")</f>
        <v>1 mes</v>
      </c>
      <c r="F26" s="44" t="str">
        <f>IF(INDEX(esc_Incluir,1,4)="Sí",IF(INDEX(esc_Sucesivo,1,4)&gt;0,INDEX(esc_Sucesivo,1,4)&amp;IF(INDEX(esc_Sucesivo,1,4)=1," mes"," meses"),"Opción de compra"),"")</f>
        <v>1 mes</v>
      </c>
    </row>
    <row r="27">
      <c r="B27" s="43" t="inlineStr">
        <is>
          <t>Monto a financiar (más IVA)</t>
        </is>
      </c>
      <c r="C27" s="45">
        <f>IF(INDEX(esc_Incluir,1,1)="Sí",'Corrida 1'!$C$19,"")</f>
        <v>720527.5</v>
      </c>
      <c r="D27" s="45">
        <f>IF(INDEX(esc_Incluir,1,2)="Sí",'Corrida 2'!$C$19,"")</f>
        <v>720527.5</v>
      </c>
      <c r="E27" s="45">
        <f>IF(INDEX(esc_Incluir,1,3)="Sí",'Corrida 3'!$C$19,"")</f>
        <v>720527.5</v>
      </c>
      <c r="F27" s="45">
        <f>IF(INDEX(esc_Incluir,1,4)="Sí",'Corrida 4'!$C$19,"")</f>
        <v>720527.5</v>
      </c>
    </row>
    <row r="28">
      <c r="B28" s="46" t="inlineStr">
        <is>
          <t>PAGO INICIAL (IVA incluido)</t>
        </is>
      </c>
      <c r="C28" s="47" t="n"/>
      <c r="D28" s="47" t="n"/>
      <c r="E28" s="47" t="n"/>
      <c r="F28" s="47" t="n"/>
    </row>
    <row r="29">
      <c r="B29" s="43" t="inlineStr">
        <is>
          <t>Enganche</t>
        </is>
      </c>
      <c r="C29" s="45">
        <f>IF(INDEX(esc_Incluir,1,1)="Sí",'Corrida 1'!$C$16*(1+par_IVA),"")</f>
        <v>43990.1</v>
      </c>
      <c r="D29" s="45">
        <f>IF(INDEX(esc_Incluir,1,2)="Sí",'Corrida 2'!$C$16*(1+par_IVA),"")</f>
        <v>43990.1</v>
      </c>
      <c r="E29" s="45">
        <f>IF(INDEX(esc_Incluir,1,3)="Sí",'Corrida 3'!$C$16*(1+par_IVA),"")</f>
        <v>43990.1</v>
      </c>
      <c r="F29" s="45">
        <f>IF(INDEX(esc_Incluir,1,4)="Sí",'Corrida 4'!$C$16*(1+par_IVA),"")</f>
        <v>43990.1</v>
      </c>
    </row>
    <row r="30">
      <c r="B30" s="43" t="inlineStr">
        <is>
          <t>Comisión por apertura</t>
        </is>
      </c>
      <c r="C30" s="45">
        <f>IF(INDEX(esc_Incluir,1,1)="Sí",'Corrida 1'!$C$28*(1+par_IVA),"")</f>
        <v>7038.416</v>
      </c>
      <c r="D30" s="45">
        <f>IF(INDEX(esc_Incluir,1,2)="Sí",'Corrida 2'!$C$28*(1+par_IVA),"")</f>
        <v>7038.416</v>
      </c>
      <c r="E30" s="45">
        <f>IF(INDEX(esc_Incluir,1,3)="Sí",'Corrida 3'!$C$28*(1+par_IVA),"")</f>
        <v>7038.416</v>
      </c>
      <c r="F30" s="45">
        <f>IF(INDEX(esc_Incluir,1,4)="Sí",'Corrida 4'!$C$28*(1+par_IVA),"")</f>
        <v>7038.416</v>
      </c>
    </row>
    <row r="31">
      <c r="B31" s="43" t="inlineStr">
        <is>
          <t>Depósito en garantía</t>
        </is>
      </c>
      <c r="C31" s="45">
        <f>IF(INDEX(esc_Incluir,1,1)="Sí",'Corrida 1'!$C$30,"")</f>
        <v>39217.0803230106</v>
      </c>
      <c r="D31" s="45">
        <f>IF(INDEX(esc_Incluir,1,2)="Sí",'Corrida 2'!$C$30,"")</f>
        <v>28450.7477092554</v>
      </c>
      <c r="E31" s="45">
        <f>IF(INDEX(esc_Incluir,1,3)="Sí",'Corrida 3'!$C$30,"")</f>
        <v>23143.3800712474</v>
      </c>
      <c r="F31" s="45">
        <f>IF(INDEX(esc_Incluir,1,4)="Sí",'Corrida 4'!$C$30,"")</f>
        <v>20018.4102171562</v>
      </c>
    </row>
    <row r="32">
      <c r="B32" s="43" t="inlineStr">
        <is>
          <t>Renta proporcional</t>
        </is>
      </c>
      <c r="C32" s="45">
        <f>IF(INDEX(esc_Incluir,1,1)="Sí",'Corrida 1'!$C$35*(1+par_IVA),"")</f>
        <v>1307.23601076702</v>
      </c>
      <c r="D32" s="45">
        <f>IF(INDEX(esc_Incluir,1,2)="Sí",'Corrida 2'!$C$35*(1+par_IVA),"")</f>
        <v>948.35825697518</v>
      </c>
      <c r="E32" s="45">
        <f>IF(INDEX(esc_Incluir,1,3)="Sí",'Corrida 3'!$C$35*(1+par_IVA),"")</f>
        <v>771.446002374914</v>
      </c>
      <c r="F32" s="45">
        <f>IF(INDEX(esc_Incluir,1,4)="Sí",'Corrida 4'!$C$35*(1+par_IVA),"")</f>
        <v>667.280340571872</v>
      </c>
    </row>
    <row r="33">
      <c r="B33" s="43" t="inlineStr">
        <is>
          <t>Seguro y GPS de contado</t>
        </is>
      </c>
      <c r="C33" s="45">
        <f>IF(INDEX(esc_Incluir,1,1)="Sí",ROUND(('Corrida 1'!$I$17-'Corrida 1'!$C$16-'Corrida 1'!$C$28-'Corrida 1'!$C$35)*(1+par_IVA),2),"")</f>
        <v>0</v>
      </c>
      <c r="D33" s="45">
        <f>IF(INDEX(esc_Incluir,1,2)="Sí",ROUND(('Corrida 2'!$I$17-'Corrida 2'!$C$16-'Corrida 2'!$C$28-'Corrida 2'!$C$35)*(1+par_IVA),2),"")</f>
        <v>0</v>
      </c>
      <c r="E33" s="45">
        <f>IF(INDEX(esc_Incluir,1,3)="Sí",ROUND(('Corrida 3'!$I$17-'Corrida 3'!$C$16-'Corrida 3'!$C$28-'Corrida 3'!$C$35)*(1+par_IVA),2),"")</f>
        <v>0</v>
      </c>
      <c r="F33" s="45">
        <f>IF(INDEX(esc_Incluir,1,4)="Sí",ROUND(('Corrida 4'!$I$17-'Corrida 4'!$C$16-'Corrida 4'!$C$28-'Corrida 4'!$C$35)*(1+par_IVA),2),"")</f>
        <v>0</v>
      </c>
    </row>
    <row r="34">
      <c r="B34" s="48" t="inlineStr">
        <is>
          <t>Total pago inicial</t>
        </is>
      </c>
      <c r="C34" s="49">
        <f>IF(INDEX(esc_Incluir,1,1)="Sí",'Corrida 1'!$I$20,"")</f>
        <v>91552.8323337777</v>
      </c>
      <c r="D34" s="49">
        <f>IF(INDEX(esc_Incluir,1,2)="Sí",'Corrida 2'!$I$20,"")</f>
        <v>80427.6219662306</v>
      </c>
      <c r="E34" s="49">
        <f>IF(INDEX(esc_Incluir,1,3)="Sí",'Corrida 3'!$I$20,"")</f>
        <v>74943.3420736223</v>
      </c>
      <c r="F34" s="49">
        <f>IF(INDEX(esc_Incluir,1,4)="Sí",'Corrida 4'!$I$20,"")</f>
        <v>71714.206557728</v>
      </c>
    </row>
    <row r="35">
      <c r="B35" s="46" t="inlineStr">
        <is>
          <t>RENTAS MENSUALES</t>
        </is>
      </c>
      <c r="C35" s="47" t="n"/>
      <c r="D35" s="47" t="n"/>
      <c r="E35" s="47" t="n"/>
      <c r="F35" s="47" t="n"/>
    </row>
    <row r="36">
      <c r="B36" s="43" t="inlineStr">
        <is>
          <t>Renta mensual (más IVA)</t>
        </is>
      </c>
      <c r="C36" s="45">
        <f>IF(INDEX(esc_Incluir,1,1)="Sí",'Corrida 1'!$C$24,"")</f>
        <v>33807.8278646643</v>
      </c>
      <c r="D36" s="45">
        <f>IF(INDEX(esc_Incluir,1,2)="Sí",'Corrida 2'!$C$24,"")</f>
        <v>24526.5066459098</v>
      </c>
      <c r="E36" s="45">
        <f>IF(INDEX(esc_Incluir,1,3)="Sí",'Corrida 3'!$C$24,"")</f>
        <v>19951.1897165926</v>
      </c>
      <c r="F36" s="45">
        <f>IF(INDEX(esc_Incluir,1,4)="Sí",'Corrida 4'!$C$24,"")</f>
        <v>17257.2501872036</v>
      </c>
    </row>
    <row r="37">
      <c r="B37" s="43" t="inlineStr">
        <is>
          <t>IVA</t>
        </is>
      </c>
      <c r="C37" s="45">
        <f>IF(INDEX(esc_Incluir,1,1)="Sí",'Corrida 1'!$I$21,"")</f>
        <v>5409.25245834629</v>
      </c>
      <c r="D37" s="45">
        <f>IF(INDEX(esc_Incluir,1,2)="Sí",'Corrida 2'!$I$21,"")</f>
        <v>3924.24106334557</v>
      </c>
      <c r="E37" s="45">
        <f>IF(INDEX(esc_Incluir,1,3)="Sí",'Corrida 3'!$I$21,"")</f>
        <v>3192.19035465482</v>
      </c>
      <c r="F37" s="45">
        <f>IF(INDEX(esc_Incluir,1,4)="Sí",'Corrida 4'!$I$21,"")</f>
        <v>2761.16002995257</v>
      </c>
    </row>
    <row r="38">
      <c r="B38" s="48" t="inlineStr">
        <is>
          <t>Renta mensual con IVA</t>
        </is>
      </c>
      <c r="C38" s="49">
        <f>IF(INDEX(esc_Incluir,1,1)="Sí",'Corrida 1'!$C$24+'Corrida 1'!$I$21,"")</f>
        <v>39217.0803230106</v>
      </c>
      <c r="D38" s="49">
        <f>IF(INDEX(esc_Incluir,1,2)="Sí",'Corrida 2'!$C$24+'Corrida 2'!$I$21,"")</f>
        <v>28450.7477092554</v>
      </c>
      <c r="E38" s="49">
        <f>IF(INDEX(esc_Incluir,1,3)="Sí",'Corrida 3'!$C$24+'Corrida 3'!$I$21,"")</f>
        <v>23143.3800712474</v>
      </c>
      <c r="F38" s="49">
        <f>IF(INDEX(esc_Incluir,1,4)="Sí",'Corrida 4'!$C$24+'Corrida 4'!$I$21,"")</f>
        <v>20018.4102171562</v>
      </c>
    </row>
    <row r="39">
      <c r="B39" s="43" t="inlineStr">
        <is>
          <t>Renta plazo sucesivo / opción de compra (más IVA)</t>
        </is>
      </c>
      <c r="C39" s="45">
        <f>IF(INDEX(esc_Incluir,1,1)="Sí",'Corrida 1'!$C$25+'Corrida 1'!$C$26,"")</f>
        <v>37922.5</v>
      </c>
      <c r="D39" s="45">
        <f>IF(INDEX(esc_Incluir,1,2)="Sí",'Corrida 2'!$C$25+'Corrida 2'!$C$26,"")</f>
        <v>37922.5</v>
      </c>
      <c r="E39" s="45">
        <f>IF(INDEX(esc_Incluir,1,3)="Sí",'Corrida 3'!$C$25+'Corrida 3'!$C$26,"")</f>
        <v>37922.5</v>
      </c>
      <c r="F39" s="45">
        <f>IF(INDEX(esc_Incluir,1,4)="Sí",'Corrida 4'!$C$25+'Corrida 4'!$C$26,"")</f>
        <v>37922.5</v>
      </c>
    </row>
    <row r="40">
      <c r="B40" s="43" t="inlineStr">
        <is>
          <t>Seguro y GPS financiados (incluidos en la renta)</t>
        </is>
      </c>
      <c r="C40" s="44" t="str">
        <f>IF(INDEX(esc_Incluir,1,1)="Sí",IF('Corrida 1'!$C$17+'Corrida 1'!$C$18=0,"No aplica",TEXT('Corrida 1'!$C$17+'Corrida 1'!$C$18,"$#,##0.00")&amp;" + IVA"),"")</f>
        <v>No aplica</v>
      </c>
      <c r="D40" s="44" t="str">
        <f>IF(INDEX(esc_Incluir,1,2)="Sí",IF('Corrida 2'!$C$17+'Corrida 2'!$C$18=0,"No aplica",TEXT('Corrida 2'!$C$17+'Corrida 2'!$C$18,"$#,##0.00")&amp;" + IVA"),"")</f>
        <v>No aplica</v>
      </c>
      <c r="E40" s="44" t="str">
        <f>IF(INDEX(esc_Incluir,1,3)="Sí",IF('Corrida 3'!$C$17+'Corrida 3'!$C$18=0,"No aplica",TEXT('Corrida 3'!$C$17+'Corrida 3'!$C$18,"$#,##0.00")&amp;" + IVA"),"")</f>
        <v>No aplica</v>
      </c>
      <c r="F40" s="44" t="str">
        <f>IF(INDEX(esc_Incluir,1,4)="Sí",IF('Corrida 4'!$C$17+'Corrida 4'!$C$18=0,"No aplica",TEXT('Corrida 4'!$C$17+'Corrida 4'!$C$18,"$#,##0.00")&amp;" + IVA"),"")</f>
        <v>No aplica</v>
      </c>
    </row>
    <row r="42">
      <c r="B42" s="10" t="inlineStr">
        <is>
          <t>Cifras en la moneda de la operación. Las rentas causan IVA a la tasa vigente. Sujeto a aprobación de crédito.</t>
        </is>
      </c>
    </row>
    <row r="44" ht="16" customHeight="1">
      <c r="B44" s="50" t="str">
        <f>Configuracion!$B$36</f>
        <v>Gastos de Ratificación:</v>
      </c>
      <c r="C44" s="51" t="str">
        <f>SUBSTITUTE(SUBSTITUTE(Configuracion!$C$36,"{ARRENDADOR}",par_Arrendador),"{VIGENCIA}",par_Vigencia)</f>
        <v>Dependiendo de la ciudad, pagaderos (MXN) por cada Anexo de Arrendamiento.</v>
      </c>
    </row>
    <row r="45" ht="208" customHeight="1">
      <c r="B45" s="50" t="str">
        <f>Configuracion!$B$37</f>
        <v>Opciones al Término del Contrato:</v>
      </c>
      <c r="C45" s="51" t="str">
        <f>SUBSTITUTE(SUBSTITUTE(Configuracion!$C$37,"{ARRENDADOR}",par_Arrendador),"{VIGENCIA}",par_Vigencia)</f>
        <v>Al concluir el Plazo Básico, o cualquier extensión del mismo, de cada Anexo de Arrendamiento, y siempre y cuando el Arrendatario se encuentre al corriente en el cumplimiento de todas y cada una de las obligaciones que del Arrendamiento Maestro, así como cualesquiera Anexo de Arrendamiento le imponen, este último tendrá derecho preferente para adquirir la totalidad (pero no menos que la totalidad) del Equipo materia del arrendamiento instrumentado en el Anexo de arrendamiento de que se trate. Si el Arrendatario no ejerce su derecho de preferencia mencionado en el párrafo anterior, el Arrendatario deberá, a su costo, desinstalar, re empaquetar y devolver el equipo (no menos que todo) al Arrendador en su domicilio, o el lugar y fecha que este último le indique por escrito para tal efecto, en el estado y condiciones en que el Arrendatario lo hubiese recibido, sin mayor desgaste que el normalmente derivado de su uso o deterioro normal. En caso de que el Equipo no fuese devuelto en la fecha a que se refiere el párrafo anterior, el plazo del arrendamiento respectivo se prorrogará automáticamente trimestralmente hasta la devolución respectiva, en la inteligencia de que las prórrogas correspondientes se considerarán forzosas para efectos del arrendamiento y durante la vigencia de cada una de ellas el Arrendatario se obliga a pagar al Arrendador una cantidad igual al Pago Periódico correspondiente. La totalidad de impuestos, derechos, contribuciones o gastos de cualquier naturaleza que se ocasionen con motivo de la adquisición del Equipo, serán a cargo del Arrendatario.</v>
      </c>
    </row>
    <row r="46">
      <c r="B46" s="4" t="inlineStr">
        <is>
          <t>Esta propuesta se basa en los siguientes términos y condiciones adicionales:</t>
        </is>
      </c>
    </row>
    <row r="47" ht="40" customHeight="1">
      <c r="B47" s="50" t="str">
        <f>Configuracion!$B$38</f>
        <v>1.- Compra del Equipo:</v>
      </c>
      <c r="C47" s="51" t="str">
        <f>SUBSTITUTE(SUBSTITUTE(Configuracion!$C$38,"{ARRENDADOR}",par_Arrendador),"{VIGENCIA}",par_Vigencia)</f>
        <v>Anticipamos que el Arrendatario enviará al proveedor del equipo su orden de compra. El Arrendador asumirá el pago de la orden de compra del Arrendatario, lo anterior condicionado a que el Arrendatario rente el equipo del Arrendador.</v>
      </c>
    </row>
    <row r="48" ht="28" customHeight="1">
      <c r="B48" s="50" t="str">
        <f>Configuracion!$B$39</f>
        <v>2.- Beneficios Fiscales:</v>
      </c>
      <c r="C48" s="51" t="str">
        <f>SUBSTITUTE(SUBSTITUTE(Configuracion!$C$39,"{ARRENDADOR}",par_Arrendador),"{VIGENCIA}",par_Vigencia)</f>
        <v>El Arrendador deberá ser considerado como el dueño del equipo para los efectos fiscales correspondientes.</v>
      </c>
    </row>
    <row r="49" ht="148" customHeight="1">
      <c r="B49" s="50" t="str">
        <f>Configuracion!$B$40</f>
        <v>3.- Arrendamiento Neto:</v>
      </c>
      <c r="C49" s="51" t="str">
        <f>SUBSTITUTE(SUBSTITUTE(Configuracion!$C$40,"{ARRENDADOR}",par_Arrendador),"{VIGENCIA}",par_Vigencia)</f>
        <v>El Arrendatario conviene en que su obligación de pagar la Renta, mediante los Pagos Periódicos, y otras cantidades que sean pagaderas conforme al presente, será absoluta e incondicional, y no estará sujeta a reducciones de ninguna clase, incluyendo sin limitación alguna, reducciones por causa de cualquier demanda pasada, presente o futura que sea consecuencia de este Arrendamiento, cualquier Anexo de Arrendamiento o por cualquier otra razón, o en contra del fabricante, proveedor o constructor del Equipo o en contra de cualquier otra persona física o persona moral. El Arrendatario es responsable por todos los gastos de mantenimiento, seguro e impuestos relativos a la compra, renta, posesión y uso del equipo excepto por el Impuesto al Valor Agregado y gastos de importación correspondientes a la compra e importación del Equipo, siendo estos últimos parte del costo del Equipo. El Arrendatario también es responsable del Impuesto al Valor Agregado de las rentas, excluyendo el impuesto sobre la renta a cargo del Arrendador.</v>
      </c>
    </row>
    <row r="50" ht="40" customHeight="1">
      <c r="B50" s="50" t="str">
        <f>Configuracion!$B$41</f>
        <v>4.- Moneda:</v>
      </c>
      <c r="C50" s="51" t="str">
        <f>SUBSTITUTE(SUBSTITUTE(Configuracion!$C$41,"{ARRENDADOR}",par_Arrendador),"{VIGENCIA}",par_Vigencia)</f>
        <v>Todos los pagos por concepto de arrendamiento están expresados en la moneda descrita en el tipo de operación así como cualquier otra cantidad que deba ser pagada al Arrendador de acuerdo a la documentación (incluyendo sin limitación alguna costos y gastos).</v>
      </c>
    </row>
    <row r="51" ht="76" customHeight="1">
      <c r="B51" s="50" t="str">
        <f>Configuracion!$B$42</f>
        <v>5.- Mantenimiento y Seguro:</v>
      </c>
      <c r="C51" s="51" t="str">
        <f>SUBSTITUTE(SUBSTITUTE(Configuracion!$C$42,"{ARRENDADOR}",par_Arrendador),"{VIGENCIA}",par_Vigencia)</f>
        <v>Todos los mantenimientos y seguros de los equipos serán responsabilidad del Arrendatario durante todo el tiempo que dure el Plazo Básico, o cualquier extensión del mismo establecido en cualesquiera de los Anexos de arrendamiento. El Arrendatario deberá contratar el seguro por los montos y compañía de seguros aceptable al Arrendador y de acuerdo a disponibilidad de coberturas ofrecidas en México. El Arrendatario deberá enviar al Arrendador copia de las pólizas o certificados de seguro como evidencia de la cobertura.</v>
      </c>
    </row>
    <row r="52" ht="40" customHeight="1">
      <c r="B52" s="50" t="str">
        <f>Configuracion!$B$43</f>
        <v>6.- Caducidad:</v>
      </c>
      <c r="C52" s="51" t="str">
        <f>SUBSTITUTE(SUBSTITUTE(Configuracion!$C$43,"{ARRENDADOR}",par_Arrendador),"{VIGENCIA}",par_Vigencia)</f>
        <v>La presente propuesta, sus términos y condiciones expiran 5 días hábiles posteriores a la fecha aquí marcada, si SOFOPLUS, S.A.P.I. DE C.V., E.R. no recibe aceptación por escrito de la misma.</v>
      </c>
    </row>
    <row r="53" ht="64" customHeight="1">
      <c r="B53" s="50" t="str">
        <f>Configuracion!$B$44</f>
        <v>7.- Cambio Material Adverso:</v>
      </c>
      <c r="C53" s="51" t="str">
        <f>SUBSTITUTE(SUBSTITUTE(Configuracion!$C$44,"{ARRENDADOR}",par_Arrendador),"{VIGENCIA}",par_Vigencia)</f>
        <v>La presente propuesta está sujeta a que no suceda ningún Cambio Material Adverso que pueda afectar negativamente los términos y condiciones presentados, entendiéndose por cambio material adverso cualquier alteración en las condiciones macroeconómicas, microeconómicas y sociopolíticas del País, liberando por tanto el Arrendatario a el Arrendador de cualquier responsabilidad a este efecto.</v>
      </c>
    </row>
    <row r="54" ht="40" customHeight="1">
      <c r="B54" s="50" t="str">
        <f>Configuracion!$B$45</f>
        <v>8.- Confidencialidad:</v>
      </c>
      <c r="C54" s="51" t="str">
        <f>SUBSTITUTE(SUBSTITUTE(Configuracion!$C$45,"{ARRENDADOR}",par_Arrendador),"{VIGENCIA}",par_Vigencia)</f>
        <v>La presente propuesta solo podrá ser vista y analizada por el personal de la Arrendataria y aquellas personas que formen parte del proceso de autorización de esta propuesta.</v>
      </c>
    </row>
    <row r="55" ht="52" customHeight="1">
      <c r="B55" s="50" t="str">
        <f>Configuracion!$B$46</f>
        <v>9.- Riesgo Cambiario:</v>
      </c>
      <c r="C55" s="51" t="str">
        <f>SUBSTITUTE(SUBSTITUTE(Configuracion!$C$46,"{ARRENDADOR}",par_Arrendador),"{VIGENCIA}",par_Vigencia)</f>
        <v>SOFOPLUS, S.A.P.I. DE C.V., E.R. no asume ninguna responsabilidad derivada por cualquier variación al tipo de cambio al momento del pago al proveedor, obligándose el Arrendatario a pagar al Arrendador previo pago al proveedor, cualquier diferencia que pudiera existir con relación al tipo de cambio estimado para el cierre de la operación de arrendamiento.</v>
      </c>
    </row>
    <row r="56" ht="40" customHeight="1">
      <c r="B56" s="50" t="str">
        <f>Configuracion!$B$47</f>
        <v>10.- Renta Proporcional:</v>
      </c>
      <c r="C56" s="51" t="str">
        <f>SUBSTITUTE(SUBSTITUTE(Configuracion!$C$47,"{ARRENDADOR}",par_Arrendador),"{VIGENCIA}",par_Vigencia)</f>
        <v>El Arrendatario se obliga a pagar una contraprestación por concepto de renta proporcional, misma que se genere por los días que transcurran entre la fecha de pago al proveedor y la fecha de inicio del plazo del arrendamiento.</v>
      </c>
    </row>
    <row r="57" ht="64" customHeight="1">
      <c r="B57" s="50" t="str">
        <f>Configuracion!$B$48</f>
        <v>11.- Autorización:</v>
      </c>
      <c r="C57" s="51" t="str">
        <f>SUBSTITUTE(SUBSTITUTE(Configuracion!$C$48,"{ARRENDADOR}",par_Arrendador),"{VIGENCIA}",par_Vigencia)</f>
        <v>La autorización de la presente propuesta está sujeta a que el departamento de crédito y legal de SOFOPLUS, S.A.P.I. DE C.V., E.R. la aprueben mediante los procesos internos establecidos y la celebración de la documentación correspondiente, por lo que ninguna de las partes involucradas estará legalmente comprometida con la otra por causa de esta propuesta, ni se generará ningún derecho, responsabilidad u obligación como resultado de la misma.</v>
      </c>
    </row>
    <row r="59" ht="28" customHeight="1">
      <c r="B59" s="5" t="str">
        <f>Configuracion!$C$49</f>
        <v>Agradecemos de antemano el favorecernos con su decisión, esperando tener noticias de usted a la brevedad posible.</v>
      </c>
    </row>
    <row r="62">
      <c r="B62" s="4" t="inlineStr">
        <is>
          <t>A T E N T A M E N T E</t>
        </is>
      </c>
      <c r="D62" s="4" t="inlineStr">
        <is>
          <t>PROPUESTA ACEPTADA POR:</t>
        </is>
      </c>
    </row>
    <row r="65">
      <c r="B65" s="52" t="n"/>
      <c r="D65" s="7" t="inlineStr">
        <is>
          <t>Nombre:</t>
        </is>
      </c>
      <c r="E65" s="52" t="n"/>
      <c r="F65" s="52" t="n"/>
    </row>
    <row r="66">
      <c r="B66" s="4" t="str">
        <f>inp_Promotor</f>
        <v>NOMBRE DEL PROMOTOR</v>
      </c>
      <c r="D66" s="7" t="inlineStr">
        <is>
          <t>Puesto:</t>
        </is>
      </c>
      <c r="E66" s="52" t="n"/>
      <c r="F66" s="52" t="n"/>
    </row>
    <row r="67">
      <c r="B67" s="7" t="str">
        <f>"Promoción – "&amp;par_Comercial</f>
        <v>Promoción – SOFOPLUS</v>
      </c>
      <c r="D67" s="7" t="inlineStr">
        <is>
          <t>Fecha:</t>
        </is>
      </c>
      <c r="E67" s="52" t="n"/>
      <c r="F67" s="52" t="n"/>
    </row>
    <row r="68">
      <c r="B68" s="10" t="str">
        <f>IF(par_Contacto="","",par_Contacto)</f>
        <v/>
      </c>
      <c r="D68" s="7" t="inlineStr">
        <is>
          <t>Firma:</t>
        </is>
      </c>
      <c r="E68" s="52" t="n"/>
      <c r="F68" s="52" t="n"/>
    </row>
  </sheetData>
  <sheetProtection selectLockedCells="0" selectUnlockedCells="0" sheet="1" objects="0" insertRows="1" insertHyperlinks="1" autoFilter="1" scenarios="0" formatColumns="0" deleteColumns="1" insertColumns="1" pivotTables="1" deleteRows="1" formatCells="1" formatRows="0" sort="1"/>
  <mergeCells count="30">
    <mergeCell ref="D2:F2"/>
    <mergeCell ref="C52:F52"/>
    <mergeCell ref="C48:F48"/>
    <mergeCell ref="C17:F17"/>
    <mergeCell ref="B59:F59"/>
    <mergeCell ref="B46:F46"/>
    <mergeCell ref="C19:F19"/>
    <mergeCell ref="C57:F57"/>
    <mergeCell ref="C18:F18"/>
    <mergeCell ref="C53:F53"/>
    <mergeCell ref="C49:F49"/>
    <mergeCell ref="B11:F11"/>
    <mergeCell ref="D4:F4"/>
    <mergeCell ref="B42:F42"/>
    <mergeCell ref="D3:F3"/>
    <mergeCell ref="C15:F15"/>
    <mergeCell ref="C14:F14"/>
    <mergeCell ref="C45:F45"/>
    <mergeCell ref="C20:F20"/>
    <mergeCell ref="C16:F16"/>
    <mergeCell ref="C54:F54"/>
    <mergeCell ref="C47:F47"/>
    <mergeCell ref="D1:F1"/>
    <mergeCell ref="C50:F50"/>
    <mergeCell ref="C55:F55"/>
    <mergeCell ref="C44:F44"/>
    <mergeCell ref="C22:F22"/>
    <mergeCell ref="C56:F56"/>
    <mergeCell ref="C21:F21"/>
    <mergeCell ref="C51:F51"/>
  </mergeCells>
  <pageMargins left="0.5" right="0.5" top="0.5" bottom="0.6" header="0.5" footer="0.5"/>
  <pageSetup orientation="portrait" paperSize="1" fitToHeight="0" fitToWidth="1"/>
  <headerFooter>
    <oddHeader/>
    <oddFooter>&amp;C&amp;8 Página &amp;P de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codeName="Hoja4">
    <tabColor rgb="0070AD47"/>
    <outlinePr summaryBelow="1" summaryRight="1"/>
    <pageSetUpPr fitToPage="1"/>
  </sheetPr>
  <dimension ref="B1:H111"/>
  <sheetViews>
    <sheetView showGridLines="0" workbookViewId="0">
      <pane xSplit="1" ySplit="10" topLeftCell="B11" activePane="bottomRight" state="frozen"/>
      <selection pane="topRight"/>
      <selection pane="bottomLeft"/>
      <selection pane="bottomRight" activeCell="A1" sqref="A1"/>
    </sheetView>
  </sheetViews>
  <sheetFormatPr baseColWidth="8" defaultRowHeight="15"/>
  <cols>
    <col width="2" customWidth="1" min="1" max="1"/>
    <col width="7" customWidth="1" min="2" max="2"/>
    <col width="13" customWidth="1" min="3" max="3"/>
    <col width="22" customWidth="1" min="4" max="4"/>
    <col width="17" customWidth="1" min="5" max="5"/>
    <col width="15" customWidth="1" min="6" max="6"/>
    <col width="17" customWidth="1" min="7" max="7"/>
    <col width="18" customWidth="1" min="8" max="8"/>
    <col width="2" customWidth="1" min="9" max="9"/>
  </cols>
  <sheetData>
    <row r="1">
      <c r="D1" s="11" t="inlineStr">
        <is>
          <t>TABLA DE PAGOS</t>
        </is>
      </c>
    </row>
    <row r="2">
      <c r="D2" s="2" t="str">
        <f>par_Arrendador</f>
        <v>SOFOPLUS, S.A.P.I. DE C.V., E.R.</v>
      </c>
    </row>
    <row r="4">
      <c r="B4" s="4" t="inlineStr">
        <is>
          <t>Cliente:</t>
        </is>
      </c>
      <c r="D4" s="7" t="str">
        <f>inp_Cliente</f>
        <v>CLIENTE DE EJEMPLO, S.A. DE C.V.</v>
      </c>
    </row>
    <row r="5">
      <c r="B5" s="4" t="inlineStr">
        <is>
          <t>Equipo:</t>
        </is>
      </c>
      <c r="D5" s="7" t="str">
        <f>inp_Equipo</f>
        <v>Auto BYD M9 2026</v>
      </c>
    </row>
    <row r="6">
      <c r="B6" s="4" t="inlineStr">
        <is>
          <t>Folio:</t>
        </is>
      </c>
      <c r="D6" s="7" t="str">
        <f>inp_Folio</f>
        <v>COT-0001</v>
      </c>
    </row>
    <row r="7">
      <c r="B7" s="4" t="inlineStr">
        <is>
          <t>Escenario a mostrar:</t>
        </is>
      </c>
      <c r="D7" s="53" t="n">
        <v>1</v>
      </c>
      <c r="F7" s="10" t="inlineStr">
        <is>
          <t>Elija 1, 2, 3 ó 4</t>
        </is>
      </c>
    </row>
    <row r="8">
      <c r="B8" s="7" t="str">
        <f>"Plazo: "&amp;CHOOSE(inp_EscTabla,'Corrida 1'!$C$5,'Corrida 2'!$C$5,'Corrida 3'!$C$5,'Corrida 4'!$C$5)&amp;" meses + "&amp;CHOOSE(inp_EscTabla,'Corrida 1'!$C$6,'Corrida 2'!$C$6,'Corrida 3'!$C$6,'Corrida 4'!$C$6)&amp;" sucesivo  |  Tasa anual: "&amp;TEXT(CHOOSE(inp_EscTabla,'Corrida 1'!$C$8,'Corrida 2'!$C$8,'Corrida 3'!$C$8,'Corrida 4'!$C$8),"0.00%")&amp;"  |  Pago "&amp;LOWER(inp_Modalidad)&amp;"  |  "&amp;inp_Moneda</f>
        <v>Plazo: 24 meses + 1 sucesivo  |  Tasa anual: 17.00%  |  Pago anticipado  |  Moneda Nacional</v>
      </c>
    </row>
    <row r="10">
      <c r="B10" s="30" t="inlineStr">
        <is>
          <t>No.</t>
        </is>
      </c>
      <c r="C10" s="30" t="inlineStr">
        <is>
          <t>Fecha</t>
        </is>
      </c>
      <c r="D10" s="30" t="inlineStr">
        <is>
          <t>Concepto</t>
        </is>
      </c>
      <c r="E10" s="30" t="inlineStr">
        <is>
          <t>Importe sin IVA</t>
        </is>
      </c>
      <c r="F10" s="30" t="inlineStr">
        <is>
          <t>IVA</t>
        </is>
      </c>
      <c r="G10" s="30" t="inlineStr">
        <is>
          <t>Total con IVA</t>
        </is>
      </c>
      <c r="H10" s="30" t="inlineStr">
        <is>
          <t>Acumulado con IVA</t>
        </is>
      </c>
    </row>
    <row r="11">
      <c r="B11" s="54" t="n">
        <v>0</v>
      </c>
      <c r="C11" s="55">
        <f>inp_FechaFirma</f>
        <v>46295.0</v>
      </c>
      <c r="D11" s="54" t="inlineStr">
        <is>
          <t>Pago inicial</t>
        </is>
      </c>
      <c r="E11" s="56">
        <f>CHOOSE(inp_EscTabla,'Corrida 1'!$I$17,'Corrida 2'!$I$17,'Corrida 3'!$I$17,'Corrida 4'!$I$17)+CHOOSE(inp_EscTabla,'Corrida 1'!$I$19,'Corrida 2'!$I$19,'Corrida 3'!$I$19,'Corrida 4'!$I$19)</f>
        <v>84334.1079184995</v>
      </c>
      <c r="F11" s="56">
        <f>CHOOSE(inp_EscTabla,'Corrida 1'!$I$18,'Corrida 2'!$I$18,'Corrida 3'!$I$18,'Corrida 4'!$I$18)</f>
        <v>7218.72441527821</v>
      </c>
      <c r="G11" s="56">
        <f>E11+F11</f>
        <v>91552.8323337777</v>
      </c>
      <c r="H11" s="56">
        <f>G11</f>
        <v>91552.8323337777</v>
      </c>
    </row>
    <row r="12">
      <c r="B12" s="57">
        <f>IF(CHOOSE(inp_EscTabla,'Corrida 1'!$B$46,'Corrida 2'!$B$46,'Corrida 3'!$B$46,'Corrida 4'!$B$46)="","",1)</f>
        <v>1</v>
      </c>
      <c r="C12" s="58">
        <f>IF(B12="","",CHOOSE(inp_EscTabla,'Corrida 1'!$D$46,'Corrida 2'!$D$46,'Corrida 3'!$D$46,'Corrida 4'!$D$46))</f>
        <v>46296.0</v>
      </c>
      <c r="D12" s="57" t="str">
        <f>IF(B12="","",IF(CHOOSE(inp_EscTabla,'Corrida 1'!$B$46,'Corrida 2'!$B$46,'Corrida 3'!$B$46,'Corrida 4'!$B$46)="Básico","Renta mensual",IF(CHOOSE(inp_EscTabla,'Corrida 1'!$B$46,'Corrida 2'!$B$46,'Corrida 3'!$B$46,'Corrida 4'!$B$46)="Sucesivo","Renta plazo sucesivo","Opción de compra")))</f>
        <v>Renta mensual</v>
      </c>
      <c r="E12" s="59">
        <f>IF(B12="","",CHOOSE(inp_EscTabla,'Corrida 1'!$F$46,'Corrida 2'!$F$46,'Corrida 3'!$F$46,'Corrida 4'!$F$46))</f>
        <v>33807.8278646643</v>
      </c>
      <c r="F12" s="59">
        <f>IF(B12="","",CHOOSE(inp_EscTabla,'Corrida 1'!$J$46,'Corrida 2'!$J$46,'Corrida 3'!$J$46,'Corrida 4'!$J$46))</f>
        <v>5409.25245834629</v>
      </c>
      <c r="G12" s="59">
        <f>IF(B12="","",E12+F12)</f>
        <v>39217.0803230106</v>
      </c>
      <c r="H12" s="59">
        <f>IF(B12="","",H11+G12)</f>
        <v>130769.912656788</v>
      </c>
    </row>
    <row r="13">
      <c r="B13" s="57">
        <f>IF(CHOOSE(inp_EscTabla,'Corrida 1'!$B$47,'Corrida 2'!$B$47,'Corrida 3'!$B$47,'Corrida 4'!$B$47)="","",2)</f>
        <v>2</v>
      </c>
      <c r="C13" s="58">
        <f>IF(B13="","",CHOOSE(inp_EscTabla,'Corrida 1'!$D$47,'Corrida 2'!$D$47,'Corrida 3'!$D$47,'Corrida 4'!$D$47))</f>
        <v>46327.0</v>
      </c>
      <c r="D13" s="57" t="str">
        <f>IF(B13="","",IF(CHOOSE(inp_EscTabla,'Corrida 1'!$B$47,'Corrida 2'!$B$47,'Corrida 3'!$B$47,'Corrida 4'!$B$47)="Básico","Renta mensual",IF(CHOOSE(inp_EscTabla,'Corrida 1'!$B$47,'Corrida 2'!$B$47,'Corrida 3'!$B$47,'Corrida 4'!$B$47)="Sucesivo","Renta plazo sucesivo","Opción de compra")))</f>
        <v>Renta mensual</v>
      </c>
      <c r="E13" s="59">
        <f>IF(B13="","",CHOOSE(inp_EscTabla,'Corrida 1'!$F$47,'Corrida 2'!$F$47,'Corrida 3'!$F$47,'Corrida 4'!$F$47))</f>
        <v>33807.8278646643</v>
      </c>
      <c r="F13" s="59">
        <f>IF(B13="","",CHOOSE(inp_EscTabla,'Corrida 1'!$J$47,'Corrida 2'!$J$47,'Corrida 3'!$J$47,'Corrida 4'!$J$47))</f>
        <v>5409.25245834629</v>
      </c>
      <c r="G13" s="59">
        <f>IF(B13="","",E13+F13)</f>
        <v>39217.0803230106</v>
      </c>
      <c r="H13" s="59">
        <f>IF(B13="","",H12+G13)</f>
        <v>169986.992979799</v>
      </c>
    </row>
    <row r="14">
      <c r="B14" s="57">
        <f>IF(CHOOSE(inp_EscTabla,'Corrida 1'!$B$48,'Corrida 2'!$B$48,'Corrida 3'!$B$48,'Corrida 4'!$B$48)="","",3)</f>
        <v>3</v>
      </c>
      <c r="C14" s="58">
        <f>IF(B14="","",CHOOSE(inp_EscTabla,'Corrida 1'!$D$48,'Corrida 2'!$D$48,'Corrida 3'!$D$48,'Corrida 4'!$D$48))</f>
        <v>46357.0</v>
      </c>
      <c r="D14" s="57" t="str">
        <f>IF(B14="","",IF(CHOOSE(inp_EscTabla,'Corrida 1'!$B$48,'Corrida 2'!$B$48,'Corrida 3'!$B$48,'Corrida 4'!$B$48)="Básico","Renta mensual",IF(CHOOSE(inp_EscTabla,'Corrida 1'!$B$48,'Corrida 2'!$B$48,'Corrida 3'!$B$48,'Corrida 4'!$B$48)="Sucesivo","Renta plazo sucesivo","Opción de compra")))</f>
        <v>Renta mensual</v>
      </c>
      <c r="E14" s="59">
        <f>IF(B14="","",CHOOSE(inp_EscTabla,'Corrida 1'!$F$48,'Corrida 2'!$F$48,'Corrida 3'!$F$48,'Corrida 4'!$F$48))</f>
        <v>33807.8278646643</v>
      </c>
      <c r="F14" s="59">
        <f>IF(B14="","",CHOOSE(inp_EscTabla,'Corrida 1'!$J$48,'Corrida 2'!$J$48,'Corrida 3'!$J$48,'Corrida 4'!$J$48))</f>
        <v>5409.25245834629</v>
      </c>
      <c r="G14" s="59">
        <f>IF(B14="","",E14+F14)</f>
        <v>39217.0803230106</v>
      </c>
      <c r="H14" s="59">
        <f>IF(B14="","",H13+G14)</f>
        <v>209204.07330281</v>
      </c>
    </row>
    <row r="15">
      <c r="B15" s="57">
        <f>IF(CHOOSE(inp_EscTabla,'Corrida 1'!$B$49,'Corrida 2'!$B$49,'Corrida 3'!$B$49,'Corrida 4'!$B$49)="","",4)</f>
        <v>4</v>
      </c>
      <c r="C15" s="58">
        <f>IF(B15="","",CHOOSE(inp_EscTabla,'Corrida 1'!$D$49,'Corrida 2'!$D$49,'Corrida 3'!$D$49,'Corrida 4'!$D$49))</f>
        <v>46388.0</v>
      </c>
      <c r="D15" s="57" t="str">
        <f>IF(B15="","",IF(CHOOSE(inp_EscTabla,'Corrida 1'!$B$49,'Corrida 2'!$B$49,'Corrida 3'!$B$49,'Corrida 4'!$B$49)="Básico","Renta mensual",IF(CHOOSE(inp_EscTabla,'Corrida 1'!$B$49,'Corrida 2'!$B$49,'Corrida 3'!$B$49,'Corrida 4'!$B$49)="Sucesivo","Renta plazo sucesivo","Opción de compra")))</f>
        <v>Renta mensual</v>
      </c>
      <c r="E15" s="59">
        <f>IF(B15="","",CHOOSE(inp_EscTabla,'Corrida 1'!$F$49,'Corrida 2'!$F$49,'Corrida 3'!$F$49,'Corrida 4'!$F$49))</f>
        <v>33807.8278646643</v>
      </c>
      <c r="F15" s="59">
        <f>IF(B15="","",CHOOSE(inp_EscTabla,'Corrida 1'!$J$49,'Corrida 2'!$J$49,'Corrida 3'!$J$49,'Corrida 4'!$J$49))</f>
        <v>5409.25245834629</v>
      </c>
      <c r="G15" s="59">
        <f>IF(B15="","",E15+F15)</f>
        <v>39217.0803230106</v>
      </c>
      <c r="H15" s="59">
        <f>IF(B15="","",H14+G15)</f>
        <v>248421.15362582</v>
      </c>
    </row>
    <row r="16">
      <c r="B16" s="57">
        <f>IF(CHOOSE(inp_EscTabla,'Corrida 1'!$B$50,'Corrida 2'!$B$50,'Corrida 3'!$B$50,'Corrida 4'!$B$50)="","",5)</f>
        <v>5</v>
      </c>
      <c r="C16" s="58">
        <f>IF(B16="","",CHOOSE(inp_EscTabla,'Corrida 1'!$D$50,'Corrida 2'!$D$50,'Corrida 3'!$D$50,'Corrida 4'!$D$50))</f>
        <v>46419.0</v>
      </c>
      <c r="D16" s="57" t="str">
        <f>IF(B16="","",IF(CHOOSE(inp_EscTabla,'Corrida 1'!$B$50,'Corrida 2'!$B$50,'Corrida 3'!$B$50,'Corrida 4'!$B$50)="Básico","Renta mensual",IF(CHOOSE(inp_EscTabla,'Corrida 1'!$B$50,'Corrida 2'!$B$50,'Corrida 3'!$B$50,'Corrida 4'!$B$50)="Sucesivo","Renta plazo sucesivo","Opción de compra")))</f>
        <v>Renta mensual</v>
      </c>
      <c r="E16" s="59">
        <f>IF(B16="","",CHOOSE(inp_EscTabla,'Corrida 1'!$F$50,'Corrida 2'!$F$50,'Corrida 3'!$F$50,'Corrida 4'!$F$50))</f>
        <v>33807.8278646643</v>
      </c>
      <c r="F16" s="59">
        <f>IF(B16="","",CHOOSE(inp_EscTabla,'Corrida 1'!$J$50,'Corrida 2'!$J$50,'Corrida 3'!$J$50,'Corrida 4'!$J$50))</f>
        <v>5409.25245834629</v>
      </c>
      <c r="G16" s="59">
        <f>IF(B16="","",E16+F16)</f>
        <v>39217.0803230106</v>
      </c>
      <c r="H16" s="59">
        <f>IF(B16="","",H15+G16)</f>
        <v>287638.233948831</v>
      </c>
    </row>
    <row r="17">
      <c r="B17" s="57">
        <f>IF(CHOOSE(inp_EscTabla,'Corrida 1'!$B$51,'Corrida 2'!$B$51,'Corrida 3'!$B$51,'Corrida 4'!$B$51)="","",6)</f>
        <v>6</v>
      </c>
      <c r="C17" s="58">
        <f>IF(B17="","",CHOOSE(inp_EscTabla,'Corrida 1'!$D$51,'Corrida 2'!$D$51,'Corrida 3'!$D$51,'Corrida 4'!$D$51))</f>
        <v>46447.0</v>
      </c>
      <c r="D17" s="57" t="str">
        <f>IF(B17="","",IF(CHOOSE(inp_EscTabla,'Corrida 1'!$B$51,'Corrida 2'!$B$51,'Corrida 3'!$B$51,'Corrida 4'!$B$51)="Básico","Renta mensual",IF(CHOOSE(inp_EscTabla,'Corrida 1'!$B$51,'Corrida 2'!$B$51,'Corrida 3'!$B$51,'Corrida 4'!$B$51)="Sucesivo","Renta plazo sucesivo","Opción de compra")))</f>
        <v>Renta mensual</v>
      </c>
      <c r="E17" s="59">
        <f>IF(B17="","",CHOOSE(inp_EscTabla,'Corrida 1'!$F$51,'Corrida 2'!$F$51,'Corrida 3'!$F$51,'Corrida 4'!$F$51))</f>
        <v>33807.8278646643</v>
      </c>
      <c r="F17" s="59">
        <f>IF(B17="","",CHOOSE(inp_EscTabla,'Corrida 1'!$J$51,'Corrida 2'!$J$51,'Corrida 3'!$J$51,'Corrida 4'!$J$51))</f>
        <v>5409.25245834629</v>
      </c>
      <c r="G17" s="59">
        <f>IF(B17="","",E17+F17)</f>
        <v>39217.0803230106</v>
      </c>
      <c r="H17" s="59">
        <f>IF(B17="","",H16+G17)</f>
        <v>326855.314271841</v>
      </c>
    </row>
    <row r="18">
      <c r="B18" s="57">
        <f>IF(CHOOSE(inp_EscTabla,'Corrida 1'!$B$52,'Corrida 2'!$B$52,'Corrida 3'!$B$52,'Corrida 4'!$B$52)="","",7)</f>
        <v>7</v>
      </c>
      <c r="C18" s="58">
        <f>IF(B18="","",CHOOSE(inp_EscTabla,'Corrida 1'!$D$52,'Corrida 2'!$D$52,'Corrida 3'!$D$52,'Corrida 4'!$D$52))</f>
        <v>46478.0</v>
      </c>
      <c r="D18" s="57" t="str">
        <f>IF(B18="","",IF(CHOOSE(inp_EscTabla,'Corrida 1'!$B$52,'Corrida 2'!$B$52,'Corrida 3'!$B$52,'Corrida 4'!$B$52)="Básico","Renta mensual",IF(CHOOSE(inp_EscTabla,'Corrida 1'!$B$52,'Corrida 2'!$B$52,'Corrida 3'!$B$52,'Corrida 4'!$B$52)="Sucesivo","Renta plazo sucesivo","Opción de compra")))</f>
        <v>Renta mensual</v>
      </c>
      <c r="E18" s="59">
        <f>IF(B18="","",CHOOSE(inp_EscTabla,'Corrida 1'!$F$52,'Corrida 2'!$F$52,'Corrida 3'!$F$52,'Corrida 4'!$F$52))</f>
        <v>33807.8278646643</v>
      </c>
      <c r="F18" s="59">
        <f>IF(B18="","",CHOOSE(inp_EscTabla,'Corrida 1'!$J$52,'Corrida 2'!$J$52,'Corrida 3'!$J$52,'Corrida 4'!$J$52))</f>
        <v>5409.25245834629</v>
      </c>
      <c r="G18" s="59">
        <f>IF(B18="","",E18+F18)</f>
        <v>39217.0803230106</v>
      </c>
      <c r="H18" s="59">
        <f>IF(B18="","",H17+G18)</f>
        <v>366072.394594852</v>
      </c>
    </row>
    <row r="19">
      <c r="B19" s="57">
        <f>IF(CHOOSE(inp_EscTabla,'Corrida 1'!$B$53,'Corrida 2'!$B$53,'Corrida 3'!$B$53,'Corrida 4'!$B$53)="","",8)</f>
        <v>8</v>
      </c>
      <c r="C19" s="58">
        <f>IF(B19="","",CHOOSE(inp_EscTabla,'Corrida 1'!$D$53,'Corrida 2'!$D$53,'Corrida 3'!$D$53,'Corrida 4'!$D$53))</f>
        <v>46508.0</v>
      </c>
      <c r="D19" s="57" t="str">
        <f>IF(B19="","",IF(CHOOSE(inp_EscTabla,'Corrida 1'!$B$53,'Corrida 2'!$B$53,'Corrida 3'!$B$53,'Corrida 4'!$B$53)="Básico","Renta mensual",IF(CHOOSE(inp_EscTabla,'Corrida 1'!$B$53,'Corrida 2'!$B$53,'Corrida 3'!$B$53,'Corrida 4'!$B$53)="Sucesivo","Renta plazo sucesivo","Opción de compra")))</f>
        <v>Renta mensual</v>
      </c>
      <c r="E19" s="59">
        <f>IF(B19="","",CHOOSE(inp_EscTabla,'Corrida 1'!$F$53,'Corrida 2'!$F$53,'Corrida 3'!$F$53,'Corrida 4'!$F$53))</f>
        <v>33807.8278646643</v>
      </c>
      <c r="F19" s="59">
        <f>IF(B19="","",CHOOSE(inp_EscTabla,'Corrida 1'!$J$53,'Corrida 2'!$J$53,'Corrida 3'!$J$53,'Corrida 4'!$J$53))</f>
        <v>5409.25245834629</v>
      </c>
      <c r="G19" s="59">
        <f>IF(B19="","",E19+F19)</f>
        <v>39217.0803230106</v>
      </c>
      <c r="H19" s="59">
        <f>IF(B19="","",H18+G19)</f>
        <v>405289.474917863</v>
      </c>
    </row>
    <row r="20">
      <c r="B20" s="57">
        <f>IF(CHOOSE(inp_EscTabla,'Corrida 1'!$B$54,'Corrida 2'!$B$54,'Corrida 3'!$B$54,'Corrida 4'!$B$54)="","",9)</f>
        <v>9</v>
      </c>
      <c r="C20" s="58">
        <f>IF(B20="","",CHOOSE(inp_EscTabla,'Corrida 1'!$D$54,'Corrida 2'!$D$54,'Corrida 3'!$D$54,'Corrida 4'!$D$54))</f>
        <v>46539.0</v>
      </c>
      <c r="D20" s="57" t="str">
        <f>IF(B20="","",IF(CHOOSE(inp_EscTabla,'Corrida 1'!$B$54,'Corrida 2'!$B$54,'Corrida 3'!$B$54,'Corrida 4'!$B$54)="Básico","Renta mensual",IF(CHOOSE(inp_EscTabla,'Corrida 1'!$B$54,'Corrida 2'!$B$54,'Corrida 3'!$B$54,'Corrida 4'!$B$54)="Sucesivo","Renta plazo sucesivo","Opción de compra")))</f>
        <v>Renta mensual</v>
      </c>
      <c r="E20" s="59">
        <f>IF(B20="","",CHOOSE(inp_EscTabla,'Corrida 1'!$F$54,'Corrida 2'!$F$54,'Corrida 3'!$F$54,'Corrida 4'!$F$54))</f>
        <v>33807.8278646643</v>
      </c>
      <c r="F20" s="59">
        <f>IF(B20="","",CHOOSE(inp_EscTabla,'Corrida 1'!$J$54,'Corrida 2'!$J$54,'Corrida 3'!$J$54,'Corrida 4'!$J$54))</f>
        <v>5409.25245834629</v>
      </c>
      <c r="G20" s="59">
        <f>IF(B20="","",E20+F20)</f>
        <v>39217.0803230106</v>
      </c>
      <c r="H20" s="59">
        <f>IF(B20="","",H19+G20)</f>
        <v>444506.555240873</v>
      </c>
    </row>
    <row r="21">
      <c r="B21" s="57">
        <f>IF(CHOOSE(inp_EscTabla,'Corrida 1'!$B$55,'Corrida 2'!$B$55,'Corrida 3'!$B$55,'Corrida 4'!$B$55)="","",10)</f>
        <v>10</v>
      </c>
      <c r="C21" s="58">
        <f>IF(B21="","",CHOOSE(inp_EscTabla,'Corrida 1'!$D$55,'Corrida 2'!$D$55,'Corrida 3'!$D$55,'Corrida 4'!$D$55))</f>
        <v>46569.0</v>
      </c>
      <c r="D21" s="57" t="str">
        <f>IF(B21="","",IF(CHOOSE(inp_EscTabla,'Corrida 1'!$B$55,'Corrida 2'!$B$55,'Corrida 3'!$B$55,'Corrida 4'!$B$55)="Básico","Renta mensual",IF(CHOOSE(inp_EscTabla,'Corrida 1'!$B$55,'Corrida 2'!$B$55,'Corrida 3'!$B$55,'Corrida 4'!$B$55)="Sucesivo","Renta plazo sucesivo","Opción de compra")))</f>
        <v>Renta mensual</v>
      </c>
      <c r="E21" s="59">
        <f>IF(B21="","",CHOOSE(inp_EscTabla,'Corrida 1'!$F$55,'Corrida 2'!$F$55,'Corrida 3'!$F$55,'Corrida 4'!$F$55))</f>
        <v>33807.8278646643</v>
      </c>
      <c r="F21" s="59">
        <f>IF(B21="","",CHOOSE(inp_EscTabla,'Corrida 1'!$J$55,'Corrida 2'!$J$55,'Corrida 3'!$J$55,'Corrida 4'!$J$55))</f>
        <v>5409.25245834629</v>
      </c>
      <c r="G21" s="59">
        <f>IF(B21="","",E21+F21)</f>
        <v>39217.0803230106</v>
      </c>
      <c r="H21" s="59">
        <f>IF(B21="","",H20+G21)</f>
        <v>483723.635563884</v>
      </c>
    </row>
    <row r="22">
      <c r="B22" s="57">
        <f>IF(CHOOSE(inp_EscTabla,'Corrida 1'!$B$56,'Corrida 2'!$B$56,'Corrida 3'!$B$56,'Corrida 4'!$B$56)="","",11)</f>
        <v>11</v>
      </c>
      <c r="C22" s="58">
        <f>IF(B22="","",CHOOSE(inp_EscTabla,'Corrida 1'!$D$56,'Corrida 2'!$D$56,'Corrida 3'!$D$56,'Corrida 4'!$D$56))</f>
        <v>46600.0</v>
      </c>
      <c r="D22" s="57" t="str">
        <f>IF(B22="","",IF(CHOOSE(inp_EscTabla,'Corrida 1'!$B$56,'Corrida 2'!$B$56,'Corrida 3'!$B$56,'Corrida 4'!$B$56)="Básico","Renta mensual",IF(CHOOSE(inp_EscTabla,'Corrida 1'!$B$56,'Corrida 2'!$B$56,'Corrida 3'!$B$56,'Corrida 4'!$B$56)="Sucesivo","Renta plazo sucesivo","Opción de compra")))</f>
        <v>Renta mensual</v>
      </c>
      <c r="E22" s="59">
        <f>IF(B22="","",CHOOSE(inp_EscTabla,'Corrida 1'!$F$56,'Corrida 2'!$F$56,'Corrida 3'!$F$56,'Corrida 4'!$F$56))</f>
        <v>33807.8278646643</v>
      </c>
      <c r="F22" s="59">
        <f>IF(B22="","",CHOOSE(inp_EscTabla,'Corrida 1'!$J$56,'Corrida 2'!$J$56,'Corrida 3'!$J$56,'Corrida 4'!$J$56))</f>
        <v>5409.25245834629</v>
      </c>
      <c r="G22" s="59">
        <f>IF(B22="","",E22+F22)</f>
        <v>39217.0803230106</v>
      </c>
      <c r="H22" s="59">
        <f>IF(B22="","",H21+G22)</f>
        <v>522940.715886895</v>
      </c>
    </row>
    <row r="23">
      <c r="B23" s="57">
        <f>IF(CHOOSE(inp_EscTabla,'Corrida 1'!$B$57,'Corrida 2'!$B$57,'Corrida 3'!$B$57,'Corrida 4'!$B$57)="","",12)</f>
        <v>12</v>
      </c>
      <c r="C23" s="58">
        <f>IF(B23="","",CHOOSE(inp_EscTabla,'Corrida 1'!$D$57,'Corrida 2'!$D$57,'Corrida 3'!$D$57,'Corrida 4'!$D$57))</f>
        <v>46631.0</v>
      </c>
      <c r="D23" s="57" t="str">
        <f>IF(B23="","",IF(CHOOSE(inp_EscTabla,'Corrida 1'!$B$57,'Corrida 2'!$B$57,'Corrida 3'!$B$57,'Corrida 4'!$B$57)="Básico","Renta mensual",IF(CHOOSE(inp_EscTabla,'Corrida 1'!$B$57,'Corrida 2'!$B$57,'Corrida 3'!$B$57,'Corrida 4'!$B$57)="Sucesivo","Renta plazo sucesivo","Opción de compra")))</f>
        <v>Renta mensual</v>
      </c>
      <c r="E23" s="59">
        <f>IF(B23="","",CHOOSE(inp_EscTabla,'Corrida 1'!$F$57,'Corrida 2'!$F$57,'Corrida 3'!$F$57,'Corrida 4'!$F$57))</f>
        <v>33807.8278646643</v>
      </c>
      <c r="F23" s="59">
        <f>IF(B23="","",CHOOSE(inp_EscTabla,'Corrida 1'!$J$57,'Corrida 2'!$J$57,'Corrida 3'!$J$57,'Corrida 4'!$J$57))</f>
        <v>5409.25245834629</v>
      </c>
      <c r="G23" s="59">
        <f>IF(B23="","",E23+F23)</f>
        <v>39217.0803230106</v>
      </c>
      <c r="H23" s="59">
        <f>IF(B23="","",H22+G23)</f>
        <v>562157.796209905</v>
      </c>
    </row>
    <row r="24">
      <c r="B24" s="57">
        <f>IF(CHOOSE(inp_EscTabla,'Corrida 1'!$B$58,'Corrida 2'!$B$58,'Corrida 3'!$B$58,'Corrida 4'!$B$58)="","",13)</f>
        <v>13</v>
      </c>
      <c r="C24" s="58">
        <f>IF(B24="","",CHOOSE(inp_EscTabla,'Corrida 1'!$D$58,'Corrida 2'!$D$58,'Corrida 3'!$D$58,'Corrida 4'!$D$58))</f>
        <v>46661.0</v>
      </c>
      <c r="D24" s="57" t="str">
        <f>IF(B24="","",IF(CHOOSE(inp_EscTabla,'Corrida 1'!$B$58,'Corrida 2'!$B$58,'Corrida 3'!$B$58,'Corrida 4'!$B$58)="Básico","Renta mensual",IF(CHOOSE(inp_EscTabla,'Corrida 1'!$B$58,'Corrida 2'!$B$58,'Corrida 3'!$B$58,'Corrida 4'!$B$58)="Sucesivo","Renta plazo sucesivo","Opción de compra")))</f>
        <v>Renta mensual</v>
      </c>
      <c r="E24" s="59">
        <f>IF(B24="","",CHOOSE(inp_EscTabla,'Corrida 1'!$F$58,'Corrida 2'!$F$58,'Corrida 3'!$F$58,'Corrida 4'!$F$58))</f>
        <v>33807.8278646643</v>
      </c>
      <c r="F24" s="59">
        <f>IF(B24="","",CHOOSE(inp_EscTabla,'Corrida 1'!$J$58,'Corrida 2'!$J$58,'Corrida 3'!$J$58,'Corrida 4'!$J$58))</f>
        <v>5409.25245834629</v>
      </c>
      <c r="G24" s="59">
        <f>IF(B24="","",E24+F24)</f>
        <v>39217.0803230106</v>
      </c>
      <c r="H24" s="59">
        <f>IF(B24="","",H23+G24)</f>
        <v>601374.876532916</v>
      </c>
    </row>
    <row r="25">
      <c r="B25" s="57">
        <f>IF(CHOOSE(inp_EscTabla,'Corrida 1'!$B$59,'Corrida 2'!$B$59,'Corrida 3'!$B$59,'Corrida 4'!$B$59)="","",14)</f>
        <v>14</v>
      </c>
      <c r="C25" s="58">
        <f>IF(B25="","",CHOOSE(inp_EscTabla,'Corrida 1'!$D$59,'Corrida 2'!$D$59,'Corrida 3'!$D$59,'Corrida 4'!$D$59))</f>
        <v>46692.0</v>
      </c>
      <c r="D25" s="57" t="str">
        <f>IF(B25="","",IF(CHOOSE(inp_EscTabla,'Corrida 1'!$B$59,'Corrida 2'!$B$59,'Corrida 3'!$B$59,'Corrida 4'!$B$59)="Básico","Renta mensual",IF(CHOOSE(inp_EscTabla,'Corrida 1'!$B$59,'Corrida 2'!$B$59,'Corrida 3'!$B$59,'Corrida 4'!$B$59)="Sucesivo","Renta plazo sucesivo","Opción de compra")))</f>
        <v>Renta mensual</v>
      </c>
      <c r="E25" s="59">
        <f>IF(B25="","",CHOOSE(inp_EscTabla,'Corrida 1'!$F$59,'Corrida 2'!$F$59,'Corrida 3'!$F$59,'Corrida 4'!$F$59))</f>
        <v>33807.8278646643</v>
      </c>
      <c r="F25" s="59">
        <f>IF(B25="","",CHOOSE(inp_EscTabla,'Corrida 1'!$J$59,'Corrida 2'!$J$59,'Corrida 3'!$J$59,'Corrida 4'!$J$59))</f>
        <v>5409.25245834629</v>
      </c>
      <c r="G25" s="59">
        <f>IF(B25="","",E25+F25)</f>
        <v>39217.0803230106</v>
      </c>
      <c r="H25" s="59">
        <f>IF(B25="","",H24+G25)</f>
        <v>640591.956855927</v>
      </c>
    </row>
    <row r="26">
      <c r="B26" s="57">
        <f>IF(CHOOSE(inp_EscTabla,'Corrida 1'!$B$60,'Corrida 2'!$B$60,'Corrida 3'!$B$60,'Corrida 4'!$B$60)="","",15)</f>
        <v>15</v>
      </c>
      <c r="C26" s="58">
        <f>IF(B26="","",CHOOSE(inp_EscTabla,'Corrida 1'!$D$60,'Corrida 2'!$D$60,'Corrida 3'!$D$60,'Corrida 4'!$D$60))</f>
        <v>46722.0</v>
      </c>
      <c r="D26" s="57" t="str">
        <f>IF(B26="","",IF(CHOOSE(inp_EscTabla,'Corrida 1'!$B$60,'Corrida 2'!$B$60,'Corrida 3'!$B$60,'Corrida 4'!$B$60)="Básico","Renta mensual",IF(CHOOSE(inp_EscTabla,'Corrida 1'!$B$60,'Corrida 2'!$B$60,'Corrida 3'!$B$60,'Corrida 4'!$B$60)="Sucesivo","Renta plazo sucesivo","Opción de compra")))</f>
        <v>Renta mensual</v>
      </c>
      <c r="E26" s="59">
        <f>IF(B26="","",CHOOSE(inp_EscTabla,'Corrida 1'!$F$60,'Corrida 2'!$F$60,'Corrida 3'!$F$60,'Corrida 4'!$F$60))</f>
        <v>33807.8278646643</v>
      </c>
      <c r="F26" s="59">
        <f>IF(B26="","",CHOOSE(inp_EscTabla,'Corrida 1'!$J$60,'Corrida 2'!$J$60,'Corrida 3'!$J$60,'Corrida 4'!$J$60))</f>
        <v>5409.25245834629</v>
      </c>
      <c r="G26" s="59">
        <f>IF(B26="","",E26+F26)</f>
        <v>39217.0803230106</v>
      </c>
      <c r="H26" s="59">
        <f>IF(B26="","",H25+G26)</f>
        <v>679809.037178937</v>
      </c>
    </row>
    <row r="27">
      <c r="B27" s="57">
        <f>IF(CHOOSE(inp_EscTabla,'Corrida 1'!$B$61,'Corrida 2'!$B$61,'Corrida 3'!$B$61,'Corrida 4'!$B$61)="","",16)</f>
        <v>16</v>
      </c>
      <c r="C27" s="58">
        <f>IF(B27="","",CHOOSE(inp_EscTabla,'Corrida 1'!$D$61,'Corrida 2'!$D$61,'Corrida 3'!$D$61,'Corrida 4'!$D$61))</f>
        <v>46753.0</v>
      </c>
      <c r="D27" s="57" t="str">
        <f>IF(B27="","",IF(CHOOSE(inp_EscTabla,'Corrida 1'!$B$61,'Corrida 2'!$B$61,'Corrida 3'!$B$61,'Corrida 4'!$B$61)="Básico","Renta mensual",IF(CHOOSE(inp_EscTabla,'Corrida 1'!$B$61,'Corrida 2'!$B$61,'Corrida 3'!$B$61,'Corrida 4'!$B$61)="Sucesivo","Renta plazo sucesivo","Opción de compra")))</f>
        <v>Renta mensual</v>
      </c>
      <c r="E27" s="59">
        <f>IF(B27="","",CHOOSE(inp_EscTabla,'Corrida 1'!$F$61,'Corrida 2'!$F$61,'Corrida 3'!$F$61,'Corrida 4'!$F$61))</f>
        <v>33807.8278646643</v>
      </c>
      <c r="F27" s="59">
        <f>IF(B27="","",CHOOSE(inp_EscTabla,'Corrida 1'!$J$61,'Corrida 2'!$J$61,'Corrida 3'!$J$61,'Corrida 4'!$J$61))</f>
        <v>5409.25245834629</v>
      </c>
      <c r="G27" s="59">
        <f>IF(B27="","",E27+F27)</f>
        <v>39217.0803230106</v>
      </c>
      <c r="H27" s="59">
        <f>IF(B27="","",H26+G27)</f>
        <v>719026.117501948</v>
      </c>
    </row>
    <row r="28">
      <c r="B28" s="57">
        <f>IF(CHOOSE(inp_EscTabla,'Corrida 1'!$B$62,'Corrida 2'!$B$62,'Corrida 3'!$B$62,'Corrida 4'!$B$62)="","",17)</f>
        <v>17</v>
      </c>
      <c r="C28" s="58">
        <f>IF(B28="","",CHOOSE(inp_EscTabla,'Corrida 1'!$D$62,'Corrida 2'!$D$62,'Corrida 3'!$D$62,'Corrida 4'!$D$62))</f>
        <v>46784.0</v>
      </c>
      <c r="D28" s="57" t="str">
        <f>IF(B28="","",IF(CHOOSE(inp_EscTabla,'Corrida 1'!$B$62,'Corrida 2'!$B$62,'Corrida 3'!$B$62,'Corrida 4'!$B$62)="Básico","Renta mensual",IF(CHOOSE(inp_EscTabla,'Corrida 1'!$B$62,'Corrida 2'!$B$62,'Corrida 3'!$B$62,'Corrida 4'!$B$62)="Sucesivo","Renta plazo sucesivo","Opción de compra")))</f>
        <v>Renta mensual</v>
      </c>
      <c r="E28" s="59">
        <f>IF(B28="","",CHOOSE(inp_EscTabla,'Corrida 1'!$F$62,'Corrida 2'!$F$62,'Corrida 3'!$F$62,'Corrida 4'!$F$62))</f>
        <v>33807.8278646643</v>
      </c>
      <c r="F28" s="59">
        <f>IF(B28="","",CHOOSE(inp_EscTabla,'Corrida 1'!$J$62,'Corrida 2'!$J$62,'Corrida 3'!$J$62,'Corrida 4'!$J$62))</f>
        <v>5409.25245834629</v>
      </c>
      <c r="G28" s="59">
        <f>IF(B28="","",E28+F28)</f>
        <v>39217.0803230106</v>
      </c>
      <c r="H28" s="59">
        <f>IF(B28="","",H27+G28)</f>
        <v>758243.197824959</v>
      </c>
    </row>
    <row r="29">
      <c r="B29" s="57">
        <f>IF(CHOOSE(inp_EscTabla,'Corrida 1'!$B$63,'Corrida 2'!$B$63,'Corrida 3'!$B$63,'Corrida 4'!$B$63)="","",18)</f>
        <v>18</v>
      </c>
      <c r="C29" s="58">
        <f>IF(B29="","",CHOOSE(inp_EscTabla,'Corrida 1'!$D$63,'Corrida 2'!$D$63,'Corrida 3'!$D$63,'Corrida 4'!$D$63))</f>
        <v>46813.0</v>
      </c>
      <c r="D29" s="57" t="str">
        <f>IF(B29="","",IF(CHOOSE(inp_EscTabla,'Corrida 1'!$B$63,'Corrida 2'!$B$63,'Corrida 3'!$B$63,'Corrida 4'!$B$63)="Básico","Renta mensual",IF(CHOOSE(inp_EscTabla,'Corrida 1'!$B$63,'Corrida 2'!$B$63,'Corrida 3'!$B$63,'Corrida 4'!$B$63)="Sucesivo","Renta plazo sucesivo","Opción de compra")))</f>
        <v>Renta mensual</v>
      </c>
      <c r="E29" s="59">
        <f>IF(B29="","",CHOOSE(inp_EscTabla,'Corrida 1'!$F$63,'Corrida 2'!$F$63,'Corrida 3'!$F$63,'Corrida 4'!$F$63))</f>
        <v>33807.8278646643</v>
      </c>
      <c r="F29" s="59">
        <f>IF(B29="","",CHOOSE(inp_EscTabla,'Corrida 1'!$J$63,'Corrida 2'!$J$63,'Corrida 3'!$J$63,'Corrida 4'!$J$63))</f>
        <v>5409.25245834629</v>
      </c>
      <c r="G29" s="59">
        <f>IF(B29="","",E29+F29)</f>
        <v>39217.0803230106</v>
      </c>
      <c r="H29" s="59">
        <f>IF(B29="","",H28+G29)</f>
        <v>797460.278147969</v>
      </c>
    </row>
    <row r="30">
      <c r="B30" s="57">
        <f>IF(CHOOSE(inp_EscTabla,'Corrida 1'!$B$64,'Corrida 2'!$B$64,'Corrida 3'!$B$64,'Corrida 4'!$B$64)="","",19)</f>
        <v>19</v>
      </c>
      <c r="C30" s="58">
        <f>IF(B30="","",CHOOSE(inp_EscTabla,'Corrida 1'!$D$64,'Corrida 2'!$D$64,'Corrida 3'!$D$64,'Corrida 4'!$D$64))</f>
        <v>46844.0</v>
      </c>
      <c r="D30" s="57" t="str">
        <f>IF(B30="","",IF(CHOOSE(inp_EscTabla,'Corrida 1'!$B$64,'Corrida 2'!$B$64,'Corrida 3'!$B$64,'Corrida 4'!$B$64)="Básico","Renta mensual",IF(CHOOSE(inp_EscTabla,'Corrida 1'!$B$64,'Corrida 2'!$B$64,'Corrida 3'!$B$64,'Corrida 4'!$B$64)="Sucesivo","Renta plazo sucesivo","Opción de compra")))</f>
        <v>Renta mensual</v>
      </c>
      <c r="E30" s="59">
        <f>IF(B30="","",CHOOSE(inp_EscTabla,'Corrida 1'!$F$64,'Corrida 2'!$F$64,'Corrida 3'!$F$64,'Corrida 4'!$F$64))</f>
        <v>33807.8278646643</v>
      </c>
      <c r="F30" s="59">
        <f>IF(B30="","",CHOOSE(inp_EscTabla,'Corrida 1'!$J$64,'Corrida 2'!$J$64,'Corrida 3'!$J$64,'Corrida 4'!$J$64))</f>
        <v>5409.25245834629</v>
      </c>
      <c r="G30" s="59">
        <f>IF(B30="","",E30+F30)</f>
        <v>39217.0803230106</v>
      </c>
      <c r="H30" s="59">
        <f>IF(B30="","",H29+G30)</f>
        <v>836677.35847098</v>
      </c>
    </row>
    <row r="31">
      <c r="B31" s="57">
        <f>IF(CHOOSE(inp_EscTabla,'Corrida 1'!$B$65,'Corrida 2'!$B$65,'Corrida 3'!$B$65,'Corrida 4'!$B$65)="","",20)</f>
        <v>20</v>
      </c>
      <c r="C31" s="58">
        <f>IF(B31="","",CHOOSE(inp_EscTabla,'Corrida 1'!$D$65,'Corrida 2'!$D$65,'Corrida 3'!$D$65,'Corrida 4'!$D$65))</f>
        <v>46874.0</v>
      </c>
      <c r="D31" s="57" t="str">
        <f>IF(B31="","",IF(CHOOSE(inp_EscTabla,'Corrida 1'!$B$65,'Corrida 2'!$B$65,'Corrida 3'!$B$65,'Corrida 4'!$B$65)="Básico","Renta mensual",IF(CHOOSE(inp_EscTabla,'Corrida 1'!$B$65,'Corrida 2'!$B$65,'Corrida 3'!$B$65,'Corrida 4'!$B$65)="Sucesivo","Renta plazo sucesivo","Opción de compra")))</f>
        <v>Renta mensual</v>
      </c>
      <c r="E31" s="59">
        <f>IF(B31="","",CHOOSE(inp_EscTabla,'Corrida 1'!$F$65,'Corrida 2'!$F$65,'Corrida 3'!$F$65,'Corrida 4'!$F$65))</f>
        <v>33807.8278646643</v>
      </c>
      <c r="F31" s="59">
        <f>IF(B31="","",CHOOSE(inp_EscTabla,'Corrida 1'!$J$65,'Corrida 2'!$J$65,'Corrida 3'!$J$65,'Corrida 4'!$J$65))</f>
        <v>5409.25245834629</v>
      </c>
      <c r="G31" s="59">
        <f>IF(B31="","",E31+F31)</f>
        <v>39217.0803230106</v>
      </c>
      <c r="H31" s="59">
        <f>IF(B31="","",H30+G31)</f>
        <v>875894.438793991</v>
      </c>
    </row>
    <row r="32">
      <c r="B32" s="57">
        <f>IF(CHOOSE(inp_EscTabla,'Corrida 1'!$B$66,'Corrida 2'!$B$66,'Corrida 3'!$B$66,'Corrida 4'!$B$66)="","",21)</f>
        <v>21</v>
      </c>
      <c r="C32" s="58">
        <f>IF(B32="","",CHOOSE(inp_EscTabla,'Corrida 1'!$D$66,'Corrida 2'!$D$66,'Corrida 3'!$D$66,'Corrida 4'!$D$66))</f>
        <v>46905.0</v>
      </c>
      <c r="D32" s="57" t="str">
        <f>IF(B32="","",IF(CHOOSE(inp_EscTabla,'Corrida 1'!$B$66,'Corrida 2'!$B$66,'Corrida 3'!$B$66,'Corrida 4'!$B$66)="Básico","Renta mensual",IF(CHOOSE(inp_EscTabla,'Corrida 1'!$B$66,'Corrida 2'!$B$66,'Corrida 3'!$B$66,'Corrida 4'!$B$66)="Sucesivo","Renta plazo sucesivo","Opción de compra")))</f>
        <v>Renta mensual</v>
      </c>
      <c r="E32" s="59">
        <f>IF(B32="","",CHOOSE(inp_EscTabla,'Corrida 1'!$F$66,'Corrida 2'!$F$66,'Corrida 3'!$F$66,'Corrida 4'!$F$66))</f>
        <v>33807.8278646643</v>
      </c>
      <c r="F32" s="59">
        <f>IF(B32="","",CHOOSE(inp_EscTabla,'Corrida 1'!$J$66,'Corrida 2'!$J$66,'Corrida 3'!$J$66,'Corrida 4'!$J$66))</f>
        <v>5409.25245834629</v>
      </c>
      <c r="G32" s="59">
        <f>IF(B32="","",E32+F32)</f>
        <v>39217.0803230106</v>
      </c>
      <c r="H32" s="59">
        <f>IF(B32="","",H31+G32)</f>
        <v>915111.519117001</v>
      </c>
    </row>
    <row r="33">
      <c r="B33" s="57">
        <f>IF(CHOOSE(inp_EscTabla,'Corrida 1'!$B$67,'Corrida 2'!$B$67,'Corrida 3'!$B$67,'Corrida 4'!$B$67)="","",22)</f>
        <v>22</v>
      </c>
      <c r="C33" s="58">
        <f>IF(B33="","",CHOOSE(inp_EscTabla,'Corrida 1'!$D$67,'Corrida 2'!$D$67,'Corrida 3'!$D$67,'Corrida 4'!$D$67))</f>
        <v>46935.0</v>
      </c>
      <c r="D33" s="57" t="str">
        <f>IF(B33="","",IF(CHOOSE(inp_EscTabla,'Corrida 1'!$B$67,'Corrida 2'!$B$67,'Corrida 3'!$B$67,'Corrida 4'!$B$67)="Básico","Renta mensual",IF(CHOOSE(inp_EscTabla,'Corrida 1'!$B$67,'Corrida 2'!$B$67,'Corrida 3'!$B$67,'Corrida 4'!$B$67)="Sucesivo","Renta plazo sucesivo","Opción de compra")))</f>
        <v>Renta mensual</v>
      </c>
      <c r="E33" s="59">
        <f>IF(B33="","",CHOOSE(inp_EscTabla,'Corrida 1'!$F$67,'Corrida 2'!$F$67,'Corrida 3'!$F$67,'Corrida 4'!$F$67))</f>
        <v>33807.8278646643</v>
      </c>
      <c r="F33" s="59">
        <f>IF(B33="","",CHOOSE(inp_EscTabla,'Corrida 1'!$J$67,'Corrida 2'!$J$67,'Corrida 3'!$J$67,'Corrida 4'!$J$67))</f>
        <v>5409.25245834629</v>
      </c>
      <c r="G33" s="59">
        <f>IF(B33="","",E33+F33)</f>
        <v>39217.0803230106</v>
      </c>
      <c r="H33" s="59">
        <f>IF(B33="","",H32+G33)</f>
        <v>954328.599440012</v>
      </c>
    </row>
    <row r="34">
      <c r="B34" s="57">
        <f>IF(CHOOSE(inp_EscTabla,'Corrida 1'!$B$68,'Corrida 2'!$B$68,'Corrida 3'!$B$68,'Corrida 4'!$B$68)="","",23)</f>
        <v>23</v>
      </c>
      <c r="C34" s="58">
        <f>IF(B34="","",CHOOSE(inp_EscTabla,'Corrida 1'!$D$68,'Corrida 2'!$D$68,'Corrida 3'!$D$68,'Corrida 4'!$D$68))</f>
        <v>46966.0</v>
      </c>
      <c r="D34" s="57" t="str">
        <f>IF(B34="","",IF(CHOOSE(inp_EscTabla,'Corrida 1'!$B$68,'Corrida 2'!$B$68,'Corrida 3'!$B$68,'Corrida 4'!$B$68)="Básico","Renta mensual",IF(CHOOSE(inp_EscTabla,'Corrida 1'!$B$68,'Corrida 2'!$B$68,'Corrida 3'!$B$68,'Corrida 4'!$B$68)="Sucesivo","Renta plazo sucesivo","Opción de compra")))</f>
        <v>Renta mensual</v>
      </c>
      <c r="E34" s="59">
        <f>IF(B34="","",CHOOSE(inp_EscTabla,'Corrida 1'!$F$68,'Corrida 2'!$F$68,'Corrida 3'!$F$68,'Corrida 4'!$F$68))</f>
        <v>33807.8278646643</v>
      </c>
      <c r="F34" s="59">
        <f>IF(B34="","",CHOOSE(inp_EscTabla,'Corrida 1'!$J$68,'Corrida 2'!$J$68,'Corrida 3'!$J$68,'Corrida 4'!$J$68))</f>
        <v>5409.25245834629</v>
      </c>
      <c r="G34" s="59">
        <f>IF(B34="","",E34+F34)</f>
        <v>39217.0803230106</v>
      </c>
      <c r="H34" s="59">
        <f>IF(B34="","",H33+G34)</f>
        <v>993545.679763023</v>
      </c>
    </row>
    <row r="35">
      <c r="B35" s="57">
        <f>IF(CHOOSE(inp_EscTabla,'Corrida 1'!$B$69,'Corrida 2'!$B$69,'Corrida 3'!$B$69,'Corrida 4'!$B$69)="","",24)</f>
        <v>24</v>
      </c>
      <c r="C35" s="58">
        <f>IF(B35="","",CHOOSE(inp_EscTabla,'Corrida 1'!$D$69,'Corrida 2'!$D$69,'Corrida 3'!$D$69,'Corrida 4'!$D$69))</f>
        <v>46997.0</v>
      </c>
      <c r="D35" s="57" t="str">
        <f>IF(B35="","",IF(CHOOSE(inp_EscTabla,'Corrida 1'!$B$69,'Corrida 2'!$B$69,'Corrida 3'!$B$69,'Corrida 4'!$B$69)="Básico","Renta mensual",IF(CHOOSE(inp_EscTabla,'Corrida 1'!$B$69,'Corrida 2'!$B$69,'Corrida 3'!$B$69,'Corrida 4'!$B$69)="Sucesivo","Renta plazo sucesivo","Opción de compra")))</f>
        <v>Renta mensual</v>
      </c>
      <c r="E35" s="59">
        <f>IF(B35="","",CHOOSE(inp_EscTabla,'Corrida 1'!$F$69,'Corrida 2'!$F$69,'Corrida 3'!$F$69,'Corrida 4'!$F$69))</f>
        <v>33807.8278646643</v>
      </c>
      <c r="F35" s="59">
        <f>IF(B35="","",CHOOSE(inp_EscTabla,'Corrida 1'!$J$69,'Corrida 2'!$J$69,'Corrida 3'!$J$69,'Corrida 4'!$J$69))</f>
        <v>5409.25245834629</v>
      </c>
      <c r="G35" s="59">
        <f>IF(B35="","",E35+F35)</f>
        <v>39217.0803230106</v>
      </c>
      <c r="H35" s="59">
        <f>IF(B35="","",H34+G35)</f>
        <v>1032762.76008603</v>
      </c>
    </row>
    <row r="36">
      <c r="B36" s="57">
        <f>IF(CHOOSE(inp_EscTabla,'Corrida 1'!$B$70,'Corrida 2'!$B$70,'Corrida 3'!$B$70,'Corrida 4'!$B$70)="","",25)</f>
        <v>25</v>
      </c>
      <c r="C36" s="58">
        <f>IF(B36="","",CHOOSE(inp_EscTabla,'Corrida 1'!$D$70,'Corrida 2'!$D$70,'Corrida 3'!$D$70,'Corrida 4'!$D$70))</f>
        <v>47027.0</v>
      </c>
      <c r="D36" s="57" t="str">
        <f>IF(B36="","",IF(CHOOSE(inp_EscTabla,'Corrida 1'!$B$70,'Corrida 2'!$B$70,'Corrida 3'!$B$70,'Corrida 4'!$B$70)="Básico","Renta mensual",IF(CHOOSE(inp_EscTabla,'Corrida 1'!$B$70,'Corrida 2'!$B$70,'Corrida 3'!$B$70,'Corrida 4'!$B$70)="Sucesivo","Renta plazo sucesivo","Opción de compra")))</f>
        <v>Renta plazo sucesivo</v>
      </c>
      <c r="E36" s="59">
        <f>IF(B36="","",CHOOSE(inp_EscTabla,'Corrida 1'!$F$70,'Corrida 2'!$F$70,'Corrida 3'!$F$70,'Corrida 4'!$F$70))</f>
        <v>37922.5</v>
      </c>
      <c r="F36" s="59">
        <f>IF(B36="","",CHOOSE(inp_EscTabla,'Corrida 1'!$J$70,'Corrida 2'!$J$70,'Corrida 3'!$J$70,'Corrida 4'!$J$70))</f>
        <v>6067.6</v>
      </c>
      <c r="G36" s="59">
        <f>IF(B36="","",E36+F36)</f>
        <v>43990.1</v>
      </c>
      <c r="H36" s="59">
        <f>IF(B36="","",H35+G36)</f>
        <v>1076752.86008603</v>
      </c>
    </row>
    <row r="37">
      <c r="B37" s="57" t="str">
        <f>IF(CHOOSE(inp_EscTabla,'Corrida 1'!$B$71,'Corrida 2'!$B$71,'Corrida 3'!$B$71,'Corrida 4'!$B$71)="","",26)</f>
        <v/>
      </c>
      <c r="C37" s="58" t="str">
        <f>IF(B37="","",CHOOSE(inp_EscTabla,'Corrida 1'!$D$71,'Corrida 2'!$D$71,'Corrida 3'!$D$71,'Corrida 4'!$D$71))</f>
        <v/>
      </c>
      <c r="D37" s="57" t="str">
        <f>IF(B37="","",IF(CHOOSE(inp_EscTabla,'Corrida 1'!$B$71,'Corrida 2'!$B$71,'Corrida 3'!$B$71,'Corrida 4'!$B$71)="Básico","Renta mensual",IF(CHOOSE(inp_EscTabla,'Corrida 1'!$B$71,'Corrida 2'!$B$71,'Corrida 3'!$B$71,'Corrida 4'!$B$71)="Sucesivo","Renta plazo sucesivo","Opción de compra")))</f>
        <v/>
      </c>
      <c r="E37" s="59" t="str">
        <f>IF(B37="","",CHOOSE(inp_EscTabla,'Corrida 1'!$F$71,'Corrida 2'!$F$71,'Corrida 3'!$F$71,'Corrida 4'!$F$71))</f>
        <v/>
      </c>
      <c r="F37" s="59" t="str">
        <f>IF(B37="","",CHOOSE(inp_EscTabla,'Corrida 1'!$J$71,'Corrida 2'!$J$71,'Corrida 3'!$J$71,'Corrida 4'!$J$71))</f>
        <v/>
      </c>
      <c r="G37" s="59" t="str">
        <f>IF(B37="","",E37+F37)</f>
        <v/>
      </c>
      <c r="H37" s="59" t="str">
        <f>IF(B37="","",H36+G37)</f>
        <v/>
      </c>
    </row>
    <row r="38">
      <c r="B38" s="57" t="str">
        <f>IF(CHOOSE(inp_EscTabla,'Corrida 1'!$B$72,'Corrida 2'!$B$72,'Corrida 3'!$B$72,'Corrida 4'!$B$72)="","",27)</f>
        <v/>
      </c>
      <c r="C38" s="58" t="str">
        <f>IF(B38="","",CHOOSE(inp_EscTabla,'Corrida 1'!$D$72,'Corrida 2'!$D$72,'Corrida 3'!$D$72,'Corrida 4'!$D$72))</f>
        <v/>
      </c>
      <c r="D38" s="57" t="str">
        <f>IF(B38="","",IF(CHOOSE(inp_EscTabla,'Corrida 1'!$B$72,'Corrida 2'!$B$72,'Corrida 3'!$B$72,'Corrida 4'!$B$72)="Básico","Renta mensual",IF(CHOOSE(inp_EscTabla,'Corrida 1'!$B$72,'Corrida 2'!$B$72,'Corrida 3'!$B$72,'Corrida 4'!$B$72)="Sucesivo","Renta plazo sucesivo","Opción de compra")))</f>
        <v/>
      </c>
      <c r="E38" s="59" t="str">
        <f>IF(B38="","",CHOOSE(inp_EscTabla,'Corrida 1'!$F$72,'Corrida 2'!$F$72,'Corrida 3'!$F$72,'Corrida 4'!$F$72))</f>
        <v/>
      </c>
      <c r="F38" s="59" t="str">
        <f>IF(B38="","",CHOOSE(inp_EscTabla,'Corrida 1'!$J$72,'Corrida 2'!$J$72,'Corrida 3'!$J$72,'Corrida 4'!$J$72))</f>
        <v/>
      </c>
      <c r="G38" s="59" t="str">
        <f>IF(B38="","",E38+F38)</f>
        <v/>
      </c>
      <c r="H38" s="59" t="str">
        <f>IF(B38="","",H37+G38)</f>
        <v/>
      </c>
    </row>
    <row r="39">
      <c r="B39" s="57" t="str">
        <f>IF(CHOOSE(inp_EscTabla,'Corrida 1'!$B$73,'Corrida 2'!$B$73,'Corrida 3'!$B$73,'Corrida 4'!$B$73)="","",28)</f>
        <v/>
      </c>
      <c r="C39" s="58" t="str">
        <f>IF(B39="","",CHOOSE(inp_EscTabla,'Corrida 1'!$D$73,'Corrida 2'!$D$73,'Corrida 3'!$D$73,'Corrida 4'!$D$73))</f>
        <v/>
      </c>
      <c r="D39" s="57" t="str">
        <f>IF(B39="","",IF(CHOOSE(inp_EscTabla,'Corrida 1'!$B$73,'Corrida 2'!$B$73,'Corrida 3'!$B$73,'Corrida 4'!$B$73)="Básico","Renta mensual",IF(CHOOSE(inp_EscTabla,'Corrida 1'!$B$73,'Corrida 2'!$B$73,'Corrida 3'!$B$73,'Corrida 4'!$B$73)="Sucesivo","Renta plazo sucesivo","Opción de compra")))</f>
        <v/>
      </c>
      <c r="E39" s="59" t="str">
        <f>IF(B39="","",CHOOSE(inp_EscTabla,'Corrida 1'!$F$73,'Corrida 2'!$F$73,'Corrida 3'!$F$73,'Corrida 4'!$F$73))</f>
        <v/>
      </c>
      <c r="F39" s="59" t="str">
        <f>IF(B39="","",CHOOSE(inp_EscTabla,'Corrida 1'!$J$73,'Corrida 2'!$J$73,'Corrida 3'!$J$73,'Corrida 4'!$J$73))</f>
        <v/>
      </c>
      <c r="G39" s="59" t="str">
        <f>IF(B39="","",E39+F39)</f>
        <v/>
      </c>
      <c r="H39" s="59" t="str">
        <f>IF(B39="","",H38+G39)</f>
        <v/>
      </c>
    </row>
    <row r="40">
      <c r="B40" s="57" t="str">
        <f>IF(CHOOSE(inp_EscTabla,'Corrida 1'!$B$74,'Corrida 2'!$B$74,'Corrida 3'!$B$74,'Corrida 4'!$B$74)="","",29)</f>
        <v/>
      </c>
      <c r="C40" s="58" t="str">
        <f>IF(B40="","",CHOOSE(inp_EscTabla,'Corrida 1'!$D$74,'Corrida 2'!$D$74,'Corrida 3'!$D$74,'Corrida 4'!$D$74))</f>
        <v/>
      </c>
      <c r="D40" s="57" t="str">
        <f>IF(B40="","",IF(CHOOSE(inp_EscTabla,'Corrida 1'!$B$74,'Corrida 2'!$B$74,'Corrida 3'!$B$74,'Corrida 4'!$B$74)="Básico","Renta mensual",IF(CHOOSE(inp_EscTabla,'Corrida 1'!$B$74,'Corrida 2'!$B$74,'Corrida 3'!$B$74,'Corrida 4'!$B$74)="Sucesivo","Renta plazo sucesivo","Opción de compra")))</f>
        <v/>
      </c>
      <c r="E40" s="59" t="str">
        <f>IF(B40="","",CHOOSE(inp_EscTabla,'Corrida 1'!$F$74,'Corrida 2'!$F$74,'Corrida 3'!$F$74,'Corrida 4'!$F$74))</f>
        <v/>
      </c>
      <c r="F40" s="59" t="str">
        <f>IF(B40="","",CHOOSE(inp_EscTabla,'Corrida 1'!$J$74,'Corrida 2'!$J$74,'Corrida 3'!$J$74,'Corrida 4'!$J$74))</f>
        <v/>
      </c>
      <c r="G40" s="59" t="str">
        <f>IF(B40="","",E40+F40)</f>
        <v/>
      </c>
      <c r="H40" s="59" t="str">
        <f>IF(B40="","",H39+G40)</f>
        <v/>
      </c>
    </row>
    <row r="41">
      <c r="B41" s="57" t="str">
        <f>IF(CHOOSE(inp_EscTabla,'Corrida 1'!$B$75,'Corrida 2'!$B$75,'Corrida 3'!$B$75,'Corrida 4'!$B$75)="","",30)</f>
        <v/>
      </c>
      <c r="C41" s="58" t="str">
        <f>IF(B41="","",CHOOSE(inp_EscTabla,'Corrida 1'!$D$75,'Corrida 2'!$D$75,'Corrida 3'!$D$75,'Corrida 4'!$D$75))</f>
        <v/>
      </c>
      <c r="D41" s="57" t="str">
        <f>IF(B41="","",IF(CHOOSE(inp_EscTabla,'Corrida 1'!$B$75,'Corrida 2'!$B$75,'Corrida 3'!$B$75,'Corrida 4'!$B$75)="Básico","Renta mensual",IF(CHOOSE(inp_EscTabla,'Corrida 1'!$B$75,'Corrida 2'!$B$75,'Corrida 3'!$B$75,'Corrida 4'!$B$75)="Sucesivo","Renta plazo sucesivo","Opción de compra")))</f>
        <v/>
      </c>
      <c r="E41" s="59" t="str">
        <f>IF(B41="","",CHOOSE(inp_EscTabla,'Corrida 1'!$F$75,'Corrida 2'!$F$75,'Corrida 3'!$F$75,'Corrida 4'!$F$75))</f>
        <v/>
      </c>
      <c r="F41" s="59" t="str">
        <f>IF(B41="","",CHOOSE(inp_EscTabla,'Corrida 1'!$J$75,'Corrida 2'!$J$75,'Corrida 3'!$J$75,'Corrida 4'!$J$75))</f>
        <v/>
      </c>
      <c r="G41" s="59" t="str">
        <f>IF(B41="","",E41+F41)</f>
        <v/>
      </c>
      <c r="H41" s="59" t="str">
        <f>IF(B41="","",H40+G41)</f>
        <v/>
      </c>
    </row>
    <row r="42">
      <c r="B42" s="57" t="str">
        <f>IF(CHOOSE(inp_EscTabla,'Corrida 1'!$B$76,'Corrida 2'!$B$76,'Corrida 3'!$B$76,'Corrida 4'!$B$76)="","",31)</f>
        <v/>
      </c>
      <c r="C42" s="58" t="str">
        <f>IF(B42="","",CHOOSE(inp_EscTabla,'Corrida 1'!$D$76,'Corrida 2'!$D$76,'Corrida 3'!$D$76,'Corrida 4'!$D$76))</f>
        <v/>
      </c>
      <c r="D42" s="57" t="str">
        <f>IF(B42="","",IF(CHOOSE(inp_EscTabla,'Corrida 1'!$B$76,'Corrida 2'!$B$76,'Corrida 3'!$B$76,'Corrida 4'!$B$76)="Básico","Renta mensual",IF(CHOOSE(inp_EscTabla,'Corrida 1'!$B$76,'Corrida 2'!$B$76,'Corrida 3'!$B$76,'Corrida 4'!$B$76)="Sucesivo","Renta plazo sucesivo","Opción de compra")))</f>
        <v/>
      </c>
      <c r="E42" s="59" t="str">
        <f>IF(B42="","",CHOOSE(inp_EscTabla,'Corrida 1'!$F$76,'Corrida 2'!$F$76,'Corrida 3'!$F$76,'Corrida 4'!$F$76))</f>
        <v/>
      </c>
      <c r="F42" s="59" t="str">
        <f>IF(B42="","",CHOOSE(inp_EscTabla,'Corrida 1'!$J$76,'Corrida 2'!$J$76,'Corrida 3'!$J$76,'Corrida 4'!$J$76))</f>
        <v/>
      </c>
      <c r="G42" s="59" t="str">
        <f>IF(B42="","",E42+F42)</f>
        <v/>
      </c>
      <c r="H42" s="59" t="str">
        <f>IF(B42="","",H41+G42)</f>
        <v/>
      </c>
    </row>
    <row r="43">
      <c r="B43" s="57" t="str">
        <f>IF(CHOOSE(inp_EscTabla,'Corrida 1'!$B$77,'Corrida 2'!$B$77,'Corrida 3'!$B$77,'Corrida 4'!$B$77)="","",32)</f>
        <v/>
      </c>
      <c r="C43" s="58" t="str">
        <f>IF(B43="","",CHOOSE(inp_EscTabla,'Corrida 1'!$D$77,'Corrida 2'!$D$77,'Corrida 3'!$D$77,'Corrida 4'!$D$77))</f>
        <v/>
      </c>
      <c r="D43" s="57" t="str">
        <f>IF(B43="","",IF(CHOOSE(inp_EscTabla,'Corrida 1'!$B$77,'Corrida 2'!$B$77,'Corrida 3'!$B$77,'Corrida 4'!$B$77)="Básico","Renta mensual",IF(CHOOSE(inp_EscTabla,'Corrida 1'!$B$77,'Corrida 2'!$B$77,'Corrida 3'!$B$77,'Corrida 4'!$B$77)="Sucesivo","Renta plazo sucesivo","Opción de compra")))</f>
        <v/>
      </c>
      <c r="E43" s="59" t="str">
        <f>IF(B43="","",CHOOSE(inp_EscTabla,'Corrida 1'!$F$77,'Corrida 2'!$F$77,'Corrida 3'!$F$77,'Corrida 4'!$F$77))</f>
        <v/>
      </c>
      <c r="F43" s="59" t="str">
        <f>IF(B43="","",CHOOSE(inp_EscTabla,'Corrida 1'!$J$77,'Corrida 2'!$J$77,'Corrida 3'!$J$77,'Corrida 4'!$J$77))</f>
        <v/>
      </c>
      <c r="G43" s="59" t="str">
        <f>IF(B43="","",E43+F43)</f>
        <v/>
      </c>
      <c r="H43" s="59" t="str">
        <f>IF(B43="","",H42+G43)</f>
        <v/>
      </c>
    </row>
    <row r="44">
      <c r="B44" s="57" t="str">
        <f>IF(CHOOSE(inp_EscTabla,'Corrida 1'!$B$78,'Corrida 2'!$B$78,'Corrida 3'!$B$78,'Corrida 4'!$B$78)="","",33)</f>
        <v/>
      </c>
      <c r="C44" s="58" t="str">
        <f>IF(B44="","",CHOOSE(inp_EscTabla,'Corrida 1'!$D$78,'Corrida 2'!$D$78,'Corrida 3'!$D$78,'Corrida 4'!$D$78))</f>
        <v/>
      </c>
      <c r="D44" s="57" t="str">
        <f>IF(B44="","",IF(CHOOSE(inp_EscTabla,'Corrida 1'!$B$78,'Corrida 2'!$B$78,'Corrida 3'!$B$78,'Corrida 4'!$B$78)="Básico","Renta mensual",IF(CHOOSE(inp_EscTabla,'Corrida 1'!$B$78,'Corrida 2'!$B$78,'Corrida 3'!$B$78,'Corrida 4'!$B$78)="Sucesivo","Renta plazo sucesivo","Opción de compra")))</f>
        <v/>
      </c>
      <c r="E44" s="59" t="str">
        <f>IF(B44="","",CHOOSE(inp_EscTabla,'Corrida 1'!$F$78,'Corrida 2'!$F$78,'Corrida 3'!$F$78,'Corrida 4'!$F$78))</f>
        <v/>
      </c>
      <c r="F44" s="59" t="str">
        <f>IF(B44="","",CHOOSE(inp_EscTabla,'Corrida 1'!$J$78,'Corrida 2'!$J$78,'Corrida 3'!$J$78,'Corrida 4'!$J$78))</f>
        <v/>
      </c>
      <c r="G44" s="59" t="str">
        <f>IF(B44="","",E44+F44)</f>
        <v/>
      </c>
      <c r="H44" s="59" t="str">
        <f>IF(B44="","",H43+G44)</f>
        <v/>
      </c>
    </row>
    <row r="45">
      <c r="B45" s="57" t="str">
        <f>IF(CHOOSE(inp_EscTabla,'Corrida 1'!$B$79,'Corrida 2'!$B$79,'Corrida 3'!$B$79,'Corrida 4'!$B$79)="","",34)</f>
        <v/>
      </c>
      <c r="C45" s="58" t="str">
        <f>IF(B45="","",CHOOSE(inp_EscTabla,'Corrida 1'!$D$79,'Corrida 2'!$D$79,'Corrida 3'!$D$79,'Corrida 4'!$D$79))</f>
        <v/>
      </c>
      <c r="D45" s="57" t="str">
        <f>IF(B45="","",IF(CHOOSE(inp_EscTabla,'Corrida 1'!$B$79,'Corrida 2'!$B$79,'Corrida 3'!$B$79,'Corrida 4'!$B$79)="Básico","Renta mensual",IF(CHOOSE(inp_EscTabla,'Corrida 1'!$B$79,'Corrida 2'!$B$79,'Corrida 3'!$B$79,'Corrida 4'!$B$79)="Sucesivo","Renta plazo sucesivo","Opción de compra")))</f>
        <v/>
      </c>
      <c r="E45" s="59" t="str">
        <f>IF(B45="","",CHOOSE(inp_EscTabla,'Corrida 1'!$F$79,'Corrida 2'!$F$79,'Corrida 3'!$F$79,'Corrida 4'!$F$79))</f>
        <v/>
      </c>
      <c r="F45" s="59" t="str">
        <f>IF(B45="","",CHOOSE(inp_EscTabla,'Corrida 1'!$J$79,'Corrida 2'!$J$79,'Corrida 3'!$J$79,'Corrida 4'!$J$79))</f>
        <v/>
      </c>
      <c r="G45" s="59" t="str">
        <f>IF(B45="","",E45+F45)</f>
        <v/>
      </c>
      <c r="H45" s="59" t="str">
        <f>IF(B45="","",H44+G45)</f>
        <v/>
      </c>
    </row>
    <row r="46">
      <c r="B46" s="57" t="str">
        <f>IF(CHOOSE(inp_EscTabla,'Corrida 1'!$B$80,'Corrida 2'!$B$80,'Corrida 3'!$B$80,'Corrida 4'!$B$80)="","",35)</f>
        <v/>
      </c>
      <c r="C46" s="58" t="str">
        <f>IF(B46="","",CHOOSE(inp_EscTabla,'Corrida 1'!$D$80,'Corrida 2'!$D$80,'Corrida 3'!$D$80,'Corrida 4'!$D$80))</f>
        <v/>
      </c>
      <c r="D46" s="57" t="str">
        <f>IF(B46="","",IF(CHOOSE(inp_EscTabla,'Corrida 1'!$B$80,'Corrida 2'!$B$80,'Corrida 3'!$B$80,'Corrida 4'!$B$80)="Básico","Renta mensual",IF(CHOOSE(inp_EscTabla,'Corrida 1'!$B$80,'Corrida 2'!$B$80,'Corrida 3'!$B$80,'Corrida 4'!$B$80)="Sucesivo","Renta plazo sucesivo","Opción de compra")))</f>
        <v/>
      </c>
      <c r="E46" s="59" t="str">
        <f>IF(B46="","",CHOOSE(inp_EscTabla,'Corrida 1'!$F$80,'Corrida 2'!$F$80,'Corrida 3'!$F$80,'Corrida 4'!$F$80))</f>
        <v/>
      </c>
      <c r="F46" s="59" t="str">
        <f>IF(B46="","",CHOOSE(inp_EscTabla,'Corrida 1'!$J$80,'Corrida 2'!$J$80,'Corrida 3'!$J$80,'Corrida 4'!$J$80))</f>
        <v/>
      </c>
      <c r="G46" s="59" t="str">
        <f>IF(B46="","",E46+F46)</f>
        <v/>
      </c>
      <c r="H46" s="59" t="str">
        <f>IF(B46="","",H45+G46)</f>
        <v/>
      </c>
    </row>
    <row r="47">
      <c r="B47" s="57" t="str">
        <f>IF(CHOOSE(inp_EscTabla,'Corrida 1'!$B$81,'Corrida 2'!$B$81,'Corrida 3'!$B$81,'Corrida 4'!$B$81)="","",36)</f>
        <v/>
      </c>
      <c r="C47" s="58" t="str">
        <f>IF(B47="","",CHOOSE(inp_EscTabla,'Corrida 1'!$D$81,'Corrida 2'!$D$81,'Corrida 3'!$D$81,'Corrida 4'!$D$81))</f>
        <v/>
      </c>
      <c r="D47" s="57" t="str">
        <f>IF(B47="","",IF(CHOOSE(inp_EscTabla,'Corrida 1'!$B$81,'Corrida 2'!$B$81,'Corrida 3'!$B$81,'Corrida 4'!$B$81)="Básico","Renta mensual",IF(CHOOSE(inp_EscTabla,'Corrida 1'!$B$81,'Corrida 2'!$B$81,'Corrida 3'!$B$81,'Corrida 4'!$B$81)="Sucesivo","Renta plazo sucesivo","Opción de compra")))</f>
        <v/>
      </c>
      <c r="E47" s="59" t="str">
        <f>IF(B47="","",CHOOSE(inp_EscTabla,'Corrida 1'!$F$81,'Corrida 2'!$F$81,'Corrida 3'!$F$81,'Corrida 4'!$F$81))</f>
        <v/>
      </c>
      <c r="F47" s="59" t="str">
        <f>IF(B47="","",CHOOSE(inp_EscTabla,'Corrida 1'!$J$81,'Corrida 2'!$J$81,'Corrida 3'!$J$81,'Corrida 4'!$J$81))</f>
        <v/>
      </c>
      <c r="G47" s="59" t="str">
        <f>IF(B47="","",E47+F47)</f>
        <v/>
      </c>
      <c r="H47" s="59" t="str">
        <f>IF(B47="","",H46+G47)</f>
        <v/>
      </c>
    </row>
    <row r="48">
      <c r="B48" s="57" t="str">
        <f>IF(CHOOSE(inp_EscTabla,'Corrida 1'!$B$82,'Corrida 2'!$B$82,'Corrida 3'!$B$82,'Corrida 4'!$B$82)="","",37)</f>
        <v/>
      </c>
      <c r="C48" s="58" t="str">
        <f>IF(B48="","",CHOOSE(inp_EscTabla,'Corrida 1'!$D$82,'Corrida 2'!$D$82,'Corrida 3'!$D$82,'Corrida 4'!$D$82))</f>
        <v/>
      </c>
      <c r="D48" s="57" t="str">
        <f>IF(B48="","",IF(CHOOSE(inp_EscTabla,'Corrida 1'!$B$82,'Corrida 2'!$B$82,'Corrida 3'!$B$82,'Corrida 4'!$B$82)="Básico","Renta mensual",IF(CHOOSE(inp_EscTabla,'Corrida 1'!$B$82,'Corrida 2'!$B$82,'Corrida 3'!$B$82,'Corrida 4'!$B$82)="Sucesivo","Renta plazo sucesivo","Opción de compra")))</f>
        <v/>
      </c>
      <c r="E48" s="59" t="str">
        <f>IF(B48="","",CHOOSE(inp_EscTabla,'Corrida 1'!$F$82,'Corrida 2'!$F$82,'Corrida 3'!$F$82,'Corrida 4'!$F$82))</f>
        <v/>
      </c>
      <c r="F48" s="59" t="str">
        <f>IF(B48="","",CHOOSE(inp_EscTabla,'Corrida 1'!$J$82,'Corrida 2'!$J$82,'Corrida 3'!$J$82,'Corrida 4'!$J$82))</f>
        <v/>
      </c>
      <c r="G48" s="59" t="str">
        <f>IF(B48="","",E48+F48)</f>
        <v/>
      </c>
      <c r="H48" s="59" t="str">
        <f>IF(B48="","",H47+G48)</f>
        <v/>
      </c>
    </row>
    <row r="49">
      <c r="B49" s="57" t="str">
        <f>IF(CHOOSE(inp_EscTabla,'Corrida 1'!$B$83,'Corrida 2'!$B$83,'Corrida 3'!$B$83,'Corrida 4'!$B$83)="","",38)</f>
        <v/>
      </c>
      <c r="C49" s="58" t="str">
        <f>IF(B49="","",CHOOSE(inp_EscTabla,'Corrida 1'!$D$83,'Corrida 2'!$D$83,'Corrida 3'!$D$83,'Corrida 4'!$D$83))</f>
        <v/>
      </c>
      <c r="D49" s="57" t="str">
        <f>IF(B49="","",IF(CHOOSE(inp_EscTabla,'Corrida 1'!$B$83,'Corrida 2'!$B$83,'Corrida 3'!$B$83,'Corrida 4'!$B$83)="Básico","Renta mensual",IF(CHOOSE(inp_EscTabla,'Corrida 1'!$B$83,'Corrida 2'!$B$83,'Corrida 3'!$B$83,'Corrida 4'!$B$83)="Sucesivo","Renta plazo sucesivo","Opción de compra")))</f>
        <v/>
      </c>
      <c r="E49" s="59" t="str">
        <f>IF(B49="","",CHOOSE(inp_EscTabla,'Corrida 1'!$F$83,'Corrida 2'!$F$83,'Corrida 3'!$F$83,'Corrida 4'!$F$83))</f>
        <v/>
      </c>
      <c r="F49" s="59" t="str">
        <f>IF(B49="","",CHOOSE(inp_EscTabla,'Corrida 1'!$J$83,'Corrida 2'!$J$83,'Corrida 3'!$J$83,'Corrida 4'!$J$83))</f>
        <v/>
      </c>
      <c r="G49" s="59" t="str">
        <f>IF(B49="","",E49+F49)</f>
        <v/>
      </c>
      <c r="H49" s="59" t="str">
        <f>IF(B49="","",H48+G49)</f>
        <v/>
      </c>
    </row>
    <row r="50">
      <c r="B50" s="57" t="str">
        <f>IF(CHOOSE(inp_EscTabla,'Corrida 1'!$B$84,'Corrida 2'!$B$84,'Corrida 3'!$B$84,'Corrida 4'!$B$84)="","",39)</f>
        <v/>
      </c>
      <c r="C50" s="58" t="str">
        <f>IF(B50="","",CHOOSE(inp_EscTabla,'Corrida 1'!$D$84,'Corrida 2'!$D$84,'Corrida 3'!$D$84,'Corrida 4'!$D$84))</f>
        <v/>
      </c>
      <c r="D50" s="57" t="str">
        <f>IF(B50="","",IF(CHOOSE(inp_EscTabla,'Corrida 1'!$B$84,'Corrida 2'!$B$84,'Corrida 3'!$B$84,'Corrida 4'!$B$84)="Básico","Renta mensual",IF(CHOOSE(inp_EscTabla,'Corrida 1'!$B$84,'Corrida 2'!$B$84,'Corrida 3'!$B$84,'Corrida 4'!$B$84)="Sucesivo","Renta plazo sucesivo","Opción de compra")))</f>
        <v/>
      </c>
      <c r="E50" s="59" t="str">
        <f>IF(B50="","",CHOOSE(inp_EscTabla,'Corrida 1'!$F$84,'Corrida 2'!$F$84,'Corrida 3'!$F$84,'Corrida 4'!$F$84))</f>
        <v/>
      </c>
      <c r="F50" s="59" t="str">
        <f>IF(B50="","",CHOOSE(inp_EscTabla,'Corrida 1'!$J$84,'Corrida 2'!$J$84,'Corrida 3'!$J$84,'Corrida 4'!$J$84))</f>
        <v/>
      </c>
      <c r="G50" s="59" t="str">
        <f>IF(B50="","",E50+F50)</f>
        <v/>
      </c>
      <c r="H50" s="59" t="str">
        <f>IF(B50="","",H49+G50)</f>
        <v/>
      </c>
    </row>
    <row r="51">
      <c r="B51" s="57" t="str">
        <f>IF(CHOOSE(inp_EscTabla,'Corrida 1'!$B$85,'Corrida 2'!$B$85,'Corrida 3'!$B$85,'Corrida 4'!$B$85)="","",40)</f>
        <v/>
      </c>
      <c r="C51" s="58" t="str">
        <f>IF(B51="","",CHOOSE(inp_EscTabla,'Corrida 1'!$D$85,'Corrida 2'!$D$85,'Corrida 3'!$D$85,'Corrida 4'!$D$85))</f>
        <v/>
      </c>
      <c r="D51" s="57" t="str">
        <f>IF(B51="","",IF(CHOOSE(inp_EscTabla,'Corrida 1'!$B$85,'Corrida 2'!$B$85,'Corrida 3'!$B$85,'Corrida 4'!$B$85)="Básico","Renta mensual",IF(CHOOSE(inp_EscTabla,'Corrida 1'!$B$85,'Corrida 2'!$B$85,'Corrida 3'!$B$85,'Corrida 4'!$B$85)="Sucesivo","Renta plazo sucesivo","Opción de compra")))</f>
        <v/>
      </c>
      <c r="E51" s="59" t="str">
        <f>IF(B51="","",CHOOSE(inp_EscTabla,'Corrida 1'!$F$85,'Corrida 2'!$F$85,'Corrida 3'!$F$85,'Corrida 4'!$F$85))</f>
        <v/>
      </c>
      <c r="F51" s="59" t="str">
        <f>IF(B51="","",CHOOSE(inp_EscTabla,'Corrida 1'!$J$85,'Corrida 2'!$J$85,'Corrida 3'!$J$85,'Corrida 4'!$J$85))</f>
        <v/>
      </c>
      <c r="G51" s="59" t="str">
        <f>IF(B51="","",E51+F51)</f>
        <v/>
      </c>
      <c r="H51" s="59" t="str">
        <f>IF(B51="","",H50+G51)</f>
        <v/>
      </c>
    </row>
    <row r="52">
      <c r="B52" s="57" t="str">
        <f>IF(CHOOSE(inp_EscTabla,'Corrida 1'!$B$86,'Corrida 2'!$B$86,'Corrida 3'!$B$86,'Corrida 4'!$B$86)="","",41)</f>
        <v/>
      </c>
      <c r="C52" s="58" t="str">
        <f>IF(B52="","",CHOOSE(inp_EscTabla,'Corrida 1'!$D$86,'Corrida 2'!$D$86,'Corrida 3'!$D$86,'Corrida 4'!$D$86))</f>
        <v/>
      </c>
      <c r="D52" s="57" t="str">
        <f>IF(B52="","",IF(CHOOSE(inp_EscTabla,'Corrida 1'!$B$86,'Corrida 2'!$B$86,'Corrida 3'!$B$86,'Corrida 4'!$B$86)="Básico","Renta mensual",IF(CHOOSE(inp_EscTabla,'Corrida 1'!$B$86,'Corrida 2'!$B$86,'Corrida 3'!$B$86,'Corrida 4'!$B$86)="Sucesivo","Renta plazo sucesivo","Opción de compra")))</f>
        <v/>
      </c>
      <c r="E52" s="59" t="str">
        <f>IF(B52="","",CHOOSE(inp_EscTabla,'Corrida 1'!$F$86,'Corrida 2'!$F$86,'Corrida 3'!$F$86,'Corrida 4'!$F$86))</f>
        <v/>
      </c>
      <c r="F52" s="59" t="str">
        <f>IF(B52="","",CHOOSE(inp_EscTabla,'Corrida 1'!$J$86,'Corrida 2'!$J$86,'Corrida 3'!$J$86,'Corrida 4'!$J$86))</f>
        <v/>
      </c>
      <c r="G52" s="59" t="str">
        <f>IF(B52="","",E52+F52)</f>
        <v/>
      </c>
      <c r="H52" s="59" t="str">
        <f>IF(B52="","",H51+G52)</f>
        <v/>
      </c>
    </row>
    <row r="53">
      <c r="B53" s="57" t="str">
        <f>IF(CHOOSE(inp_EscTabla,'Corrida 1'!$B$87,'Corrida 2'!$B$87,'Corrida 3'!$B$87,'Corrida 4'!$B$87)="","",42)</f>
        <v/>
      </c>
      <c r="C53" s="58" t="str">
        <f>IF(B53="","",CHOOSE(inp_EscTabla,'Corrida 1'!$D$87,'Corrida 2'!$D$87,'Corrida 3'!$D$87,'Corrida 4'!$D$87))</f>
        <v/>
      </c>
      <c r="D53" s="57" t="str">
        <f>IF(B53="","",IF(CHOOSE(inp_EscTabla,'Corrida 1'!$B$87,'Corrida 2'!$B$87,'Corrida 3'!$B$87,'Corrida 4'!$B$87)="Básico","Renta mensual",IF(CHOOSE(inp_EscTabla,'Corrida 1'!$B$87,'Corrida 2'!$B$87,'Corrida 3'!$B$87,'Corrida 4'!$B$87)="Sucesivo","Renta plazo sucesivo","Opción de compra")))</f>
        <v/>
      </c>
      <c r="E53" s="59" t="str">
        <f>IF(B53="","",CHOOSE(inp_EscTabla,'Corrida 1'!$F$87,'Corrida 2'!$F$87,'Corrida 3'!$F$87,'Corrida 4'!$F$87))</f>
        <v/>
      </c>
      <c r="F53" s="59" t="str">
        <f>IF(B53="","",CHOOSE(inp_EscTabla,'Corrida 1'!$J$87,'Corrida 2'!$J$87,'Corrida 3'!$J$87,'Corrida 4'!$J$87))</f>
        <v/>
      </c>
      <c r="G53" s="59" t="str">
        <f>IF(B53="","",E53+F53)</f>
        <v/>
      </c>
      <c r="H53" s="59" t="str">
        <f>IF(B53="","",H52+G53)</f>
        <v/>
      </c>
    </row>
    <row r="54">
      <c r="B54" s="57" t="str">
        <f>IF(CHOOSE(inp_EscTabla,'Corrida 1'!$B$88,'Corrida 2'!$B$88,'Corrida 3'!$B$88,'Corrida 4'!$B$88)="","",43)</f>
        <v/>
      </c>
      <c r="C54" s="58" t="str">
        <f>IF(B54="","",CHOOSE(inp_EscTabla,'Corrida 1'!$D$88,'Corrida 2'!$D$88,'Corrida 3'!$D$88,'Corrida 4'!$D$88))</f>
        <v/>
      </c>
      <c r="D54" s="57" t="str">
        <f>IF(B54="","",IF(CHOOSE(inp_EscTabla,'Corrida 1'!$B$88,'Corrida 2'!$B$88,'Corrida 3'!$B$88,'Corrida 4'!$B$88)="Básico","Renta mensual",IF(CHOOSE(inp_EscTabla,'Corrida 1'!$B$88,'Corrida 2'!$B$88,'Corrida 3'!$B$88,'Corrida 4'!$B$88)="Sucesivo","Renta plazo sucesivo","Opción de compra")))</f>
        <v/>
      </c>
      <c r="E54" s="59" t="str">
        <f>IF(B54="","",CHOOSE(inp_EscTabla,'Corrida 1'!$F$88,'Corrida 2'!$F$88,'Corrida 3'!$F$88,'Corrida 4'!$F$88))</f>
        <v/>
      </c>
      <c r="F54" s="59" t="str">
        <f>IF(B54="","",CHOOSE(inp_EscTabla,'Corrida 1'!$J$88,'Corrida 2'!$J$88,'Corrida 3'!$J$88,'Corrida 4'!$J$88))</f>
        <v/>
      </c>
      <c r="G54" s="59" t="str">
        <f>IF(B54="","",E54+F54)</f>
        <v/>
      </c>
      <c r="H54" s="59" t="str">
        <f>IF(B54="","",H53+G54)</f>
        <v/>
      </c>
    </row>
    <row r="55">
      <c r="B55" s="57" t="str">
        <f>IF(CHOOSE(inp_EscTabla,'Corrida 1'!$B$89,'Corrida 2'!$B$89,'Corrida 3'!$B$89,'Corrida 4'!$B$89)="","",44)</f>
        <v/>
      </c>
      <c r="C55" s="58" t="str">
        <f>IF(B55="","",CHOOSE(inp_EscTabla,'Corrida 1'!$D$89,'Corrida 2'!$D$89,'Corrida 3'!$D$89,'Corrida 4'!$D$89))</f>
        <v/>
      </c>
      <c r="D55" s="57" t="str">
        <f>IF(B55="","",IF(CHOOSE(inp_EscTabla,'Corrida 1'!$B$89,'Corrida 2'!$B$89,'Corrida 3'!$B$89,'Corrida 4'!$B$89)="Básico","Renta mensual",IF(CHOOSE(inp_EscTabla,'Corrida 1'!$B$89,'Corrida 2'!$B$89,'Corrida 3'!$B$89,'Corrida 4'!$B$89)="Sucesivo","Renta plazo sucesivo","Opción de compra")))</f>
        <v/>
      </c>
      <c r="E55" s="59" t="str">
        <f>IF(B55="","",CHOOSE(inp_EscTabla,'Corrida 1'!$F$89,'Corrida 2'!$F$89,'Corrida 3'!$F$89,'Corrida 4'!$F$89))</f>
        <v/>
      </c>
      <c r="F55" s="59" t="str">
        <f>IF(B55="","",CHOOSE(inp_EscTabla,'Corrida 1'!$J$89,'Corrida 2'!$J$89,'Corrida 3'!$J$89,'Corrida 4'!$J$89))</f>
        <v/>
      </c>
      <c r="G55" s="59" t="str">
        <f>IF(B55="","",E55+F55)</f>
        <v/>
      </c>
      <c r="H55" s="59" t="str">
        <f>IF(B55="","",H54+G55)</f>
        <v/>
      </c>
    </row>
    <row r="56">
      <c r="B56" s="57" t="str">
        <f>IF(CHOOSE(inp_EscTabla,'Corrida 1'!$B$90,'Corrida 2'!$B$90,'Corrida 3'!$B$90,'Corrida 4'!$B$90)="","",45)</f>
        <v/>
      </c>
      <c r="C56" s="58" t="str">
        <f>IF(B56="","",CHOOSE(inp_EscTabla,'Corrida 1'!$D$90,'Corrida 2'!$D$90,'Corrida 3'!$D$90,'Corrida 4'!$D$90))</f>
        <v/>
      </c>
      <c r="D56" s="57" t="str">
        <f>IF(B56="","",IF(CHOOSE(inp_EscTabla,'Corrida 1'!$B$90,'Corrida 2'!$B$90,'Corrida 3'!$B$90,'Corrida 4'!$B$90)="Básico","Renta mensual",IF(CHOOSE(inp_EscTabla,'Corrida 1'!$B$90,'Corrida 2'!$B$90,'Corrida 3'!$B$90,'Corrida 4'!$B$90)="Sucesivo","Renta plazo sucesivo","Opción de compra")))</f>
        <v/>
      </c>
      <c r="E56" s="59" t="str">
        <f>IF(B56="","",CHOOSE(inp_EscTabla,'Corrida 1'!$F$90,'Corrida 2'!$F$90,'Corrida 3'!$F$90,'Corrida 4'!$F$90))</f>
        <v/>
      </c>
      <c r="F56" s="59" t="str">
        <f>IF(B56="","",CHOOSE(inp_EscTabla,'Corrida 1'!$J$90,'Corrida 2'!$J$90,'Corrida 3'!$J$90,'Corrida 4'!$J$90))</f>
        <v/>
      </c>
      <c r="G56" s="59" t="str">
        <f>IF(B56="","",E56+F56)</f>
        <v/>
      </c>
      <c r="H56" s="59" t="str">
        <f>IF(B56="","",H55+G56)</f>
        <v/>
      </c>
    </row>
    <row r="57">
      <c r="B57" s="57" t="str">
        <f>IF(CHOOSE(inp_EscTabla,'Corrida 1'!$B$91,'Corrida 2'!$B$91,'Corrida 3'!$B$91,'Corrida 4'!$B$91)="","",46)</f>
        <v/>
      </c>
      <c r="C57" s="58" t="str">
        <f>IF(B57="","",CHOOSE(inp_EscTabla,'Corrida 1'!$D$91,'Corrida 2'!$D$91,'Corrida 3'!$D$91,'Corrida 4'!$D$91))</f>
        <v/>
      </c>
      <c r="D57" s="57" t="str">
        <f>IF(B57="","",IF(CHOOSE(inp_EscTabla,'Corrida 1'!$B$91,'Corrida 2'!$B$91,'Corrida 3'!$B$91,'Corrida 4'!$B$91)="Básico","Renta mensual",IF(CHOOSE(inp_EscTabla,'Corrida 1'!$B$91,'Corrida 2'!$B$91,'Corrida 3'!$B$91,'Corrida 4'!$B$91)="Sucesivo","Renta plazo sucesivo","Opción de compra")))</f>
        <v/>
      </c>
      <c r="E57" s="59" t="str">
        <f>IF(B57="","",CHOOSE(inp_EscTabla,'Corrida 1'!$F$91,'Corrida 2'!$F$91,'Corrida 3'!$F$91,'Corrida 4'!$F$91))</f>
        <v/>
      </c>
      <c r="F57" s="59" t="str">
        <f>IF(B57="","",CHOOSE(inp_EscTabla,'Corrida 1'!$J$91,'Corrida 2'!$J$91,'Corrida 3'!$J$91,'Corrida 4'!$J$91))</f>
        <v/>
      </c>
      <c r="G57" s="59" t="str">
        <f>IF(B57="","",E57+F57)</f>
        <v/>
      </c>
      <c r="H57" s="59" t="str">
        <f>IF(B57="","",H56+G57)</f>
        <v/>
      </c>
    </row>
    <row r="58">
      <c r="B58" s="57" t="str">
        <f>IF(CHOOSE(inp_EscTabla,'Corrida 1'!$B$92,'Corrida 2'!$B$92,'Corrida 3'!$B$92,'Corrida 4'!$B$92)="","",47)</f>
        <v/>
      </c>
      <c r="C58" s="58" t="str">
        <f>IF(B58="","",CHOOSE(inp_EscTabla,'Corrida 1'!$D$92,'Corrida 2'!$D$92,'Corrida 3'!$D$92,'Corrida 4'!$D$92))</f>
        <v/>
      </c>
      <c r="D58" s="57" t="str">
        <f>IF(B58="","",IF(CHOOSE(inp_EscTabla,'Corrida 1'!$B$92,'Corrida 2'!$B$92,'Corrida 3'!$B$92,'Corrida 4'!$B$92)="Básico","Renta mensual",IF(CHOOSE(inp_EscTabla,'Corrida 1'!$B$92,'Corrida 2'!$B$92,'Corrida 3'!$B$92,'Corrida 4'!$B$92)="Sucesivo","Renta plazo sucesivo","Opción de compra")))</f>
        <v/>
      </c>
      <c r="E58" s="59" t="str">
        <f>IF(B58="","",CHOOSE(inp_EscTabla,'Corrida 1'!$F$92,'Corrida 2'!$F$92,'Corrida 3'!$F$92,'Corrida 4'!$F$92))</f>
        <v/>
      </c>
      <c r="F58" s="59" t="str">
        <f>IF(B58="","",CHOOSE(inp_EscTabla,'Corrida 1'!$J$92,'Corrida 2'!$J$92,'Corrida 3'!$J$92,'Corrida 4'!$J$92))</f>
        <v/>
      </c>
      <c r="G58" s="59" t="str">
        <f>IF(B58="","",E58+F58)</f>
        <v/>
      </c>
      <c r="H58" s="59" t="str">
        <f>IF(B58="","",H57+G58)</f>
        <v/>
      </c>
    </row>
    <row r="59">
      <c r="B59" s="57" t="str">
        <f>IF(CHOOSE(inp_EscTabla,'Corrida 1'!$B$93,'Corrida 2'!$B$93,'Corrida 3'!$B$93,'Corrida 4'!$B$93)="","",48)</f>
        <v/>
      </c>
      <c r="C59" s="58" t="str">
        <f>IF(B59="","",CHOOSE(inp_EscTabla,'Corrida 1'!$D$93,'Corrida 2'!$D$93,'Corrida 3'!$D$93,'Corrida 4'!$D$93))</f>
        <v/>
      </c>
      <c r="D59" s="57" t="str">
        <f>IF(B59="","",IF(CHOOSE(inp_EscTabla,'Corrida 1'!$B$93,'Corrida 2'!$B$93,'Corrida 3'!$B$93,'Corrida 4'!$B$93)="Básico","Renta mensual",IF(CHOOSE(inp_EscTabla,'Corrida 1'!$B$93,'Corrida 2'!$B$93,'Corrida 3'!$B$93,'Corrida 4'!$B$93)="Sucesivo","Renta plazo sucesivo","Opción de compra")))</f>
        <v/>
      </c>
      <c r="E59" s="59" t="str">
        <f>IF(B59="","",CHOOSE(inp_EscTabla,'Corrida 1'!$F$93,'Corrida 2'!$F$93,'Corrida 3'!$F$93,'Corrida 4'!$F$93))</f>
        <v/>
      </c>
      <c r="F59" s="59" t="str">
        <f>IF(B59="","",CHOOSE(inp_EscTabla,'Corrida 1'!$J$93,'Corrida 2'!$J$93,'Corrida 3'!$J$93,'Corrida 4'!$J$93))</f>
        <v/>
      </c>
      <c r="G59" s="59" t="str">
        <f>IF(B59="","",E59+F59)</f>
        <v/>
      </c>
      <c r="H59" s="59" t="str">
        <f>IF(B59="","",H58+G59)</f>
        <v/>
      </c>
    </row>
    <row r="60">
      <c r="B60" s="57" t="str">
        <f>IF(CHOOSE(inp_EscTabla,'Corrida 1'!$B$94,'Corrida 2'!$B$94,'Corrida 3'!$B$94,'Corrida 4'!$B$94)="","",49)</f>
        <v/>
      </c>
      <c r="C60" s="58" t="str">
        <f>IF(B60="","",CHOOSE(inp_EscTabla,'Corrida 1'!$D$94,'Corrida 2'!$D$94,'Corrida 3'!$D$94,'Corrida 4'!$D$94))</f>
        <v/>
      </c>
      <c r="D60" s="57" t="str">
        <f>IF(B60="","",IF(CHOOSE(inp_EscTabla,'Corrida 1'!$B$94,'Corrida 2'!$B$94,'Corrida 3'!$B$94,'Corrida 4'!$B$94)="Básico","Renta mensual",IF(CHOOSE(inp_EscTabla,'Corrida 1'!$B$94,'Corrida 2'!$B$94,'Corrida 3'!$B$94,'Corrida 4'!$B$94)="Sucesivo","Renta plazo sucesivo","Opción de compra")))</f>
        <v/>
      </c>
      <c r="E60" s="59" t="str">
        <f>IF(B60="","",CHOOSE(inp_EscTabla,'Corrida 1'!$F$94,'Corrida 2'!$F$94,'Corrida 3'!$F$94,'Corrida 4'!$F$94))</f>
        <v/>
      </c>
      <c r="F60" s="59" t="str">
        <f>IF(B60="","",CHOOSE(inp_EscTabla,'Corrida 1'!$J$94,'Corrida 2'!$J$94,'Corrida 3'!$J$94,'Corrida 4'!$J$94))</f>
        <v/>
      </c>
      <c r="G60" s="59" t="str">
        <f>IF(B60="","",E60+F60)</f>
        <v/>
      </c>
      <c r="H60" s="59" t="str">
        <f>IF(B60="","",H59+G60)</f>
        <v/>
      </c>
    </row>
    <row r="61">
      <c r="B61" s="57" t="str">
        <f>IF(CHOOSE(inp_EscTabla,'Corrida 1'!$B$95,'Corrida 2'!$B$95,'Corrida 3'!$B$95,'Corrida 4'!$B$95)="","",50)</f>
        <v/>
      </c>
      <c r="C61" s="58" t="str">
        <f>IF(B61="","",CHOOSE(inp_EscTabla,'Corrida 1'!$D$95,'Corrida 2'!$D$95,'Corrida 3'!$D$95,'Corrida 4'!$D$95))</f>
        <v/>
      </c>
      <c r="D61" s="57" t="str">
        <f>IF(B61="","",IF(CHOOSE(inp_EscTabla,'Corrida 1'!$B$95,'Corrida 2'!$B$95,'Corrida 3'!$B$95,'Corrida 4'!$B$95)="Básico","Renta mensual",IF(CHOOSE(inp_EscTabla,'Corrida 1'!$B$95,'Corrida 2'!$B$95,'Corrida 3'!$B$95,'Corrida 4'!$B$95)="Sucesivo","Renta plazo sucesivo","Opción de compra")))</f>
        <v/>
      </c>
      <c r="E61" s="59" t="str">
        <f>IF(B61="","",CHOOSE(inp_EscTabla,'Corrida 1'!$F$95,'Corrida 2'!$F$95,'Corrida 3'!$F$95,'Corrida 4'!$F$95))</f>
        <v/>
      </c>
      <c r="F61" s="59" t="str">
        <f>IF(B61="","",CHOOSE(inp_EscTabla,'Corrida 1'!$J$95,'Corrida 2'!$J$95,'Corrida 3'!$J$95,'Corrida 4'!$J$95))</f>
        <v/>
      </c>
      <c r="G61" s="59" t="str">
        <f>IF(B61="","",E61+F61)</f>
        <v/>
      </c>
      <c r="H61" s="59" t="str">
        <f>IF(B61="","",H60+G61)</f>
        <v/>
      </c>
    </row>
    <row r="62">
      <c r="B62" s="57" t="str">
        <f>IF(CHOOSE(inp_EscTabla,'Corrida 1'!$B$96,'Corrida 2'!$B$96,'Corrida 3'!$B$96,'Corrida 4'!$B$96)="","",51)</f>
        <v/>
      </c>
      <c r="C62" s="58" t="str">
        <f>IF(B62="","",CHOOSE(inp_EscTabla,'Corrida 1'!$D$96,'Corrida 2'!$D$96,'Corrida 3'!$D$96,'Corrida 4'!$D$96))</f>
        <v/>
      </c>
      <c r="D62" s="57" t="str">
        <f>IF(B62="","",IF(CHOOSE(inp_EscTabla,'Corrida 1'!$B$96,'Corrida 2'!$B$96,'Corrida 3'!$B$96,'Corrida 4'!$B$96)="Básico","Renta mensual",IF(CHOOSE(inp_EscTabla,'Corrida 1'!$B$96,'Corrida 2'!$B$96,'Corrida 3'!$B$96,'Corrida 4'!$B$96)="Sucesivo","Renta plazo sucesivo","Opción de compra")))</f>
        <v/>
      </c>
      <c r="E62" s="59" t="str">
        <f>IF(B62="","",CHOOSE(inp_EscTabla,'Corrida 1'!$F$96,'Corrida 2'!$F$96,'Corrida 3'!$F$96,'Corrida 4'!$F$96))</f>
        <v/>
      </c>
      <c r="F62" s="59" t="str">
        <f>IF(B62="","",CHOOSE(inp_EscTabla,'Corrida 1'!$J$96,'Corrida 2'!$J$96,'Corrida 3'!$J$96,'Corrida 4'!$J$96))</f>
        <v/>
      </c>
      <c r="G62" s="59" t="str">
        <f>IF(B62="","",E62+F62)</f>
        <v/>
      </c>
      <c r="H62" s="59" t="str">
        <f>IF(B62="","",H61+G62)</f>
        <v/>
      </c>
    </row>
    <row r="63">
      <c r="B63" s="57" t="str">
        <f>IF(CHOOSE(inp_EscTabla,'Corrida 1'!$B$97,'Corrida 2'!$B$97,'Corrida 3'!$B$97,'Corrida 4'!$B$97)="","",52)</f>
        <v/>
      </c>
      <c r="C63" s="58" t="str">
        <f>IF(B63="","",CHOOSE(inp_EscTabla,'Corrida 1'!$D$97,'Corrida 2'!$D$97,'Corrida 3'!$D$97,'Corrida 4'!$D$97))</f>
        <v/>
      </c>
      <c r="D63" s="57" t="str">
        <f>IF(B63="","",IF(CHOOSE(inp_EscTabla,'Corrida 1'!$B$97,'Corrida 2'!$B$97,'Corrida 3'!$B$97,'Corrida 4'!$B$97)="Básico","Renta mensual",IF(CHOOSE(inp_EscTabla,'Corrida 1'!$B$97,'Corrida 2'!$B$97,'Corrida 3'!$B$97,'Corrida 4'!$B$97)="Sucesivo","Renta plazo sucesivo","Opción de compra")))</f>
        <v/>
      </c>
      <c r="E63" s="59" t="str">
        <f>IF(B63="","",CHOOSE(inp_EscTabla,'Corrida 1'!$F$97,'Corrida 2'!$F$97,'Corrida 3'!$F$97,'Corrida 4'!$F$97))</f>
        <v/>
      </c>
      <c r="F63" s="59" t="str">
        <f>IF(B63="","",CHOOSE(inp_EscTabla,'Corrida 1'!$J$97,'Corrida 2'!$J$97,'Corrida 3'!$J$97,'Corrida 4'!$J$97))</f>
        <v/>
      </c>
      <c r="G63" s="59" t="str">
        <f>IF(B63="","",E63+F63)</f>
        <v/>
      </c>
      <c r="H63" s="59" t="str">
        <f>IF(B63="","",H62+G63)</f>
        <v/>
      </c>
    </row>
    <row r="64">
      <c r="B64" s="57" t="str">
        <f>IF(CHOOSE(inp_EscTabla,'Corrida 1'!$B$98,'Corrida 2'!$B$98,'Corrida 3'!$B$98,'Corrida 4'!$B$98)="","",53)</f>
        <v/>
      </c>
      <c r="C64" s="58" t="str">
        <f>IF(B64="","",CHOOSE(inp_EscTabla,'Corrida 1'!$D$98,'Corrida 2'!$D$98,'Corrida 3'!$D$98,'Corrida 4'!$D$98))</f>
        <v/>
      </c>
      <c r="D64" s="57" t="str">
        <f>IF(B64="","",IF(CHOOSE(inp_EscTabla,'Corrida 1'!$B$98,'Corrida 2'!$B$98,'Corrida 3'!$B$98,'Corrida 4'!$B$98)="Básico","Renta mensual",IF(CHOOSE(inp_EscTabla,'Corrida 1'!$B$98,'Corrida 2'!$B$98,'Corrida 3'!$B$98,'Corrida 4'!$B$98)="Sucesivo","Renta plazo sucesivo","Opción de compra")))</f>
        <v/>
      </c>
      <c r="E64" s="59" t="str">
        <f>IF(B64="","",CHOOSE(inp_EscTabla,'Corrida 1'!$F$98,'Corrida 2'!$F$98,'Corrida 3'!$F$98,'Corrida 4'!$F$98))</f>
        <v/>
      </c>
      <c r="F64" s="59" t="str">
        <f>IF(B64="","",CHOOSE(inp_EscTabla,'Corrida 1'!$J$98,'Corrida 2'!$J$98,'Corrida 3'!$J$98,'Corrida 4'!$J$98))</f>
        <v/>
      </c>
      <c r="G64" s="59" t="str">
        <f>IF(B64="","",E64+F64)</f>
        <v/>
      </c>
      <c r="H64" s="59" t="str">
        <f>IF(B64="","",H63+G64)</f>
        <v/>
      </c>
    </row>
    <row r="65">
      <c r="B65" s="57" t="str">
        <f>IF(CHOOSE(inp_EscTabla,'Corrida 1'!$B$99,'Corrida 2'!$B$99,'Corrida 3'!$B$99,'Corrida 4'!$B$99)="","",54)</f>
        <v/>
      </c>
      <c r="C65" s="58" t="str">
        <f>IF(B65="","",CHOOSE(inp_EscTabla,'Corrida 1'!$D$99,'Corrida 2'!$D$99,'Corrida 3'!$D$99,'Corrida 4'!$D$99))</f>
        <v/>
      </c>
      <c r="D65" s="57" t="str">
        <f>IF(B65="","",IF(CHOOSE(inp_EscTabla,'Corrida 1'!$B$99,'Corrida 2'!$B$99,'Corrida 3'!$B$99,'Corrida 4'!$B$99)="Básico","Renta mensual",IF(CHOOSE(inp_EscTabla,'Corrida 1'!$B$99,'Corrida 2'!$B$99,'Corrida 3'!$B$99,'Corrida 4'!$B$99)="Sucesivo","Renta plazo sucesivo","Opción de compra")))</f>
        <v/>
      </c>
      <c r="E65" s="59" t="str">
        <f>IF(B65="","",CHOOSE(inp_EscTabla,'Corrida 1'!$F$99,'Corrida 2'!$F$99,'Corrida 3'!$F$99,'Corrida 4'!$F$99))</f>
        <v/>
      </c>
      <c r="F65" s="59" t="str">
        <f>IF(B65="","",CHOOSE(inp_EscTabla,'Corrida 1'!$J$99,'Corrida 2'!$J$99,'Corrida 3'!$J$99,'Corrida 4'!$J$99))</f>
        <v/>
      </c>
      <c r="G65" s="59" t="str">
        <f>IF(B65="","",E65+F65)</f>
        <v/>
      </c>
      <c r="H65" s="59" t="str">
        <f>IF(B65="","",H64+G65)</f>
        <v/>
      </c>
    </row>
    <row r="66">
      <c r="B66" s="57" t="str">
        <f>IF(CHOOSE(inp_EscTabla,'Corrida 1'!$B$100,'Corrida 2'!$B$100,'Corrida 3'!$B$100,'Corrida 4'!$B$100)="","",55)</f>
        <v/>
      </c>
      <c r="C66" s="58" t="str">
        <f>IF(B66="","",CHOOSE(inp_EscTabla,'Corrida 1'!$D$100,'Corrida 2'!$D$100,'Corrida 3'!$D$100,'Corrida 4'!$D$100))</f>
        <v/>
      </c>
      <c r="D66" s="57" t="str">
        <f>IF(B66="","",IF(CHOOSE(inp_EscTabla,'Corrida 1'!$B$100,'Corrida 2'!$B$100,'Corrida 3'!$B$100,'Corrida 4'!$B$100)="Básico","Renta mensual",IF(CHOOSE(inp_EscTabla,'Corrida 1'!$B$100,'Corrida 2'!$B$100,'Corrida 3'!$B$100,'Corrida 4'!$B$100)="Sucesivo","Renta plazo sucesivo","Opción de compra")))</f>
        <v/>
      </c>
      <c r="E66" s="59" t="str">
        <f>IF(B66="","",CHOOSE(inp_EscTabla,'Corrida 1'!$F$100,'Corrida 2'!$F$100,'Corrida 3'!$F$100,'Corrida 4'!$F$100))</f>
        <v/>
      </c>
      <c r="F66" s="59" t="str">
        <f>IF(B66="","",CHOOSE(inp_EscTabla,'Corrida 1'!$J$100,'Corrida 2'!$J$100,'Corrida 3'!$J$100,'Corrida 4'!$J$100))</f>
        <v/>
      </c>
      <c r="G66" s="59" t="str">
        <f>IF(B66="","",E66+F66)</f>
        <v/>
      </c>
      <c r="H66" s="59" t="str">
        <f>IF(B66="","",H65+G66)</f>
        <v/>
      </c>
    </row>
    <row r="67">
      <c r="B67" s="57" t="str">
        <f>IF(CHOOSE(inp_EscTabla,'Corrida 1'!$B$101,'Corrida 2'!$B$101,'Corrida 3'!$B$101,'Corrida 4'!$B$101)="","",56)</f>
        <v/>
      </c>
      <c r="C67" s="58" t="str">
        <f>IF(B67="","",CHOOSE(inp_EscTabla,'Corrida 1'!$D$101,'Corrida 2'!$D$101,'Corrida 3'!$D$101,'Corrida 4'!$D$101))</f>
        <v/>
      </c>
      <c r="D67" s="57" t="str">
        <f>IF(B67="","",IF(CHOOSE(inp_EscTabla,'Corrida 1'!$B$101,'Corrida 2'!$B$101,'Corrida 3'!$B$101,'Corrida 4'!$B$101)="Básico","Renta mensual",IF(CHOOSE(inp_EscTabla,'Corrida 1'!$B$101,'Corrida 2'!$B$101,'Corrida 3'!$B$101,'Corrida 4'!$B$101)="Sucesivo","Renta plazo sucesivo","Opción de compra")))</f>
        <v/>
      </c>
      <c r="E67" s="59" t="str">
        <f>IF(B67="","",CHOOSE(inp_EscTabla,'Corrida 1'!$F$101,'Corrida 2'!$F$101,'Corrida 3'!$F$101,'Corrida 4'!$F$101))</f>
        <v/>
      </c>
      <c r="F67" s="59" t="str">
        <f>IF(B67="","",CHOOSE(inp_EscTabla,'Corrida 1'!$J$101,'Corrida 2'!$J$101,'Corrida 3'!$J$101,'Corrida 4'!$J$101))</f>
        <v/>
      </c>
      <c r="G67" s="59" t="str">
        <f>IF(B67="","",E67+F67)</f>
        <v/>
      </c>
      <c r="H67" s="59" t="str">
        <f>IF(B67="","",H66+G67)</f>
        <v/>
      </c>
    </row>
    <row r="68">
      <c r="B68" s="57" t="str">
        <f>IF(CHOOSE(inp_EscTabla,'Corrida 1'!$B$102,'Corrida 2'!$B$102,'Corrida 3'!$B$102,'Corrida 4'!$B$102)="","",57)</f>
        <v/>
      </c>
      <c r="C68" s="58" t="str">
        <f>IF(B68="","",CHOOSE(inp_EscTabla,'Corrida 1'!$D$102,'Corrida 2'!$D$102,'Corrida 3'!$D$102,'Corrida 4'!$D$102))</f>
        <v/>
      </c>
      <c r="D68" s="57" t="str">
        <f>IF(B68="","",IF(CHOOSE(inp_EscTabla,'Corrida 1'!$B$102,'Corrida 2'!$B$102,'Corrida 3'!$B$102,'Corrida 4'!$B$102)="Básico","Renta mensual",IF(CHOOSE(inp_EscTabla,'Corrida 1'!$B$102,'Corrida 2'!$B$102,'Corrida 3'!$B$102,'Corrida 4'!$B$102)="Sucesivo","Renta plazo sucesivo","Opción de compra")))</f>
        <v/>
      </c>
      <c r="E68" s="59" t="str">
        <f>IF(B68="","",CHOOSE(inp_EscTabla,'Corrida 1'!$F$102,'Corrida 2'!$F$102,'Corrida 3'!$F$102,'Corrida 4'!$F$102))</f>
        <v/>
      </c>
      <c r="F68" s="59" t="str">
        <f>IF(B68="","",CHOOSE(inp_EscTabla,'Corrida 1'!$J$102,'Corrida 2'!$J$102,'Corrida 3'!$J$102,'Corrida 4'!$J$102))</f>
        <v/>
      </c>
      <c r="G68" s="59" t="str">
        <f>IF(B68="","",E68+F68)</f>
        <v/>
      </c>
      <c r="H68" s="59" t="str">
        <f>IF(B68="","",H67+G68)</f>
        <v/>
      </c>
    </row>
    <row r="69">
      <c r="B69" s="57" t="str">
        <f>IF(CHOOSE(inp_EscTabla,'Corrida 1'!$B$103,'Corrida 2'!$B$103,'Corrida 3'!$B$103,'Corrida 4'!$B$103)="","",58)</f>
        <v/>
      </c>
      <c r="C69" s="58" t="str">
        <f>IF(B69="","",CHOOSE(inp_EscTabla,'Corrida 1'!$D$103,'Corrida 2'!$D$103,'Corrida 3'!$D$103,'Corrida 4'!$D$103))</f>
        <v/>
      </c>
      <c r="D69" s="57" t="str">
        <f>IF(B69="","",IF(CHOOSE(inp_EscTabla,'Corrida 1'!$B$103,'Corrida 2'!$B$103,'Corrida 3'!$B$103,'Corrida 4'!$B$103)="Básico","Renta mensual",IF(CHOOSE(inp_EscTabla,'Corrida 1'!$B$103,'Corrida 2'!$B$103,'Corrida 3'!$B$103,'Corrida 4'!$B$103)="Sucesivo","Renta plazo sucesivo","Opción de compra")))</f>
        <v/>
      </c>
      <c r="E69" s="59" t="str">
        <f>IF(B69="","",CHOOSE(inp_EscTabla,'Corrida 1'!$F$103,'Corrida 2'!$F$103,'Corrida 3'!$F$103,'Corrida 4'!$F$103))</f>
        <v/>
      </c>
      <c r="F69" s="59" t="str">
        <f>IF(B69="","",CHOOSE(inp_EscTabla,'Corrida 1'!$J$103,'Corrida 2'!$J$103,'Corrida 3'!$J$103,'Corrida 4'!$J$103))</f>
        <v/>
      </c>
      <c r="G69" s="59" t="str">
        <f>IF(B69="","",E69+F69)</f>
        <v/>
      </c>
      <c r="H69" s="59" t="str">
        <f>IF(B69="","",H68+G69)</f>
        <v/>
      </c>
    </row>
    <row r="70">
      <c r="B70" s="57" t="str">
        <f>IF(CHOOSE(inp_EscTabla,'Corrida 1'!$B$104,'Corrida 2'!$B$104,'Corrida 3'!$B$104,'Corrida 4'!$B$104)="","",59)</f>
        <v/>
      </c>
      <c r="C70" s="58" t="str">
        <f>IF(B70="","",CHOOSE(inp_EscTabla,'Corrida 1'!$D$104,'Corrida 2'!$D$104,'Corrida 3'!$D$104,'Corrida 4'!$D$104))</f>
        <v/>
      </c>
      <c r="D70" s="57" t="str">
        <f>IF(B70="","",IF(CHOOSE(inp_EscTabla,'Corrida 1'!$B$104,'Corrida 2'!$B$104,'Corrida 3'!$B$104,'Corrida 4'!$B$104)="Básico","Renta mensual",IF(CHOOSE(inp_EscTabla,'Corrida 1'!$B$104,'Corrida 2'!$B$104,'Corrida 3'!$B$104,'Corrida 4'!$B$104)="Sucesivo","Renta plazo sucesivo","Opción de compra")))</f>
        <v/>
      </c>
      <c r="E70" s="59" t="str">
        <f>IF(B70="","",CHOOSE(inp_EscTabla,'Corrida 1'!$F$104,'Corrida 2'!$F$104,'Corrida 3'!$F$104,'Corrida 4'!$F$104))</f>
        <v/>
      </c>
      <c r="F70" s="59" t="str">
        <f>IF(B70="","",CHOOSE(inp_EscTabla,'Corrida 1'!$J$104,'Corrida 2'!$J$104,'Corrida 3'!$J$104,'Corrida 4'!$J$104))</f>
        <v/>
      </c>
      <c r="G70" s="59" t="str">
        <f>IF(B70="","",E70+F70)</f>
        <v/>
      </c>
      <c r="H70" s="59" t="str">
        <f>IF(B70="","",H69+G70)</f>
        <v/>
      </c>
    </row>
    <row r="71">
      <c r="B71" s="57" t="str">
        <f>IF(CHOOSE(inp_EscTabla,'Corrida 1'!$B$105,'Corrida 2'!$B$105,'Corrida 3'!$B$105,'Corrida 4'!$B$105)="","",60)</f>
        <v/>
      </c>
      <c r="C71" s="58" t="str">
        <f>IF(B71="","",CHOOSE(inp_EscTabla,'Corrida 1'!$D$105,'Corrida 2'!$D$105,'Corrida 3'!$D$105,'Corrida 4'!$D$105))</f>
        <v/>
      </c>
      <c r="D71" s="57" t="str">
        <f>IF(B71="","",IF(CHOOSE(inp_EscTabla,'Corrida 1'!$B$105,'Corrida 2'!$B$105,'Corrida 3'!$B$105,'Corrida 4'!$B$105)="Básico","Renta mensual",IF(CHOOSE(inp_EscTabla,'Corrida 1'!$B$105,'Corrida 2'!$B$105,'Corrida 3'!$B$105,'Corrida 4'!$B$105)="Sucesivo","Renta plazo sucesivo","Opción de compra")))</f>
        <v/>
      </c>
      <c r="E71" s="59" t="str">
        <f>IF(B71="","",CHOOSE(inp_EscTabla,'Corrida 1'!$F$105,'Corrida 2'!$F$105,'Corrida 3'!$F$105,'Corrida 4'!$F$105))</f>
        <v/>
      </c>
      <c r="F71" s="59" t="str">
        <f>IF(B71="","",CHOOSE(inp_EscTabla,'Corrida 1'!$J$105,'Corrida 2'!$J$105,'Corrida 3'!$J$105,'Corrida 4'!$J$105))</f>
        <v/>
      </c>
      <c r="G71" s="59" t="str">
        <f>IF(B71="","",E71+F71)</f>
        <v/>
      </c>
      <c r="H71" s="59" t="str">
        <f>IF(B71="","",H70+G71)</f>
        <v/>
      </c>
    </row>
    <row r="72">
      <c r="B72" s="57" t="str">
        <f>IF(CHOOSE(inp_EscTabla,'Corrida 1'!$B$106,'Corrida 2'!$B$106,'Corrida 3'!$B$106,'Corrida 4'!$B$106)="","",61)</f>
        <v/>
      </c>
      <c r="C72" s="58" t="str">
        <f>IF(B72="","",CHOOSE(inp_EscTabla,'Corrida 1'!$D$106,'Corrida 2'!$D$106,'Corrida 3'!$D$106,'Corrida 4'!$D$106))</f>
        <v/>
      </c>
      <c r="D72" s="57" t="str">
        <f>IF(B72="","",IF(CHOOSE(inp_EscTabla,'Corrida 1'!$B$106,'Corrida 2'!$B$106,'Corrida 3'!$B$106,'Corrida 4'!$B$106)="Básico","Renta mensual",IF(CHOOSE(inp_EscTabla,'Corrida 1'!$B$106,'Corrida 2'!$B$106,'Corrida 3'!$B$106,'Corrida 4'!$B$106)="Sucesivo","Renta plazo sucesivo","Opción de compra")))</f>
        <v/>
      </c>
      <c r="E72" s="59" t="str">
        <f>IF(B72="","",CHOOSE(inp_EscTabla,'Corrida 1'!$F$106,'Corrida 2'!$F$106,'Corrida 3'!$F$106,'Corrida 4'!$F$106))</f>
        <v/>
      </c>
      <c r="F72" s="59" t="str">
        <f>IF(B72="","",CHOOSE(inp_EscTabla,'Corrida 1'!$J$106,'Corrida 2'!$J$106,'Corrida 3'!$J$106,'Corrida 4'!$J$106))</f>
        <v/>
      </c>
      <c r="G72" s="59" t="str">
        <f>IF(B72="","",E72+F72)</f>
        <v/>
      </c>
      <c r="H72" s="59" t="str">
        <f>IF(B72="","",H71+G72)</f>
        <v/>
      </c>
    </row>
    <row r="73">
      <c r="B73" s="57" t="str">
        <f>IF(CHOOSE(inp_EscTabla,'Corrida 1'!$B$107,'Corrida 2'!$B$107,'Corrida 3'!$B$107,'Corrida 4'!$B$107)="","",62)</f>
        <v/>
      </c>
      <c r="C73" s="58" t="str">
        <f>IF(B73="","",CHOOSE(inp_EscTabla,'Corrida 1'!$D$107,'Corrida 2'!$D$107,'Corrida 3'!$D$107,'Corrida 4'!$D$107))</f>
        <v/>
      </c>
      <c r="D73" s="57" t="str">
        <f>IF(B73="","",IF(CHOOSE(inp_EscTabla,'Corrida 1'!$B$107,'Corrida 2'!$B$107,'Corrida 3'!$B$107,'Corrida 4'!$B$107)="Básico","Renta mensual",IF(CHOOSE(inp_EscTabla,'Corrida 1'!$B$107,'Corrida 2'!$B$107,'Corrida 3'!$B$107,'Corrida 4'!$B$107)="Sucesivo","Renta plazo sucesivo","Opción de compra")))</f>
        <v/>
      </c>
      <c r="E73" s="59" t="str">
        <f>IF(B73="","",CHOOSE(inp_EscTabla,'Corrida 1'!$F$107,'Corrida 2'!$F$107,'Corrida 3'!$F$107,'Corrida 4'!$F$107))</f>
        <v/>
      </c>
      <c r="F73" s="59" t="str">
        <f>IF(B73="","",CHOOSE(inp_EscTabla,'Corrida 1'!$J$107,'Corrida 2'!$J$107,'Corrida 3'!$J$107,'Corrida 4'!$J$107))</f>
        <v/>
      </c>
      <c r="G73" s="59" t="str">
        <f>IF(B73="","",E73+F73)</f>
        <v/>
      </c>
      <c r="H73" s="59" t="str">
        <f>IF(B73="","",H72+G73)</f>
        <v/>
      </c>
    </row>
    <row r="74">
      <c r="B74" s="57" t="str">
        <f>IF(CHOOSE(inp_EscTabla,'Corrida 1'!$B$108,'Corrida 2'!$B$108,'Corrida 3'!$B$108,'Corrida 4'!$B$108)="","",63)</f>
        <v/>
      </c>
      <c r="C74" s="58" t="str">
        <f>IF(B74="","",CHOOSE(inp_EscTabla,'Corrida 1'!$D$108,'Corrida 2'!$D$108,'Corrida 3'!$D$108,'Corrida 4'!$D$108))</f>
        <v/>
      </c>
      <c r="D74" s="57" t="str">
        <f>IF(B74="","",IF(CHOOSE(inp_EscTabla,'Corrida 1'!$B$108,'Corrida 2'!$B$108,'Corrida 3'!$B$108,'Corrida 4'!$B$108)="Básico","Renta mensual",IF(CHOOSE(inp_EscTabla,'Corrida 1'!$B$108,'Corrida 2'!$B$108,'Corrida 3'!$B$108,'Corrida 4'!$B$108)="Sucesivo","Renta plazo sucesivo","Opción de compra")))</f>
        <v/>
      </c>
      <c r="E74" s="59" t="str">
        <f>IF(B74="","",CHOOSE(inp_EscTabla,'Corrida 1'!$F$108,'Corrida 2'!$F$108,'Corrida 3'!$F$108,'Corrida 4'!$F$108))</f>
        <v/>
      </c>
      <c r="F74" s="59" t="str">
        <f>IF(B74="","",CHOOSE(inp_EscTabla,'Corrida 1'!$J$108,'Corrida 2'!$J$108,'Corrida 3'!$J$108,'Corrida 4'!$J$108))</f>
        <v/>
      </c>
      <c r="G74" s="59" t="str">
        <f>IF(B74="","",E74+F74)</f>
        <v/>
      </c>
      <c r="H74" s="59" t="str">
        <f>IF(B74="","",H73+G74)</f>
        <v/>
      </c>
    </row>
    <row r="75">
      <c r="B75" s="57" t="str">
        <f>IF(CHOOSE(inp_EscTabla,'Corrida 1'!$B$109,'Corrida 2'!$B$109,'Corrida 3'!$B$109,'Corrida 4'!$B$109)="","",64)</f>
        <v/>
      </c>
      <c r="C75" s="58" t="str">
        <f>IF(B75="","",CHOOSE(inp_EscTabla,'Corrida 1'!$D$109,'Corrida 2'!$D$109,'Corrida 3'!$D$109,'Corrida 4'!$D$109))</f>
        <v/>
      </c>
      <c r="D75" s="57" t="str">
        <f>IF(B75="","",IF(CHOOSE(inp_EscTabla,'Corrida 1'!$B$109,'Corrida 2'!$B$109,'Corrida 3'!$B$109,'Corrida 4'!$B$109)="Básico","Renta mensual",IF(CHOOSE(inp_EscTabla,'Corrida 1'!$B$109,'Corrida 2'!$B$109,'Corrida 3'!$B$109,'Corrida 4'!$B$109)="Sucesivo","Renta plazo sucesivo","Opción de compra")))</f>
        <v/>
      </c>
      <c r="E75" s="59" t="str">
        <f>IF(B75="","",CHOOSE(inp_EscTabla,'Corrida 1'!$F$109,'Corrida 2'!$F$109,'Corrida 3'!$F$109,'Corrida 4'!$F$109))</f>
        <v/>
      </c>
      <c r="F75" s="59" t="str">
        <f>IF(B75="","",CHOOSE(inp_EscTabla,'Corrida 1'!$J$109,'Corrida 2'!$J$109,'Corrida 3'!$J$109,'Corrida 4'!$J$109))</f>
        <v/>
      </c>
      <c r="G75" s="59" t="str">
        <f>IF(B75="","",E75+F75)</f>
        <v/>
      </c>
      <c r="H75" s="59" t="str">
        <f>IF(B75="","",H74+G75)</f>
        <v/>
      </c>
    </row>
    <row r="76">
      <c r="B76" s="57" t="str">
        <f>IF(CHOOSE(inp_EscTabla,'Corrida 1'!$B$110,'Corrida 2'!$B$110,'Corrida 3'!$B$110,'Corrida 4'!$B$110)="","",65)</f>
        <v/>
      </c>
      <c r="C76" s="58" t="str">
        <f>IF(B76="","",CHOOSE(inp_EscTabla,'Corrida 1'!$D$110,'Corrida 2'!$D$110,'Corrida 3'!$D$110,'Corrida 4'!$D$110))</f>
        <v/>
      </c>
      <c r="D76" s="57" t="str">
        <f>IF(B76="","",IF(CHOOSE(inp_EscTabla,'Corrida 1'!$B$110,'Corrida 2'!$B$110,'Corrida 3'!$B$110,'Corrida 4'!$B$110)="Básico","Renta mensual",IF(CHOOSE(inp_EscTabla,'Corrida 1'!$B$110,'Corrida 2'!$B$110,'Corrida 3'!$B$110,'Corrida 4'!$B$110)="Sucesivo","Renta plazo sucesivo","Opción de compra")))</f>
        <v/>
      </c>
      <c r="E76" s="59" t="str">
        <f>IF(B76="","",CHOOSE(inp_EscTabla,'Corrida 1'!$F$110,'Corrida 2'!$F$110,'Corrida 3'!$F$110,'Corrida 4'!$F$110))</f>
        <v/>
      </c>
      <c r="F76" s="59" t="str">
        <f>IF(B76="","",CHOOSE(inp_EscTabla,'Corrida 1'!$J$110,'Corrida 2'!$J$110,'Corrida 3'!$J$110,'Corrida 4'!$J$110))</f>
        <v/>
      </c>
      <c r="G76" s="59" t="str">
        <f>IF(B76="","",E76+F76)</f>
        <v/>
      </c>
      <c r="H76" s="59" t="str">
        <f>IF(B76="","",H75+G76)</f>
        <v/>
      </c>
    </row>
    <row r="77">
      <c r="B77" s="57" t="str">
        <f>IF(CHOOSE(inp_EscTabla,'Corrida 1'!$B$111,'Corrida 2'!$B$111,'Corrida 3'!$B$111,'Corrida 4'!$B$111)="","",66)</f>
        <v/>
      </c>
      <c r="C77" s="58" t="str">
        <f>IF(B77="","",CHOOSE(inp_EscTabla,'Corrida 1'!$D$111,'Corrida 2'!$D$111,'Corrida 3'!$D$111,'Corrida 4'!$D$111))</f>
        <v/>
      </c>
      <c r="D77" s="57" t="str">
        <f>IF(B77="","",IF(CHOOSE(inp_EscTabla,'Corrida 1'!$B$111,'Corrida 2'!$B$111,'Corrida 3'!$B$111,'Corrida 4'!$B$111)="Básico","Renta mensual",IF(CHOOSE(inp_EscTabla,'Corrida 1'!$B$111,'Corrida 2'!$B$111,'Corrida 3'!$B$111,'Corrida 4'!$B$111)="Sucesivo","Renta plazo sucesivo","Opción de compra")))</f>
        <v/>
      </c>
      <c r="E77" s="59" t="str">
        <f>IF(B77="","",CHOOSE(inp_EscTabla,'Corrida 1'!$F$111,'Corrida 2'!$F$111,'Corrida 3'!$F$111,'Corrida 4'!$F$111))</f>
        <v/>
      </c>
      <c r="F77" s="59" t="str">
        <f>IF(B77="","",CHOOSE(inp_EscTabla,'Corrida 1'!$J$111,'Corrida 2'!$J$111,'Corrida 3'!$J$111,'Corrida 4'!$J$111))</f>
        <v/>
      </c>
      <c r="G77" s="59" t="str">
        <f>IF(B77="","",E77+F77)</f>
        <v/>
      </c>
      <c r="H77" s="59" t="str">
        <f>IF(B77="","",H76+G77)</f>
        <v/>
      </c>
    </row>
    <row r="78">
      <c r="B78" s="57" t="str">
        <f>IF(CHOOSE(inp_EscTabla,'Corrida 1'!$B$112,'Corrida 2'!$B$112,'Corrida 3'!$B$112,'Corrida 4'!$B$112)="","",67)</f>
        <v/>
      </c>
      <c r="C78" s="58" t="str">
        <f>IF(B78="","",CHOOSE(inp_EscTabla,'Corrida 1'!$D$112,'Corrida 2'!$D$112,'Corrida 3'!$D$112,'Corrida 4'!$D$112))</f>
        <v/>
      </c>
      <c r="D78" s="57" t="str">
        <f>IF(B78="","",IF(CHOOSE(inp_EscTabla,'Corrida 1'!$B$112,'Corrida 2'!$B$112,'Corrida 3'!$B$112,'Corrida 4'!$B$112)="Básico","Renta mensual",IF(CHOOSE(inp_EscTabla,'Corrida 1'!$B$112,'Corrida 2'!$B$112,'Corrida 3'!$B$112,'Corrida 4'!$B$112)="Sucesivo","Renta plazo sucesivo","Opción de compra")))</f>
        <v/>
      </c>
      <c r="E78" s="59" t="str">
        <f>IF(B78="","",CHOOSE(inp_EscTabla,'Corrida 1'!$F$112,'Corrida 2'!$F$112,'Corrida 3'!$F$112,'Corrida 4'!$F$112))</f>
        <v/>
      </c>
      <c r="F78" s="59" t="str">
        <f>IF(B78="","",CHOOSE(inp_EscTabla,'Corrida 1'!$J$112,'Corrida 2'!$J$112,'Corrida 3'!$J$112,'Corrida 4'!$J$112))</f>
        <v/>
      </c>
      <c r="G78" s="59" t="str">
        <f>IF(B78="","",E78+F78)</f>
        <v/>
      </c>
      <c r="H78" s="59" t="str">
        <f>IF(B78="","",H77+G78)</f>
        <v/>
      </c>
    </row>
    <row r="79">
      <c r="B79" s="57" t="str">
        <f>IF(CHOOSE(inp_EscTabla,'Corrida 1'!$B$113,'Corrida 2'!$B$113,'Corrida 3'!$B$113,'Corrida 4'!$B$113)="","",68)</f>
        <v/>
      </c>
      <c r="C79" s="58" t="str">
        <f>IF(B79="","",CHOOSE(inp_EscTabla,'Corrida 1'!$D$113,'Corrida 2'!$D$113,'Corrida 3'!$D$113,'Corrida 4'!$D$113))</f>
        <v/>
      </c>
      <c r="D79" s="57" t="str">
        <f>IF(B79="","",IF(CHOOSE(inp_EscTabla,'Corrida 1'!$B$113,'Corrida 2'!$B$113,'Corrida 3'!$B$113,'Corrida 4'!$B$113)="Básico","Renta mensual",IF(CHOOSE(inp_EscTabla,'Corrida 1'!$B$113,'Corrida 2'!$B$113,'Corrida 3'!$B$113,'Corrida 4'!$B$113)="Sucesivo","Renta plazo sucesivo","Opción de compra")))</f>
        <v/>
      </c>
      <c r="E79" s="59" t="str">
        <f>IF(B79="","",CHOOSE(inp_EscTabla,'Corrida 1'!$F$113,'Corrida 2'!$F$113,'Corrida 3'!$F$113,'Corrida 4'!$F$113))</f>
        <v/>
      </c>
      <c r="F79" s="59" t="str">
        <f>IF(B79="","",CHOOSE(inp_EscTabla,'Corrida 1'!$J$113,'Corrida 2'!$J$113,'Corrida 3'!$J$113,'Corrida 4'!$J$113))</f>
        <v/>
      </c>
      <c r="G79" s="59" t="str">
        <f>IF(B79="","",E79+F79)</f>
        <v/>
      </c>
      <c r="H79" s="59" t="str">
        <f>IF(B79="","",H78+G79)</f>
        <v/>
      </c>
    </row>
    <row r="80">
      <c r="B80" s="57" t="str">
        <f>IF(CHOOSE(inp_EscTabla,'Corrida 1'!$B$114,'Corrida 2'!$B$114,'Corrida 3'!$B$114,'Corrida 4'!$B$114)="","",69)</f>
        <v/>
      </c>
      <c r="C80" s="58" t="str">
        <f>IF(B80="","",CHOOSE(inp_EscTabla,'Corrida 1'!$D$114,'Corrida 2'!$D$114,'Corrida 3'!$D$114,'Corrida 4'!$D$114))</f>
        <v/>
      </c>
      <c r="D80" s="57" t="str">
        <f>IF(B80="","",IF(CHOOSE(inp_EscTabla,'Corrida 1'!$B$114,'Corrida 2'!$B$114,'Corrida 3'!$B$114,'Corrida 4'!$B$114)="Básico","Renta mensual",IF(CHOOSE(inp_EscTabla,'Corrida 1'!$B$114,'Corrida 2'!$B$114,'Corrida 3'!$B$114,'Corrida 4'!$B$114)="Sucesivo","Renta plazo sucesivo","Opción de compra")))</f>
        <v/>
      </c>
      <c r="E80" s="59" t="str">
        <f>IF(B80="","",CHOOSE(inp_EscTabla,'Corrida 1'!$F$114,'Corrida 2'!$F$114,'Corrida 3'!$F$114,'Corrida 4'!$F$114))</f>
        <v/>
      </c>
      <c r="F80" s="59" t="str">
        <f>IF(B80="","",CHOOSE(inp_EscTabla,'Corrida 1'!$J$114,'Corrida 2'!$J$114,'Corrida 3'!$J$114,'Corrida 4'!$J$114))</f>
        <v/>
      </c>
      <c r="G80" s="59" t="str">
        <f>IF(B80="","",E80+F80)</f>
        <v/>
      </c>
      <c r="H80" s="59" t="str">
        <f>IF(B80="","",H79+G80)</f>
        <v/>
      </c>
    </row>
    <row r="81">
      <c r="B81" s="57" t="str">
        <f>IF(CHOOSE(inp_EscTabla,'Corrida 1'!$B$115,'Corrida 2'!$B$115,'Corrida 3'!$B$115,'Corrida 4'!$B$115)="","",70)</f>
        <v/>
      </c>
      <c r="C81" s="58" t="str">
        <f>IF(B81="","",CHOOSE(inp_EscTabla,'Corrida 1'!$D$115,'Corrida 2'!$D$115,'Corrida 3'!$D$115,'Corrida 4'!$D$115))</f>
        <v/>
      </c>
      <c r="D81" s="57" t="str">
        <f>IF(B81="","",IF(CHOOSE(inp_EscTabla,'Corrida 1'!$B$115,'Corrida 2'!$B$115,'Corrida 3'!$B$115,'Corrida 4'!$B$115)="Básico","Renta mensual",IF(CHOOSE(inp_EscTabla,'Corrida 1'!$B$115,'Corrida 2'!$B$115,'Corrida 3'!$B$115,'Corrida 4'!$B$115)="Sucesivo","Renta plazo sucesivo","Opción de compra")))</f>
        <v/>
      </c>
      <c r="E81" s="59" t="str">
        <f>IF(B81="","",CHOOSE(inp_EscTabla,'Corrida 1'!$F$115,'Corrida 2'!$F$115,'Corrida 3'!$F$115,'Corrida 4'!$F$115))</f>
        <v/>
      </c>
      <c r="F81" s="59" t="str">
        <f>IF(B81="","",CHOOSE(inp_EscTabla,'Corrida 1'!$J$115,'Corrida 2'!$J$115,'Corrida 3'!$J$115,'Corrida 4'!$J$115))</f>
        <v/>
      </c>
      <c r="G81" s="59" t="str">
        <f>IF(B81="","",E81+F81)</f>
        <v/>
      </c>
      <c r="H81" s="59" t="str">
        <f>IF(B81="","",H80+G81)</f>
        <v/>
      </c>
    </row>
    <row r="82">
      <c r="B82" s="57" t="str">
        <f>IF(CHOOSE(inp_EscTabla,'Corrida 1'!$B$116,'Corrida 2'!$B$116,'Corrida 3'!$B$116,'Corrida 4'!$B$116)="","",71)</f>
        <v/>
      </c>
      <c r="C82" s="58" t="str">
        <f>IF(B82="","",CHOOSE(inp_EscTabla,'Corrida 1'!$D$116,'Corrida 2'!$D$116,'Corrida 3'!$D$116,'Corrida 4'!$D$116))</f>
        <v/>
      </c>
      <c r="D82" s="57" t="str">
        <f>IF(B82="","",IF(CHOOSE(inp_EscTabla,'Corrida 1'!$B$116,'Corrida 2'!$B$116,'Corrida 3'!$B$116,'Corrida 4'!$B$116)="Básico","Renta mensual",IF(CHOOSE(inp_EscTabla,'Corrida 1'!$B$116,'Corrida 2'!$B$116,'Corrida 3'!$B$116,'Corrida 4'!$B$116)="Sucesivo","Renta plazo sucesivo","Opción de compra")))</f>
        <v/>
      </c>
      <c r="E82" s="59" t="str">
        <f>IF(B82="","",CHOOSE(inp_EscTabla,'Corrida 1'!$F$116,'Corrida 2'!$F$116,'Corrida 3'!$F$116,'Corrida 4'!$F$116))</f>
        <v/>
      </c>
      <c r="F82" s="59" t="str">
        <f>IF(B82="","",CHOOSE(inp_EscTabla,'Corrida 1'!$J$116,'Corrida 2'!$J$116,'Corrida 3'!$J$116,'Corrida 4'!$J$116))</f>
        <v/>
      </c>
      <c r="G82" s="59" t="str">
        <f>IF(B82="","",E82+F82)</f>
        <v/>
      </c>
      <c r="H82" s="59" t="str">
        <f>IF(B82="","",H81+G82)</f>
        <v/>
      </c>
    </row>
    <row r="83">
      <c r="B83" s="57" t="str">
        <f>IF(CHOOSE(inp_EscTabla,'Corrida 1'!$B$117,'Corrida 2'!$B$117,'Corrida 3'!$B$117,'Corrida 4'!$B$117)="","",72)</f>
        <v/>
      </c>
      <c r="C83" s="58" t="str">
        <f>IF(B83="","",CHOOSE(inp_EscTabla,'Corrida 1'!$D$117,'Corrida 2'!$D$117,'Corrida 3'!$D$117,'Corrida 4'!$D$117))</f>
        <v/>
      </c>
      <c r="D83" s="57" t="str">
        <f>IF(B83="","",IF(CHOOSE(inp_EscTabla,'Corrida 1'!$B$117,'Corrida 2'!$B$117,'Corrida 3'!$B$117,'Corrida 4'!$B$117)="Básico","Renta mensual",IF(CHOOSE(inp_EscTabla,'Corrida 1'!$B$117,'Corrida 2'!$B$117,'Corrida 3'!$B$117,'Corrida 4'!$B$117)="Sucesivo","Renta plazo sucesivo","Opción de compra")))</f>
        <v/>
      </c>
      <c r="E83" s="59" t="str">
        <f>IF(B83="","",CHOOSE(inp_EscTabla,'Corrida 1'!$F$117,'Corrida 2'!$F$117,'Corrida 3'!$F$117,'Corrida 4'!$F$117))</f>
        <v/>
      </c>
      <c r="F83" s="59" t="str">
        <f>IF(B83="","",CHOOSE(inp_EscTabla,'Corrida 1'!$J$117,'Corrida 2'!$J$117,'Corrida 3'!$J$117,'Corrida 4'!$J$117))</f>
        <v/>
      </c>
      <c r="G83" s="59" t="str">
        <f>IF(B83="","",E83+F83)</f>
        <v/>
      </c>
      <c r="H83" s="59" t="str">
        <f>IF(B83="","",H82+G83)</f>
        <v/>
      </c>
    </row>
    <row r="84">
      <c r="B84" s="57" t="str">
        <f>IF(CHOOSE(inp_EscTabla,'Corrida 1'!$B$118,'Corrida 2'!$B$118,'Corrida 3'!$B$118,'Corrida 4'!$B$118)="","",73)</f>
        <v/>
      </c>
      <c r="C84" s="58" t="str">
        <f>IF(B84="","",CHOOSE(inp_EscTabla,'Corrida 1'!$D$118,'Corrida 2'!$D$118,'Corrida 3'!$D$118,'Corrida 4'!$D$118))</f>
        <v/>
      </c>
      <c r="D84" s="57" t="str">
        <f>IF(B84="","",IF(CHOOSE(inp_EscTabla,'Corrida 1'!$B$118,'Corrida 2'!$B$118,'Corrida 3'!$B$118,'Corrida 4'!$B$118)="Básico","Renta mensual",IF(CHOOSE(inp_EscTabla,'Corrida 1'!$B$118,'Corrida 2'!$B$118,'Corrida 3'!$B$118,'Corrida 4'!$B$118)="Sucesivo","Renta plazo sucesivo","Opción de compra")))</f>
        <v/>
      </c>
      <c r="E84" s="59" t="str">
        <f>IF(B84="","",CHOOSE(inp_EscTabla,'Corrida 1'!$F$118,'Corrida 2'!$F$118,'Corrida 3'!$F$118,'Corrida 4'!$F$118))</f>
        <v/>
      </c>
      <c r="F84" s="59" t="str">
        <f>IF(B84="","",CHOOSE(inp_EscTabla,'Corrida 1'!$J$118,'Corrida 2'!$J$118,'Corrida 3'!$J$118,'Corrida 4'!$J$118))</f>
        <v/>
      </c>
      <c r="G84" s="59" t="str">
        <f>IF(B84="","",E84+F84)</f>
        <v/>
      </c>
      <c r="H84" s="59" t="str">
        <f>IF(B84="","",H83+G84)</f>
        <v/>
      </c>
    </row>
    <row r="85">
      <c r="B85" s="57" t="str">
        <f>IF(CHOOSE(inp_EscTabla,'Corrida 1'!$B$119,'Corrida 2'!$B$119,'Corrida 3'!$B$119,'Corrida 4'!$B$119)="","",74)</f>
        <v/>
      </c>
      <c r="C85" s="58" t="str">
        <f>IF(B85="","",CHOOSE(inp_EscTabla,'Corrida 1'!$D$119,'Corrida 2'!$D$119,'Corrida 3'!$D$119,'Corrida 4'!$D$119))</f>
        <v/>
      </c>
      <c r="D85" s="57" t="str">
        <f>IF(B85="","",IF(CHOOSE(inp_EscTabla,'Corrida 1'!$B$119,'Corrida 2'!$B$119,'Corrida 3'!$B$119,'Corrida 4'!$B$119)="Básico","Renta mensual",IF(CHOOSE(inp_EscTabla,'Corrida 1'!$B$119,'Corrida 2'!$B$119,'Corrida 3'!$B$119,'Corrida 4'!$B$119)="Sucesivo","Renta plazo sucesivo","Opción de compra")))</f>
        <v/>
      </c>
      <c r="E85" s="59" t="str">
        <f>IF(B85="","",CHOOSE(inp_EscTabla,'Corrida 1'!$F$119,'Corrida 2'!$F$119,'Corrida 3'!$F$119,'Corrida 4'!$F$119))</f>
        <v/>
      </c>
      <c r="F85" s="59" t="str">
        <f>IF(B85="","",CHOOSE(inp_EscTabla,'Corrida 1'!$J$119,'Corrida 2'!$J$119,'Corrida 3'!$J$119,'Corrida 4'!$J$119))</f>
        <v/>
      </c>
      <c r="G85" s="59" t="str">
        <f>IF(B85="","",E85+F85)</f>
        <v/>
      </c>
      <c r="H85" s="59" t="str">
        <f>IF(B85="","",H84+G85)</f>
        <v/>
      </c>
    </row>
    <row r="86">
      <c r="B86" s="57" t="str">
        <f>IF(CHOOSE(inp_EscTabla,'Corrida 1'!$B$120,'Corrida 2'!$B$120,'Corrida 3'!$B$120,'Corrida 4'!$B$120)="","",75)</f>
        <v/>
      </c>
      <c r="C86" s="58" t="str">
        <f>IF(B86="","",CHOOSE(inp_EscTabla,'Corrida 1'!$D$120,'Corrida 2'!$D$120,'Corrida 3'!$D$120,'Corrida 4'!$D$120))</f>
        <v/>
      </c>
      <c r="D86" s="57" t="str">
        <f>IF(B86="","",IF(CHOOSE(inp_EscTabla,'Corrida 1'!$B$120,'Corrida 2'!$B$120,'Corrida 3'!$B$120,'Corrida 4'!$B$120)="Básico","Renta mensual",IF(CHOOSE(inp_EscTabla,'Corrida 1'!$B$120,'Corrida 2'!$B$120,'Corrida 3'!$B$120,'Corrida 4'!$B$120)="Sucesivo","Renta plazo sucesivo","Opción de compra")))</f>
        <v/>
      </c>
      <c r="E86" s="59" t="str">
        <f>IF(B86="","",CHOOSE(inp_EscTabla,'Corrida 1'!$F$120,'Corrida 2'!$F$120,'Corrida 3'!$F$120,'Corrida 4'!$F$120))</f>
        <v/>
      </c>
      <c r="F86" s="59" t="str">
        <f>IF(B86="","",CHOOSE(inp_EscTabla,'Corrida 1'!$J$120,'Corrida 2'!$J$120,'Corrida 3'!$J$120,'Corrida 4'!$J$120))</f>
        <v/>
      </c>
      <c r="G86" s="59" t="str">
        <f>IF(B86="","",E86+F86)</f>
        <v/>
      </c>
      <c r="H86" s="59" t="str">
        <f>IF(B86="","",H85+G86)</f>
        <v/>
      </c>
    </row>
    <row r="87">
      <c r="B87" s="57" t="str">
        <f>IF(CHOOSE(inp_EscTabla,'Corrida 1'!$B$121,'Corrida 2'!$B$121,'Corrida 3'!$B$121,'Corrida 4'!$B$121)="","",76)</f>
        <v/>
      </c>
      <c r="C87" s="58" t="str">
        <f>IF(B87="","",CHOOSE(inp_EscTabla,'Corrida 1'!$D$121,'Corrida 2'!$D$121,'Corrida 3'!$D$121,'Corrida 4'!$D$121))</f>
        <v/>
      </c>
      <c r="D87" s="57" t="str">
        <f>IF(B87="","",IF(CHOOSE(inp_EscTabla,'Corrida 1'!$B$121,'Corrida 2'!$B$121,'Corrida 3'!$B$121,'Corrida 4'!$B$121)="Básico","Renta mensual",IF(CHOOSE(inp_EscTabla,'Corrida 1'!$B$121,'Corrida 2'!$B$121,'Corrida 3'!$B$121,'Corrida 4'!$B$121)="Sucesivo","Renta plazo sucesivo","Opción de compra")))</f>
        <v/>
      </c>
      <c r="E87" s="59" t="str">
        <f>IF(B87="","",CHOOSE(inp_EscTabla,'Corrida 1'!$F$121,'Corrida 2'!$F$121,'Corrida 3'!$F$121,'Corrida 4'!$F$121))</f>
        <v/>
      </c>
      <c r="F87" s="59" t="str">
        <f>IF(B87="","",CHOOSE(inp_EscTabla,'Corrida 1'!$J$121,'Corrida 2'!$J$121,'Corrida 3'!$J$121,'Corrida 4'!$J$121))</f>
        <v/>
      </c>
      <c r="G87" s="59" t="str">
        <f>IF(B87="","",E87+F87)</f>
        <v/>
      </c>
      <c r="H87" s="59" t="str">
        <f>IF(B87="","",H86+G87)</f>
        <v/>
      </c>
    </row>
    <row r="88">
      <c r="B88" s="57" t="str">
        <f>IF(CHOOSE(inp_EscTabla,'Corrida 1'!$B$122,'Corrida 2'!$B$122,'Corrida 3'!$B$122,'Corrida 4'!$B$122)="","",77)</f>
        <v/>
      </c>
      <c r="C88" s="58" t="str">
        <f>IF(B88="","",CHOOSE(inp_EscTabla,'Corrida 1'!$D$122,'Corrida 2'!$D$122,'Corrida 3'!$D$122,'Corrida 4'!$D$122))</f>
        <v/>
      </c>
      <c r="D88" s="57" t="str">
        <f>IF(B88="","",IF(CHOOSE(inp_EscTabla,'Corrida 1'!$B$122,'Corrida 2'!$B$122,'Corrida 3'!$B$122,'Corrida 4'!$B$122)="Básico","Renta mensual",IF(CHOOSE(inp_EscTabla,'Corrida 1'!$B$122,'Corrida 2'!$B$122,'Corrida 3'!$B$122,'Corrida 4'!$B$122)="Sucesivo","Renta plazo sucesivo","Opción de compra")))</f>
        <v/>
      </c>
      <c r="E88" s="59" t="str">
        <f>IF(B88="","",CHOOSE(inp_EscTabla,'Corrida 1'!$F$122,'Corrida 2'!$F$122,'Corrida 3'!$F$122,'Corrida 4'!$F$122))</f>
        <v/>
      </c>
      <c r="F88" s="59" t="str">
        <f>IF(B88="","",CHOOSE(inp_EscTabla,'Corrida 1'!$J$122,'Corrida 2'!$J$122,'Corrida 3'!$J$122,'Corrida 4'!$J$122))</f>
        <v/>
      </c>
      <c r="G88" s="59" t="str">
        <f>IF(B88="","",E88+F88)</f>
        <v/>
      </c>
      <c r="H88" s="59" t="str">
        <f>IF(B88="","",H87+G88)</f>
        <v/>
      </c>
    </row>
    <row r="89">
      <c r="B89" s="57" t="str">
        <f>IF(CHOOSE(inp_EscTabla,'Corrida 1'!$B$123,'Corrida 2'!$B$123,'Corrida 3'!$B$123,'Corrida 4'!$B$123)="","",78)</f>
        <v/>
      </c>
      <c r="C89" s="58" t="str">
        <f>IF(B89="","",CHOOSE(inp_EscTabla,'Corrida 1'!$D$123,'Corrida 2'!$D$123,'Corrida 3'!$D$123,'Corrida 4'!$D$123))</f>
        <v/>
      </c>
      <c r="D89" s="57" t="str">
        <f>IF(B89="","",IF(CHOOSE(inp_EscTabla,'Corrida 1'!$B$123,'Corrida 2'!$B$123,'Corrida 3'!$B$123,'Corrida 4'!$B$123)="Básico","Renta mensual",IF(CHOOSE(inp_EscTabla,'Corrida 1'!$B$123,'Corrida 2'!$B$123,'Corrida 3'!$B$123,'Corrida 4'!$B$123)="Sucesivo","Renta plazo sucesivo","Opción de compra")))</f>
        <v/>
      </c>
      <c r="E89" s="59" t="str">
        <f>IF(B89="","",CHOOSE(inp_EscTabla,'Corrida 1'!$F$123,'Corrida 2'!$F$123,'Corrida 3'!$F$123,'Corrida 4'!$F$123))</f>
        <v/>
      </c>
      <c r="F89" s="59" t="str">
        <f>IF(B89="","",CHOOSE(inp_EscTabla,'Corrida 1'!$J$123,'Corrida 2'!$J$123,'Corrida 3'!$J$123,'Corrida 4'!$J$123))</f>
        <v/>
      </c>
      <c r="G89" s="59" t="str">
        <f>IF(B89="","",E89+F89)</f>
        <v/>
      </c>
      <c r="H89" s="59" t="str">
        <f>IF(B89="","",H88+G89)</f>
        <v/>
      </c>
    </row>
    <row r="90">
      <c r="B90" s="57" t="str">
        <f>IF(CHOOSE(inp_EscTabla,'Corrida 1'!$B$124,'Corrida 2'!$B$124,'Corrida 3'!$B$124,'Corrida 4'!$B$124)="","",79)</f>
        <v/>
      </c>
      <c r="C90" s="58" t="str">
        <f>IF(B90="","",CHOOSE(inp_EscTabla,'Corrida 1'!$D$124,'Corrida 2'!$D$124,'Corrida 3'!$D$124,'Corrida 4'!$D$124))</f>
        <v/>
      </c>
      <c r="D90" s="57" t="str">
        <f>IF(B90="","",IF(CHOOSE(inp_EscTabla,'Corrida 1'!$B$124,'Corrida 2'!$B$124,'Corrida 3'!$B$124,'Corrida 4'!$B$124)="Básico","Renta mensual",IF(CHOOSE(inp_EscTabla,'Corrida 1'!$B$124,'Corrida 2'!$B$124,'Corrida 3'!$B$124,'Corrida 4'!$B$124)="Sucesivo","Renta plazo sucesivo","Opción de compra")))</f>
        <v/>
      </c>
      <c r="E90" s="59" t="str">
        <f>IF(B90="","",CHOOSE(inp_EscTabla,'Corrida 1'!$F$124,'Corrida 2'!$F$124,'Corrida 3'!$F$124,'Corrida 4'!$F$124))</f>
        <v/>
      </c>
      <c r="F90" s="59" t="str">
        <f>IF(B90="","",CHOOSE(inp_EscTabla,'Corrida 1'!$J$124,'Corrida 2'!$J$124,'Corrida 3'!$J$124,'Corrida 4'!$J$124))</f>
        <v/>
      </c>
      <c r="G90" s="59" t="str">
        <f>IF(B90="","",E90+F90)</f>
        <v/>
      </c>
      <c r="H90" s="59" t="str">
        <f>IF(B90="","",H89+G90)</f>
        <v/>
      </c>
    </row>
    <row r="91">
      <c r="B91" s="57" t="str">
        <f>IF(CHOOSE(inp_EscTabla,'Corrida 1'!$B$125,'Corrida 2'!$B$125,'Corrida 3'!$B$125,'Corrida 4'!$B$125)="","",80)</f>
        <v/>
      </c>
      <c r="C91" s="58" t="str">
        <f>IF(B91="","",CHOOSE(inp_EscTabla,'Corrida 1'!$D$125,'Corrida 2'!$D$125,'Corrida 3'!$D$125,'Corrida 4'!$D$125))</f>
        <v/>
      </c>
      <c r="D91" s="57" t="str">
        <f>IF(B91="","",IF(CHOOSE(inp_EscTabla,'Corrida 1'!$B$125,'Corrida 2'!$B$125,'Corrida 3'!$B$125,'Corrida 4'!$B$125)="Básico","Renta mensual",IF(CHOOSE(inp_EscTabla,'Corrida 1'!$B$125,'Corrida 2'!$B$125,'Corrida 3'!$B$125,'Corrida 4'!$B$125)="Sucesivo","Renta plazo sucesivo","Opción de compra")))</f>
        <v/>
      </c>
      <c r="E91" s="59" t="str">
        <f>IF(B91="","",CHOOSE(inp_EscTabla,'Corrida 1'!$F$125,'Corrida 2'!$F$125,'Corrida 3'!$F$125,'Corrida 4'!$F$125))</f>
        <v/>
      </c>
      <c r="F91" s="59" t="str">
        <f>IF(B91="","",CHOOSE(inp_EscTabla,'Corrida 1'!$J$125,'Corrida 2'!$J$125,'Corrida 3'!$J$125,'Corrida 4'!$J$125))</f>
        <v/>
      </c>
      <c r="G91" s="59" t="str">
        <f>IF(B91="","",E91+F91)</f>
        <v/>
      </c>
      <c r="H91" s="59" t="str">
        <f>IF(B91="","",H90+G91)</f>
        <v/>
      </c>
    </row>
    <row r="92">
      <c r="B92" s="57" t="str">
        <f>IF(CHOOSE(inp_EscTabla,'Corrida 1'!$B$126,'Corrida 2'!$B$126,'Corrida 3'!$B$126,'Corrida 4'!$B$126)="","",81)</f>
        <v/>
      </c>
      <c r="C92" s="58" t="str">
        <f>IF(B92="","",CHOOSE(inp_EscTabla,'Corrida 1'!$D$126,'Corrida 2'!$D$126,'Corrida 3'!$D$126,'Corrida 4'!$D$126))</f>
        <v/>
      </c>
      <c r="D92" s="57" t="str">
        <f>IF(B92="","",IF(CHOOSE(inp_EscTabla,'Corrida 1'!$B$126,'Corrida 2'!$B$126,'Corrida 3'!$B$126,'Corrida 4'!$B$126)="Básico","Renta mensual",IF(CHOOSE(inp_EscTabla,'Corrida 1'!$B$126,'Corrida 2'!$B$126,'Corrida 3'!$B$126,'Corrida 4'!$B$126)="Sucesivo","Renta plazo sucesivo","Opción de compra")))</f>
        <v/>
      </c>
      <c r="E92" s="59" t="str">
        <f>IF(B92="","",CHOOSE(inp_EscTabla,'Corrida 1'!$F$126,'Corrida 2'!$F$126,'Corrida 3'!$F$126,'Corrida 4'!$F$126))</f>
        <v/>
      </c>
      <c r="F92" s="59" t="str">
        <f>IF(B92="","",CHOOSE(inp_EscTabla,'Corrida 1'!$J$126,'Corrida 2'!$J$126,'Corrida 3'!$J$126,'Corrida 4'!$J$126))</f>
        <v/>
      </c>
      <c r="G92" s="59" t="str">
        <f>IF(B92="","",E92+F92)</f>
        <v/>
      </c>
      <c r="H92" s="59" t="str">
        <f>IF(B92="","",H91+G92)</f>
        <v/>
      </c>
    </row>
    <row r="93">
      <c r="B93" s="57" t="str">
        <f>IF(CHOOSE(inp_EscTabla,'Corrida 1'!$B$127,'Corrida 2'!$B$127,'Corrida 3'!$B$127,'Corrida 4'!$B$127)="","",82)</f>
        <v/>
      </c>
      <c r="C93" s="58" t="str">
        <f>IF(B93="","",CHOOSE(inp_EscTabla,'Corrida 1'!$D$127,'Corrida 2'!$D$127,'Corrida 3'!$D$127,'Corrida 4'!$D$127))</f>
        <v/>
      </c>
      <c r="D93" s="57" t="str">
        <f>IF(B93="","",IF(CHOOSE(inp_EscTabla,'Corrida 1'!$B$127,'Corrida 2'!$B$127,'Corrida 3'!$B$127,'Corrida 4'!$B$127)="Básico","Renta mensual",IF(CHOOSE(inp_EscTabla,'Corrida 1'!$B$127,'Corrida 2'!$B$127,'Corrida 3'!$B$127,'Corrida 4'!$B$127)="Sucesivo","Renta plazo sucesivo","Opción de compra")))</f>
        <v/>
      </c>
      <c r="E93" s="59" t="str">
        <f>IF(B93="","",CHOOSE(inp_EscTabla,'Corrida 1'!$F$127,'Corrida 2'!$F$127,'Corrida 3'!$F$127,'Corrida 4'!$F$127))</f>
        <v/>
      </c>
      <c r="F93" s="59" t="str">
        <f>IF(B93="","",CHOOSE(inp_EscTabla,'Corrida 1'!$J$127,'Corrida 2'!$J$127,'Corrida 3'!$J$127,'Corrida 4'!$J$127))</f>
        <v/>
      </c>
      <c r="G93" s="59" t="str">
        <f>IF(B93="","",E93+F93)</f>
        <v/>
      </c>
      <c r="H93" s="59" t="str">
        <f>IF(B93="","",H92+G93)</f>
        <v/>
      </c>
    </row>
    <row r="94">
      <c r="B94" s="57" t="str">
        <f>IF(CHOOSE(inp_EscTabla,'Corrida 1'!$B$128,'Corrida 2'!$B$128,'Corrida 3'!$B$128,'Corrida 4'!$B$128)="","",83)</f>
        <v/>
      </c>
      <c r="C94" s="58" t="str">
        <f>IF(B94="","",CHOOSE(inp_EscTabla,'Corrida 1'!$D$128,'Corrida 2'!$D$128,'Corrida 3'!$D$128,'Corrida 4'!$D$128))</f>
        <v/>
      </c>
      <c r="D94" s="57" t="str">
        <f>IF(B94="","",IF(CHOOSE(inp_EscTabla,'Corrida 1'!$B$128,'Corrida 2'!$B$128,'Corrida 3'!$B$128,'Corrida 4'!$B$128)="Básico","Renta mensual",IF(CHOOSE(inp_EscTabla,'Corrida 1'!$B$128,'Corrida 2'!$B$128,'Corrida 3'!$B$128,'Corrida 4'!$B$128)="Sucesivo","Renta plazo sucesivo","Opción de compra")))</f>
        <v/>
      </c>
      <c r="E94" s="59" t="str">
        <f>IF(B94="","",CHOOSE(inp_EscTabla,'Corrida 1'!$F$128,'Corrida 2'!$F$128,'Corrida 3'!$F$128,'Corrida 4'!$F$128))</f>
        <v/>
      </c>
      <c r="F94" s="59" t="str">
        <f>IF(B94="","",CHOOSE(inp_EscTabla,'Corrida 1'!$J$128,'Corrida 2'!$J$128,'Corrida 3'!$J$128,'Corrida 4'!$J$128))</f>
        <v/>
      </c>
      <c r="G94" s="59" t="str">
        <f>IF(B94="","",E94+F94)</f>
        <v/>
      </c>
      <c r="H94" s="59" t="str">
        <f>IF(B94="","",H93+G94)</f>
        <v/>
      </c>
    </row>
    <row r="95">
      <c r="B95" s="57" t="str">
        <f>IF(CHOOSE(inp_EscTabla,'Corrida 1'!$B$129,'Corrida 2'!$B$129,'Corrida 3'!$B$129,'Corrida 4'!$B$129)="","",84)</f>
        <v/>
      </c>
      <c r="C95" s="58" t="str">
        <f>IF(B95="","",CHOOSE(inp_EscTabla,'Corrida 1'!$D$129,'Corrida 2'!$D$129,'Corrida 3'!$D$129,'Corrida 4'!$D$129))</f>
        <v/>
      </c>
      <c r="D95" s="57" t="str">
        <f>IF(B95="","",IF(CHOOSE(inp_EscTabla,'Corrida 1'!$B$129,'Corrida 2'!$B$129,'Corrida 3'!$B$129,'Corrida 4'!$B$129)="Básico","Renta mensual",IF(CHOOSE(inp_EscTabla,'Corrida 1'!$B$129,'Corrida 2'!$B$129,'Corrida 3'!$B$129,'Corrida 4'!$B$129)="Sucesivo","Renta plazo sucesivo","Opción de compra")))</f>
        <v/>
      </c>
      <c r="E95" s="59" t="str">
        <f>IF(B95="","",CHOOSE(inp_EscTabla,'Corrida 1'!$F$129,'Corrida 2'!$F$129,'Corrida 3'!$F$129,'Corrida 4'!$F$129))</f>
        <v/>
      </c>
      <c r="F95" s="59" t="str">
        <f>IF(B95="","",CHOOSE(inp_EscTabla,'Corrida 1'!$J$129,'Corrida 2'!$J$129,'Corrida 3'!$J$129,'Corrida 4'!$J$129))</f>
        <v/>
      </c>
      <c r="G95" s="59" t="str">
        <f>IF(B95="","",E95+F95)</f>
        <v/>
      </c>
      <c r="H95" s="59" t="str">
        <f>IF(B95="","",H94+G95)</f>
        <v/>
      </c>
    </row>
    <row r="96">
      <c r="B96" s="57" t="str">
        <f>IF(CHOOSE(inp_EscTabla,'Corrida 1'!$B$130,'Corrida 2'!$B$130,'Corrida 3'!$B$130,'Corrida 4'!$B$130)="","",85)</f>
        <v/>
      </c>
      <c r="C96" s="58" t="str">
        <f>IF(B96="","",CHOOSE(inp_EscTabla,'Corrida 1'!$D$130,'Corrida 2'!$D$130,'Corrida 3'!$D$130,'Corrida 4'!$D$130))</f>
        <v/>
      </c>
      <c r="D96" s="57" t="str">
        <f>IF(B96="","",IF(CHOOSE(inp_EscTabla,'Corrida 1'!$B$130,'Corrida 2'!$B$130,'Corrida 3'!$B$130,'Corrida 4'!$B$130)="Básico","Renta mensual",IF(CHOOSE(inp_EscTabla,'Corrida 1'!$B$130,'Corrida 2'!$B$130,'Corrida 3'!$B$130,'Corrida 4'!$B$130)="Sucesivo","Renta plazo sucesivo","Opción de compra")))</f>
        <v/>
      </c>
      <c r="E96" s="59" t="str">
        <f>IF(B96="","",CHOOSE(inp_EscTabla,'Corrida 1'!$F$130,'Corrida 2'!$F$130,'Corrida 3'!$F$130,'Corrida 4'!$F$130))</f>
        <v/>
      </c>
      <c r="F96" s="59" t="str">
        <f>IF(B96="","",CHOOSE(inp_EscTabla,'Corrida 1'!$J$130,'Corrida 2'!$J$130,'Corrida 3'!$J$130,'Corrida 4'!$J$130))</f>
        <v/>
      </c>
      <c r="G96" s="59" t="str">
        <f>IF(B96="","",E96+F96)</f>
        <v/>
      </c>
      <c r="H96" s="59" t="str">
        <f>IF(B96="","",H95+G96)</f>
        <v/>
      </c>
    </row>
    <row r="97">
      <c r="B97" s="57" t="str">
        <f>IF(CHOOSE(inp_EscTabla,'Corrida 1'!$B$131,'Corrida 2'!$B$131,'Corrida 3'!$B$131,'Corrida 4'!$B$131)="","",86)</f>
        <v/>
      </c>
      <c r="C97" s="58" t="str">
        <f>IF(B97="","",CHOOSE(inp_EscTabla,'Corrida 1'!$D$131,'Corrida 2'!$D$131,'Corrida 3'!$D$131,'Corrida 4'!$D$131))</f>
        <v/>
      </c>
      <c r="D97" s="57" t="str">
        <f>IF(B97="","",IF(CHOOSE(inp_EscTabla,'Corrida 1'!$B$131,'Corrida 2'!$B$131,'Corrida 3'!$B$131,'Corrida 4'!$B$131)="Básico","Renta mensual",IF(CHOOSE(inp_EscTabla,'Corrida 1'!$B$131,'Corrida 2'!$B$131,'Corrida 3'!$B$131,'Corrida 4'!$B$131)="Sucesivo","Renta plazo sucesivo","Opción de compra")))</f>
        <v/>
      </c>
      <c r="E97" s="59" t="str">
        <f>IF(B97="","",CHOOSE(inp_EscTabla,'Corrida 1'!$F$131,'Corrida 2'!$F$131,'Corrida 3'!$F$131,'Corrida 4'!$F$131))</f>
        <v/>
      </c>
      <c r="F97" s="59" t="str">
        <f>IF(B97="","",CHOOSE(inp_EscTabla,'Corrida 1'!$J$131,'Corrida 2'!$J$131,'Corrida 3'!$J$131,'Corrida 4'!$J$131))</f>
        <v/>
      </c>
      <c r="G97" s="59" t="str">
        <f>IF(B97="","",E97+F97)</f>
        <v/>
      </c>
      <c r="H97" s="59" t="str">
        <f>IF(B97="","",H96+G97)</f>
        <v/>
      </c>
    </row>
    <row r="98">
      <c r="B98" s="57" t="str">
        <f>IF(CHOOSE(inp_EscTabla,'Corrida 1'!$B$132,'Corrida 2'!$B$132,'Corrida 3'!$B$132,'Corrida 4'!$B$132)="","",87)</f>
        <v/>
      </c>
      <c r="C98" s="58" t="str">
        <f>IF(B98="","",CHOOSE(inp_EscTabla,'Corrida 1'!$D$132,'Corrida 2'!$D$132,'Corrida 3'!$D$132,'Corrida 4'!$D$132))</f>
        <v/>
      </c>
      <c r="D98" s="57" t="str">
        <f>IF(B98="","",IF(CHOOSE(inp_EscTabla,'Corrida 1'!$B$132,'Corrida 2'!$B$132,'Corrida 3'!$B$132,'Corrida 4'!$B$132)="Básico","Renta mensual",IF(CHOOSE(inp_EscTabla,'Corrida 1'!$B$132,'Corrida 2'!$B$132,'Corrida 3'!$B$132,'Corrida 4'!$B$132)="Sucesivo","Renta plazo sucesivo","Opción de compra")))</f>
        <v/>
      </c>
      <c r="E98" s="59" t="str">
        <f>IF(B98="","",CHOOSE(inp_EscTabla,'Corrida 1'!$F$132,'Corrida 2'!$F$132,'Corrida 3'!$F$132,'Corrida 4'!$F$132))</f>
        <v/>
      </c>
      <c r="F98" s="59" t="str">
        <f>IF(B98="","",CHOOSE(inp_EscTabla,'Corrida 1'!$J$132,'Corrida 2'!$J$132,'Corrida 3'!$J$132,'Corrida 4'!$J$132))</f>
        <v/>
      </c>
      <c r="G98" s="59" t="str">
        <f>IF(B98="","",E98+F98)</f>
        <v/>
      </c>
      <c r="H98" s="59" t="str">
        <f>IF(B98="","",H97+G98)</f>
        <v/>
      </c>
    </row>
    <row r="99">
      <c r="B99" s="57" t="str">
        <f>IF(CHOOSE(inp_EscTabla,'Corrida 1'!$B$133,'Corrida 2'!$B$133,'Corrida 3'!$B$133,'Corrida 4'!$B$133)="","",88)</f>
        <v/>
      </c>
      <c r="C99" s="58" t="str">
        <f>IF(B99="","",CHOOSE(inp_EscTabla,'Corrida 1'!$D$133,'Corrida 2'!$D$133,'Corrida 3'!$D$133,'Corrida 4'!$D$133))</f>
        <v/>
      </c>
      <c r="D99" s="57" t="str">
        <f>IF(B99="","",IF(CHOOSE(inp_EscTabla,'Corrida 1'!$B$133,'Corrida 2'!$B$133,'Corrida 3'!$B$133,'Corrida 4'!$B$133)="Básico","Renta mensual",IF(CHOOSE(inp_EscTabla,'Corrida 1'!$B$133,'Corrida 2'!$B$133,'Corrida 3'!$B$133,'Corrida 4'!$B$133)="Sucesivo","Renta plazo sucesivo","Opción de compra")))</f>
        <v/>
      </c>
      <c r="E99" s="59" t="str">
        <f>IF(B99="","",CHOOSE(inp_EscTabla,'Corrida 1'!$F$133,'Corrida 2'!$F$133,'Corrida 3'!$F$133,'Corrida 4'!$F$133))</f>
        <v/>
      </c>
      <c r="F99" s="59" t="str">
        <f>IF(B99="","",CHOOSE(inp_EscTabla,'Corrida 1'!$J$133,'Corrida 2'!$J$133,'Corrida 3'!$J$133,'Corrida 4'!$J$133))</f>
        <v/>
      </c>
      <c r="G99" s="59" t="str">
        <f>IF(B99="","",E99+F99)</f>
        <v/>
      </c>
      <c r="H99" s="59" t="str">
        <f>IF(B99="","",H98+G99)</f>
        <v/>
      </c>
    </row>
    <row r="100">
      <c r="B100" s="57" t="str">
        <f>IF(CHOOSE(inp_EscTabla,'Corrida 1'!$B$134,'Corrida 2'!$B$134,'Corrida 3'!$B$134,'Corrida 4'!$B$134)="","",89)</f>
        <v/>
      </c>
      <c r="C100" s="58" t="str">
        <f>IF(B100="","",CHOOSE(inp_EscTabla,'Corrida 1'!$D$134,'Corrida 2'!$D$134,'Corrida 3'!$D$134,'Corrida 4'!$D$134))</f>
        <v/>
      </c>
      <c r="D100" s="57" t="str">
        <f>IF(B100="","",IF(CHOOSE(inp_EscTabla,'Corrida 1'!$B$134,'Corrida 2'!$B$134,'Corrida 3'!$B$134,'Corrida 4'!$B$134)="Básico","Renta mensual",IF(CHOOSE(inp_EscTabla,'Corrida 1'!$B$134,'Corrida 2'!$B$134,'Corrida 3'!$B$134,'Corrida 4'!$B$134)="Sucesivo","Renta plazo sucesivo","Opción de compra")))</f>
        <v/>
      </c>
      <c r="E100" s="59" t="str">
        <f>IF(B100="","",CHOOSE(inp_EscTabla,'Corrida 1'!$F$134,'Corrida 2'!$F$134,'Corrida 3'!$F$134,'Corrida 4'!$F$134))</f>
        <v/>
      </c>
      <c r="F100" s="59" t="str">
        <f>IF(B100="","",CHOOSE(inp_EscTabla,'Corrida 1'!$J$134,'Corrida 2'!$J$134,'Corrida 3'!$J$134,'Corrida 4'!$J$134))</f>
        <v/>
      </c>
      <c r="G100" s="59" t="str">
        <f>IF(B100="","",E100+F100)</f>
        <v/>
      </c>
      <c r="H100" s="59" t="str">
        <f>IF(B100="","",H99+G100)</f>
        <v/>
      </c>
    </row>
    <row r="101">
      <c r="B101" s="57" t="str">
        <f>IF(CHOOSE(inp_EscTabla,'Corrida 1'!$B$135,'Corrida 2'!$B$135,'Corrida 3'!$B$135,'Corrida 4'!$B$135)="","",90)</f>
        <v/>
      </c>
      <c r="C101" s="58" t="str">
        <f>IF(B101="","",CHOOSE(inp_EscTabla,'Corrida 1'!$D$135,'Corrida 2'!$D$135,'Corrida 3'!$D$135,'Corrida 4'!$D$135))</f>
        <v/>
      </c>
      <c r="D101" s="57" t="str">
        <f>IF(B101="","",IF(CHOOSE(inp_EscTabla,'Corrida 1'!$B$135,'Corrida 2'!$B$135,'Corrida 3'!$B$135,'Corrida 4'!$B$135)="Básico","Renta mensual",IF(CHOOSE(inp_EscTabla,'Corrida 1'!$B$135,'Corrida 2'!$B$135,'Corrida 3'!$B$135,'Corrida 4'!$B$135)="Sucesivo","Renta plazo sucesivo","Opción de compra")))</f>
        <v/>
      </c>
      <c r="E101" s="59" t="str">
        <f>IF(B101="","",CHOOSE(inp_EscTabla,'Corrida 1'!$F$135,'Corrida 2'!$F$135,'Corrida 3'!$F$135,'Corrida 4'!$F$135))</f>
        <v/>
      </c>
      <c r="F101" s="59" t="str">
        <f>IF(B101="","",CHOOSE(inp_EscTabla,'Corrida 1'!$J$135,'Corrida 2'!$J$135,'Corrida 3'!$J$135,'Corrida 4'!$J$135))</f>
        <v/>
      </c>
      <c r="G101" s="59" t="str">
        <f>IF(B101="","",E101+F101)</f>
        <v/>
      </c>
      <c r="H101" s="59" t="str">
        <f>IF(B101="","",H100+G101)</f>
        <v/>
      </c>
    </row>
    <row r="102">
      <c r="B102" s="57" t="str">
        <f>IF(CHOOSE(inp_EscTabla,'Corrida 1'!$B$136,'Corrida 2'!$B$136,'Corrida 3'!$B$136,'Corrida 4'!$B$136)="","",91)</f>
        <v/>
      </c>
      <c r="C102" s="58" t="str">
        <f>IF(B102="","",CHOOSE(inp_EscTabla,'Corrida 1'!$D$136,'Corrida 2'!$D$136,'Corrida 3'!$D$136,'Corrida 4'!$D$136))</f>
        <v/>
      </c>
      <c r="D102" s="57" t="str">
        <f>IF(B102="","",IF(CHOOSE(inp_EscTabla,'Corrida 1'!$B$136,'Corrida 2'!$B$136,'Corrida 3'!$B$136,'Corrida 4'!$B$136)="Básico","Renta mensual",IF(CHOOSE(inp_EscTabla,'Corrida 1'!$B$136,'Corrida 2'!$B$136,'Corrida 3'!$B$136,'Corrida 4'!$B$136)="Sucesivo","Renta plazo sucesivo","Opción de compra")))</f>
        <v/>
      </c>
      <c r="E102" s="59" t="str">
        <f>IF(B102="","",CHOOSE(inp_EscTabla,'Corrida 1'!$F$136,'Corrida 2'!$F$136,'Corrida 3'!$F$136,'Corrida 4'!$F$136))</f>
        <v/>
      </c>
      <c r="F102" s="59" t="str">
        <f>IF(B102="","",CHOOSE(inp_EscTabla,'Corrida 1'!$J$136,'Corrida 2'!$J$136,'Corrida 3'!$J$136,'Corrida 4'!$J$136))</f>
        <v/>
      </c>
      <c r="G102" s="59" t="str">
        <f>IF(B102="","",E102+F102)</f>
        <v/>
      </c>
      <c r="H102" s="59" t="str">
        <f>IF(B102="","",H101+G102)</f>
        <v/>
      </c>
    </row>
    <row r="103">
      <c r="B103" s="57" t="str">
        <f>IF(CHOOSE(inp_EscTabla,'Corrida 1'!$B$137,'Corrida 2'!$B$137,'Corrida 3'!$B$137,'Corrida 4'!$B$137)="","",92)</f>
        <v/>
      </c>
      <c r="C103" s="58" t="str">
        <f>IF(B103="","",CHOOSE(inp_EscTabla,'Corrida 1'!$D$137,'Corrida 2'!$D$137,'Corrida 3'!$D$137,'Corrida 4'!$D$137))</f>
        <v/>
      </c>
      <c r="D103" s="57" t="str">
        <f>IF(B103="","",IF(CHOOSE(inp_EscTabla,'Corrida 1'!$B$137,'Corrida 2'!$B$137,'Corrida 3'!$B$137,'Corrida 4'!$B$137)="Básico","Renta mensual",IF(CHOOSE(inp_EscTabla,'Corrida 1'!$B$137,'Corrida 2'!$B$137,'Corrida 3'!$B$137,'Corrida 4'!$B$137)="Sucesivo","Renta plazo sucesivo","Opción de compra")))</f>
        <v/>
      </c>
      <c r="E103" s="59" t="str">
        <f>IF(B103="","",CHOOSE(inp_EscTabla,'Corrida 1'!$F$137,'Corrida 2'!$F$137,'Corrida 3'!$F$137,'Corrida 4'!$F$137))</f>
        <v/>
      </c>
      <c r="F103" s="59" t="str">
        <f>IF(B103="","",CHOOSE(inp_EscTabla,'Corrida 1'!$J$137,'Corrida 2'!$J$137,'Corrida 3'!$J$137,'Corrida 4'!$J$137))</f>
        <v/>
      </c>
      <c r="G103" s="59" t="str">
        <f>IF(B103="","",E103+F103)</f>
        <v/>
      </c>
      <c r="H103" s="59" t="str">
        <f>IF(B103="","",H102+G103)</f>
        <v/>
      </c>
    </row>
    <row r="104">
      <c r="B104" s="57" t="str">
        <f>IF(CHOOSE(inp_EscTabla,'Corrida 1'!$B$138,'Corrida 2'!$B$138,'Corrida 3'!$B$138,'Corrida 4'!$B$138)="","",93)</f>
        <v/>
      </c>
      <c r="C104" s="58" t="str">
        <f>IF(B104="","",CHOOSE(inp_EscTabla,'Corrida 1'!$D$138,'Corrida 2'!$D$138,'Corrida 3'!$D$138,'Corrida 4'!$D$138))</f>
        <v/>
      </c>
      <c r="D104" s="57" t="str">
        <f>IF(B104="","",IF(CHOOSE(inp_EscTabla,'Corrida 1'!$B$138,'Corrida 2'!$B$138,'Corrida 3'!$B$138,'Corrida 4'!$B$138)="Básico","Renta mensual",IF(CHOOSE(inp_EscTabla,'Corrida 1'!$B$138,'Corrida 2'!$B$138,'Corrida 3'!$B$138,'Corrida 4'!$B$138)="Sucesivo","Renta plazo sucesivo","Opción de compra")))</f>
        <v/>
      </c>
      <c r="E104" s="59" t="str">
        <f>IF(B104="","",CHOOSE(inp_EscTabla,'Corrida 1'!$F$138,'Corrida 2'!$F$138,'Corrida 3'!$F$138,'Corrida 4'!$F$138))</f>
        <v/>
      </c>
      <c r="F104" s="59" t="str">
        <f>IF(B104="","",CHOOSE(inp_EscTabla,'Corrida 1'!$J$138,'Corrida 2'!$J$138,'Corrida 3'!$J$138,'Corrida 4'!$J$138))</f>
        <v/>
      </c>
      <c r="G104" s="59" t="str">
        <f>IF(B104="","",E104+F104)</f>
        <v/>
      </c>
      <c r="H104" s="59" t="str">
        <f>IF(B104="","",H103+G104)</f>
        <v/>
      </c>
    </row>
    <row r="105">
      <c r="B105" s="57" t="str">
        <f>IF(CHOOSE(inp_EscTabla,'Corrida 1'!$B$139,'Corrida 2'!$B$139,'Corrida 3'!$B$139,'Corrida 4'!$B$139)="","",94)</f>
        <v/>
      </c>
      <c r="C105" s="58" t="str">
        <f>IF(B105="","",CHOOSE(inp_EscTabla,'Corrida 1'!$D$139,'Corrida 2'!$D$139,'Corrida 3'!$D$139,'Corrida 4'!$D$139))</f>
        <v/>
      </c>
      <c r="D105" s="57" t="str">
        <f>IF(B105="","",IF(CHOOSE(inp_EscTabla,'Corrida 1'!$B$139,'Corrida 2'!$B$139,'Corrida 3'!$B$139,'Corrida 4'!$B$139)="Básico","Renta mensual",IF(CHOOSE(inp_EscTabla,'Corrida 1'!$B$139,'Corrida 2'!$B$139,'Corrida 3'!$B$139,'Corrida 4'!$B$139)="Sucesivo","Renta plazo sucesivo","Opción de compra")))</f>
        <v/>
      </c>
      <c r="E105" s="59" t="str">
        <f>IF(B105="","",CHOOSE(inp_EscTabla,'Corrida 1'!$F$139,'Corrida 2'!$F$139,'Corrida 3'!$F$139,'Corrida 4'!$F$139))</f>
        <v/>
      </c>
      <c r="F105" s="59" t="str">
        <f>IF(B105="","",CHOOSE(inp_EscTabla,'Corrida 1'!$J$139,'Corrida 2'!$J$139,'Corrida 3'!$J$139,'Corrida 4'!$J$139))</f>
        <v/>
      </c>
      <c r="G105" s="59" t="str">
        <f>IF(B105="","",E105+F105)</f>
        <v/>
      </c>
      <c r="H105" s="59" t="str">
        <f>IF(B105="","",H104+G105)</f>
        <v/>
      </c>
    </row>
    <row r="106">
      <c r="B106" s="57" t="str">
        <f>IF(CHOOSE(inp_EscTabla,'Corrida 1'!$B$140,'Corrida 2'!$B$140,'Corrida 3'!$B$140,'Corrida 4'!$B$140)="","",95)</f>
        <v/>
      </c>
      <c r="C106" s="58" t="str">
        <f>IF(B106="","",CHOOSE(inp_EscTabla,'Corrida 1'!$D$140,'Corrida 2'!$D$140,'Corrida 3'!$D$140,'Corrida 4'!$D$140))</f>
        <v/>
      </c>
      <c r="D106" s="57" t="str">
        <f>IF(B106="","",IF(CHOOSE(inp_EscTabla,'Corrida 1'!$B$140,'Corrida 2'!$B$140,'Corrida 3'!$B$140,'Corrida 4'!$B$140)="Básico","Renta mensual",IF(CHOOSE(inp_EscTabla,'Corrida 1'!$B$140,'Corrida 2'!$B$140,'Corrida 3'!$B$140,'Corrida 4'!$B$140)="Sucesivo","Renta plazo sucesivo","Opción de compra")))</f>
        <v/>
      </c>
      <c r="E106" s="59" t="str">
        <f>IF(B106="","",CHOOSE(inp_EscTabla,'Corrida 1'!$F$140,'Corrida 2'!$F$140,'Corrida 3'!$F$140,'Corrida 4'!$F$140))</f>
        <v/>
      </c>
      <c r="F106" s="59" t="str">
        <f>IF(B106="","",CHOOSE(inp_EscTabla,'Corrida 1'!$J$140,'Corrida 2'!$J$140,'Corrida 3'!$J$140,'Corrida 4'!$J$140))</f>
        <v/>
      </c>
      <c r="G106" s="59" t="str">
        <f>IF(B106="","",E106+F106)</f>
        <v/>
      </c>
      <c r="H106" s="59" t="str">
        <f>IF(B106="","",H105+G106)</f>
        <v/>
      </c>
    </row>
    <row r="107">
      <c r="B107" s="57" t="str">
        <f>IF(CHOOSE(inp_EscTabla,'Corrida 1'!$B$141,'Corrida 2'!$B$141,'Corrida 3'!$B$141,'Corrida 4'!$B$141)="","",96)</f>
        <v/>
      </c>
      <c r="C107" s="58" t="str">
        <f>IF(B107="","",CHOOSE(inp_EscTabla,'Corrida 1'!$D$141,'Corrida 2'!$D$141,'Corrida 3'!$D$141,'Corrida 4'!$D$141))</f>
        <v/>
      </c>
      <c r="D107" s="57" t="str">
        <f>IF(B107="","",IF(CHOOSE(inp_EscTabla,'Corrida 1'!$B$141,'Corrida 2'!$B$141,'Corrida 3'!$B$141,'Corrida 4'!$B$141)="Básico","Renta mensual",IF(CHOOSE(inp_EscTabla,'Corrida 1'!$B$141,'Corrida 2'!$B$141,'Corrida 3'!$B$141,'Corrida 4'!$B$141)="Sucesivo","Renta plazo sucesivo","Opción de compra")))</f>
        <v/>
      </c>
      <c r="E107" s="59" t="str">
        <f>IF(B107="","",CHOOSE(inp_EscTabla,'Corrida 1'!$F$141,'Corrida 2'!$F$141,'Corrida 3'!$F$141,'Corrida 4'!$F$141))</f>
        <v/>
      </c>
      <c r="F107" s="59" t="str">
        <f>IF(B107="","",CHOOSE(inp_EscTabla,'Corrida 1'!$J$141,'Corrida 2'!$J$141,'Corrida 3'!$J$141,'Corrida 4'!$J$141))</f>
        <v/>
      </c>
      <c r="G107" s="59" t="str">
        <f>IF(B107="","",E107+F107)</f>
        <v/>
      </c>
      <c r="H107" s="59" t="str">
        <f>IF(B107="","",H106+G107)</f>
        <v/>
      </c>
    </row>
    <row r="108">
      <c r="B108" s="57" t="str">
        <f>IF(CHOOSE(inp_EscTabla,'Corrida 1'!$B$142,'Corrida 2'!$B$142,'Corrida 3'!$B$142,'Corrida 4'!$B$142)="","",97)</f>
        <v/>
      </c>
      <c r="C108" s="58" t="str">
        <f>IF(B108="","",CHOOSE(inp_EscTabla,'Corrida 1'!$D$142,'Corrida 2'!$D$142,'Corrida 3'!$D$142,'Corrida 4'!$D$142))</f>
        <v/>
      </c>
      <c r="D108" s="57" t="str">
        <f>IF(B108="","",IF(CHOOSE(inp_EscTabla,'Corrida 1'!$B$142,'Corrida 2'!$B$142,'Corrida 3'!$B$142,'Corrida 4'!$B$142)="Básico","Renta mensual",IF(CHOOSE(inp_EscTabla,'Corrida 1'!$B$142,'Corrida 2'!$B$142,'Corrida 3'!$B$142,'Corrida 4'!$B$142)="Sucesivo","Renta plazo sucesivo","Opción de compra")))</f>
        <v/>
      </c>
      <c r="E108" s="59" t="str">
        <f>IF(B108="","",CHOOSE(inp_EscTabla,'Corrida 1'!$F$142,'Corrida 2'!$F$142,'Corrida 3'!$F$142,'Corrida 4'!$F$142))</f>
        <v/>
      </c>
      <c r="F108" s="59" t="str">
        <f>IF(B108="","",CHOOSE(inp_EscTabla,'Corrida 1'!$J$142,'Corrida 2'!$J$142,'Corrida 3'!$J$142,'Corrida 4'!$J$142))</f>
        <v/>
      </c>
      <c r="G108" s="59" t="str">
        <f>IF(B108="","",E108+F108)</f>
        <v/>
      </c>
      <c r="H108" s="59" t="str">
        <f>IF(B108="","",H107+G108)</f>
        <v/>
      </c>
    </row>
    <row r="109">
      <c r="B109" s="57" t="str">
        <f>IF(CHOOSE(inp_EscTabla,'Corrida 1'!$B$143,'Corrida 2'!$B$143,'Corrida 3'!$B$143,'Corrida 4'!$B$143)="","",98)</f>
        <v/>
      </c>
      <c r="C109" s="58" t="str">
        <f>IF(B109="","",CHOOSE(inp_EscTabla,'Corrida 1'!$D$143,'Corrida 2'!$D$143,'Corrida 3'!$D$143,'Corrida 4'!$D$143))</f>
        <v/>
      </c>
      <c r="D109" s="57" t="str">
        <f>IF(B109="","",IF(CHOOSE(inp_EscTabla,'Corrida 1'!$B$143,'Corrida 2'!$B$143,'Corrida 3'!$B$143,'Corrida 4'!$B$143)="Básico","Renta mensual",IF(CHOOSE(inp_EscTabla,'Corrida 1'!$B$143,'Corrida 2'!$B$143,'Corrida 3'!$B$143,'Corrida 4'!$B$143)="Sucesivo","Renta plazo sucesivo","Opción de compra")))</f>
        <v/>
      </c>
      <c r="E109" s="59" t="str">
        <f>IF(B109="","",CHOOSE(inp_EscTabla,'Corrida 1'!$F$143,'Corrida 2'!$F$143,'Corrida 3'!$F$143,'Corrida 4'!$F$143))</f>
        <v/>
      </c>
      <c r="F109" s="59" t="str">
        <f>IF(B109="","",CHOOSE(inp_EscTabla,'Corrida 1'!$J$143,'Corrida 2'!$J$143,'Corrida 3'!$J$143,'Corrida 4'!$J$143))</f>
        <v/>
      </c>
      <c r="G109" s="59" t="str">
        <f>IF(B109="","",E109+F109)</f>
        <v/>
      </c>
      <c r="H109" s="59" t="str">
        <f>IF(B109="","",H108+G109)</f>
        <v/>
      </c>
    </row>
    <row r="110">
      <c r="D110" s="4" t="inlineStr">
        <is>
          <t>TOTAL</t>
        </is>
      </c>
      <c r="E110" s="60">
        <f>SUM(E11:E109)</f>
        <v>933644.476670444</v>
      </c>
      <c r="F110" s="60">
        <f>SUM(F11:F109)</f>
        <v>143108.383415589</v>
      </c>
      <c r="G110" s="60">
        <f>SUM(G11:G109)</f>
        <v>1076752.86008603</v>
      </c>
    </row>
    <row r="111">
      <c r="B111" s="10" t="inlineStr">
        <is>
          <t>El depósito en garantía se incluye en el pago inicial y se aplica en el último pago. Cifras sujetas a aprobación de crédito.</t>
        </is>
      </c>
    </row>
  </sheetData>
  <sheetProtection selectLockedCells="0" selectUnlockedCells="0" sheet="1" objects="0" insertRows="1" insertHyperlinks="1" autoFilter="1" scenarios="0" formatColumns="0" deleteColumns="1" insertColumns="1" pivotTables="1" deleteRows="1" formatCells="1" formatRows="0" sort="1"/>
  <mergeCells count="8">
    <mergeCell ref="B8:H8"/>
    <mergeCell ref="D6:H6"/>
    <mergeCell ref="B7:C7"/>
    <mergeCell ref="D2:H2"/>
    <mergeCell ref="D1:H1"/>
    <mergeCell ref="D5:H5"/>
    <mergeCell ref="B111:H111"/>
    <mergeCell ref="D4:H4"/>
  </mergeCells>
  <conditionalFormatting sqref="B12:H109">
    <cfRule type="expression" priority="1" dxfId="3">
      <formula>AND($B12&lt;&gt;"",MOD($B12,2)=0)</formula>
    </cfRule>
  </conditionalFormatting>
  <dataValidations count="1">
    <dataValidation sqref="D7" showDropDown="0" showInputMessage="0" showErrorMessage="0" allowBlank="1" errorTitle="Valor no válido" error="Seleccione un valor de la lista." type="list">
      <formula1>"1,2,3,4"</formula1>
    </dataValidation>
  </dataValidations>
  <pageMargins left="0.75" right="0.75" top="1" bottom="1" header="0.5" footer="0.5"/>
  <pageSetup orientation="portrait" paperSize="1" fitToHeight="0" fitToWidth="1"/>
  <headerFooter>
    <oddHeader/>
    <oddFooter>&amp;CPágina &amp;P de &amp;N</oddFooter>
    <evenHeader/>
    <evenFooter/>
    <firstHeader/>
    <firstFooter/>
  </headerFooter>
  <drawing xmlns:r="http://schemas.openxmlformats.org/officeDocument/2006/relationships" r:id="rId1"/>
</worksheet>
</file>

<file path=xl/worksheets/sheet5.xml><?xml version="1.0" encoding="utf-8"?>
<worksheet xmlns="http://schemas.openxmlformats.org/spreadsheetml/2006/main">
  <sheetPr codeName="Hoja5">
    <tabColor rgb="005B9BD5"/>
    <outlinePr summaryBelow="1" summaryRight="1"/>
    <pageSetUpPr fitToPage="1"/>
  </sheetPr>
  <dimension ref="B1:I34"/>
  <sheetViews>
    <sheetView showGridLines="0" workbookViewId="0">
      <selection activeCell="A1" sqref="A1"/>
    </sheetView>
  </sheetViews>
  <sheetFormatPr baseColWidth="8" defaultRowHeight="15"/>
  <cols>
    <col width="2" customWidth="1" min="1" max="1"/>
    <col width="22" customWidth="1" min="2" max="2"/>
    <col width="15" customWidth="1" min="3" max="3"/>
    <col width="15" customWidth="1" min="4" max="4"/>
    <col width="15" customWidth="1" min="5" max="5"/>
    <col width="15" customWidth="1" min="6" max="6"/>
    <col width="15" customWidth="1" min="7" max="7"/>
    <col width="15" customWidth="1" min="8" max="8"/>
    <col width="15" customWidth="1" min="9" max="9"/>
    <col width="2" customWidth="1" min="10" max="10"/>
  </cols>
  <sheetData>
    <row r="1">
      <c r="B1" s="11" t="inlineStr">
        <is>
          <t>ANÁLISIS DE SENSIBILIDAD – RENTA MENSUAL</t>
        </is>
      </c>
    </row>
    <row r="2">
      <c r="B2" s="2" t="inlineStr">
        <is>
          <t>Usa el valor del equipo, enganche, residual, comisión y financiados del escenario elegido. Cambie las tasas amarillas libremente.</t>
        </is>
      </c>
    </row>
    <row r="4">
      <c r="B4" s="4" t="inlineStr">
        <is>
          <t>Escenario base:</t>
        </is>
      </c>
      <c r="C4" s="53" t="n">
        <v>1</v>
      </c>
    </row>
    <row r="5">
      <c r="B5" s="4" t="inlineStr">
        <is>
          <t>Monto a financiar:</t>
        </is>
      </c>
      <c r="C5" s="61">
        <f>CHOOSE($C$4,'Corrida 1'!$C$19,'Corrida 2'!$C$19,'Corrida 3'!$C$19,'Corrida 4'!$C$19)</f>
        <v>720527.5</v>
      </c>
    </row>
    <row r="6">
      <c r="B6" s="4" t="inlineStr">
        <is>
          <t>Valor residual:</t>
        </is>
      </c>
      <c r="C6" s="61">
        <f>CHOOSE($C$4,'Corrida 1'!$C$21,'Corrida 2'!$C$21,'Corrida 3'!$C$21,'Corrida 4'!$C$21)</f>
        <v>37922.5</v>
      </c>
    </row>
    <row r="7">
      <c r="B7" s="4" t="inlineStr">
        <is>
          <t>Tipo de pago:</t>
        </is>
      </c>
      <c r="C7" s="9">
        <f>CHOOSE($C$4,'Corrida 1'!$C$7,'Corrida 2'!$C$7,'Corrida 3'!$C$7,'Corrida 4'!$C$7)</f>
        <v>1</v>
      </c>
      <c r="D7" s="9" t="str">
        <f>IF(C7=1,"anticipado","vencido")</f>
        <v>anticipado</v>
      </c>
    </row>
    <row r="9" ht="20" customHeight="1">
      <c r="B9" s="3" t="inlineStr">
        <is>
          <t>RENTA MENSUAL SIN IVA  (filas: plazo en meses · columnas: tasa anual)</t>
        </is>
      </c>
      <c r="C9" s="3" t="n"/>
      <c r="D9" s="3" t="n"/>
      <c r="E9" s="3" t="n"/>
      <c r="F9" s="3" t="n"/>
      <c r="G9" s="3" t="n"/>
      <c r="H9" s="3" t="n"/>
      <c r="I9" s="3" t="n"/>
    </row>
    <row r="10">
      <c r="B10" s="4" t="inlineStr">
        <is>
          <t>Plazo \ Tasa</t>
        </is>
      </c>
      <c r="C10" s="22">
        <f>ROUND(CHOOSE($C$4,'Corrida 1'!$C$8,'Corrida 2'!$C$8,'Corrida 3'!$C$8,'Corrida 4'!$C$8)+(-0.03),4)</f>
        <v>0.14</v>
      </c>
      <c r="D10" s="22">
        <f>ROUND(CHOOSE($C$4,'Corrida 1'!$C$8,'Corrida 2'!$C$8,'Corrida 3'!$C$8,'Corrida 4'!$C$8)+(-0.02),4)</f>
        <v>0.15</v>
      </c>
      <c r="E10" s="22">
        <f>ROUND(CHOOSE($C$4,'Corrida 1'!$C$8,'Corrida 2'!$C$8,'Corrida 3'!$C$8,'Corrida 4'!$C$8)+(-0.01),4)</f>
        <v>0.16</v>
      </c>
      <c r="F10" s="22">
        <f>ROUND(CHOOSE($C$4,'Corrida 1'!$C$8,'Corrida 2'!$C$8,'Corrida 3'!$C$8,'Corrida 4'!$C$8)+(0),4)</f>
        <v>0.17</v>
      </c>
      <c r="G10" s="22">
        <f>ROUND(CHOOSE($C$4,'Corrida 1'!$C$8,'Corrida 2'!$C$8,'Corrida 3'!$C$8,'Corrida 4'!$C$8)+(0.01),4)</f>
        <v>0.18</v>
      </c>
      <c r="H10" s="22">
        <f>ROUND(CHOOSE($C$4,'Corrida 1'!$C$8,'Corrida 2'!$C$8,'Corrida 3'!$C$8,'Corrida 4'!$C$8)+(0.02),4)</f>
        <v>0.19</v>
      </c>
      <c r="I10" s="22">
        <f>ROUND(CHOOSE($C$4,'Corrida 1'!$C$8,'Corrida 2'!$C$8,'Corrida 3'!$C$8,'Corrida 4'!$C$8)+(0.03),4)</f>
        <v>0.2</v>
      </c>
    </row>
    <row r="11">
      <c r="B11" s="62" t="n">
        <v>12</v>
      </c>
      <c r="C11" s="21">
        <f>IFERROR(PMT(C$10/12,$B11,-$C$5,$C$6,$C$7),"")</f>
        <v>61019.6684518671</v>
      </c>
      <c r="D11" s="21">
        <f>IFERROR(PMT(D$10/12,$B11,-$C$5,$C$6,$C$7),"")</f>
        <v>61318.3274551762</v>
      </c>
      <c r="E11" s="21">
        <f>IFERROR(PMT(E$10/12,$B11,-$C$5,$C$6,$C$7),"")</f>
        <v>61617.4051601822</v>
      </c>
      <c r="F11" s="21">
        <f>IFERROR(PMT(F$10/12,$B11,-$C$5,$C$6,$C$7),"")</f>
        <v>61916.8991380053</v>
      </c>
      <c r="G11" s="21">
        <f>IFERROR(PMT(G$10/12,$B11,-$C$5,$C$6,$C$7),"")</f>
        <v>62216.8069534546</v>
      </c>
      <c r="H11" s="21">
        <f>IFERROR(PMT(H$10/12,$B11,-$C$5,$C$6,$C$7),"")</f>
        <v>62517.126165173</v>
      </c>
      <c r="I11" s="21">
        <f>IFERROR(PMT(I$10/12,$B11,-$C$5,$C$6,$C$7),"")</f>
        <v>62817.85432578</v>
      </c>
    </row>
    <row r="12">
      <c r="B12" s="62" t="n">
        <v>18</v>
      </c>
      <c r="C12" s="21">
        <f>IFERROR(PMT(C$10/12,$B12,-$C$5,$C$6,$C$7),"")</f>
        <v>42213.5451725254</v>
      </c>
      <c r="D12" s="21">
        <f>IFERROR(PMT(D$10/12,$B12,-$C$5,$C$6,$C$7),"")</f>
        <v>42526.6162579153</v>
      </c>
      <c r="E12" s="21">
        <f>IFERROR(PMT(E$10/12,$B12,-$C$5,$C$6,$C$7),"")</f>
        <v>42840.5388013495</v>
      </c>
      <c r="F12" s="21">
        <f>IFERROR(PMT(F$10/12,$B12,-$C$5,$C$6,$C$7),"")</f>
        <v>43155.3080892245</v>
      </c>
      <c r="G12" s="21">
        <f>IFERROR(PMT(G$10/12,$B12,-$C$5,$C$6,$C$7),"")</f>
        <v>43470.9193712741</v>
      </c>
      <c r="H12" s="21">
        <f>IFERROR(PMT(H$10/12,$B12,-$C$5,$C$6,$C$7),"")</f>
        <v>43787.3678612121</v>
      </c>
      <c r="I12" s="21">
        <f>IFERROR(PMT(I$10/12,$B12,-$C$5,$C$6,$C$7),"")</f>
        <v>44104.6487373774</v>
      </c>
    </row>
    <row r="13">
      <c r="B13" s="62" t="n">
        <v>24</v>
      </c>
      <c r="C13" s="21">
        <f>IFERROR(PMT(C$10/12,$B13,-$C$5,$C$6,$C$7),"")</f>
        <v>32833.2092422584</v>
      </c>
      <c r="D13" s="21">
        <f>IFERROR(PMT(D$10/12,$B13,-$C$5,$C$6,$C$7),"")</f>
        <v>33156.7996445324</v>
      </c>
      <c r="E13" s="21">
        <f>IFERROR(PMT(E$10/12,$B13,-$C$5,$C$6,$C$7),"")</f>
        <v>33481.6750541512</v>
      </c>
      <c r="F13" s="21">
        <f>IFERROR(PMT(F$10/12,$B13,-$C$5,$C$6,$C$7),"")</f>
        <v>33807.8278646643</v>
      </c>
      <c r="G13" s="21">
        <f>IFERROR(PMT(G$10/12,$B13,-$C$5,$C$6,$C$7),"")</f>
        <v>34135.2503693562</v>
      </c>
      <c r="H13" s="21">
        <f>IFERROR(PMT(H$10/12,$B13,-$C$5,$C$6,$C$7),"")</f>
        <v>34463.9347630983</v>
      </c>
      <c r="I13" s="21">
        <f>IFERROR(PMT(I$10/12,$B13,-$C$5,$C$6,$C$7),"")</f>
        <v>34793.8731442178</v>
      </c>
    </row>
    <row r="14">
      <c r="B14" s="62" t="n">
        <v>30</v>
      </c>
      <c r="C14" s="21">
        <f>IFERROR(PMT(C$10/12,$B14,-$C$5,$C$6,$C$7),"")</f>
        <v>27223.1267998969</v>
      </c>
      <c r="D14" s="21">
        <f>IFERROR(PMT(D$10/12,$B14,-$C$5,$C$6,$C$7),"")</f>
        <v>27555.6601385313</v>
      </c>
      <c r="E14" s="21">
        <f>IFERROR(PMT(E$10/12,$B14,-$C$5,$C$6,$C$7),"")</f>
        <v>27889.9081858137</v>
      </c>
      <c r="F14" s="21">
        <f>IFERROR(PMT(F$10/12,$B14,-$C$5,$C$6,$C$7),"")</f>
        <v>28225.8596559193</v>
      </c>
      <c r="G14" s="21">
        <f>IFERROR(PMT(G$10/12,$B14,-$C$5,$C$6,$C$7),"")</f>
        <v>28563.503057401</v>
      </c>
      <c r="H14" s="21">
        <f>IFERROR(PMT(H$10/12,$B14,-$C$5,$C$6,$C$7),"")</f>
        <v>28902.8266974989</v>
      </c>
      <c r="I14" s="21">
        <f>IFERROR(PMT(I$10/12,$B14,-$C$5,$C$6,$C$7),"")</f>
        <v>29243.8186865068</v>
      </c>
    </row>
    <row r="15">
      <c r="B15" s="62" t="n">
        <v>36</v>
      </c>
      <c r="C15" s="21">
        <f>IFERROR(PMT(C$10/12,$B15,-$C$5,$C$6,$C$7),"")</f>
        <v>23498.1055627451</v>
      </c>
      <c r="D15" s="21">
        <f>IFERROR(PMT(D$10/12,$B15,-$C$5,$C$6,$C$7),"")</f>
        <v>23838.7731492399</v>
      </c>
      <c r="E15" s="21">
        <f>IFERROR(PMT(E$10/12,$B15,-$C$5,$C$6,$C$7),"")</f>
        <v>24181.5788182017</v>
      </c>
      <c r="F15" s="21">
        <f>IFERROR(PMT(F$10/12,$B15,-$C$5,$C$6,$C$7),"")</f>
        <v>24526.5066459098</v>
      </c>
      <c r="G15" s="21">
        <f>IFERROR(PMT(G$10/12,$B15,-$C$5,$C$6,$C$7),"")</f>
        <v>24873.5403495512</v>
      </c>
      <c r="H15" s="21">
        <f>IFERROR(PMT(H$10/12,$B15,-$C$5,$C$6,$C$7),"")</f>
        <v>25222.663296004</v>
      </c>
      <c r="I15" s="21">
        <f>IFERROR(PMT(I$10/12,$B15,-$C$5,$C$6,$C$7),"")</f>
        <v>25573.8585107629</v>
      </c>
    </row>
    <row r="16">
      <c r="B16" s="62" t="n">
        <v>42</v>
      </c>
      <c r="C16" s="21">
        <f>IFERROR(PMT(C$10/12,$B16,-$C$5,$C$6,$C$7),"")</f>
        <v>20850.1938910911</v>
      </c>
      <c r="D16" s="21">
        <f>IFERROR(PMT(D$10/12,$B16,-$C$5,$C$6,$C$7),"")</f>
        <v>21198.5123419388</v>
      </c>
      <c r="E16" s="21">
        <f>IFERROR(PMT(E$10/12,$B16,-$C$5,$C$6,$C$7),"")</f>
        <v>21549.3840967108</v>
      </c>
      <c r="F16" s="21">
        <f>IFERROR(PMT(F$10/12,$B16,-$C$5,$C$6,$C$7),"")</f>
        <v>21902.7874754576</v>
      </c>
      <c r="G16" s="21">
        <f>IFERROR(PMT(G$10/12,$B16,-$C$5,$C$6,$C$7),"")</f>
        <v>22258.7002337403</v>
      </c>
      <c r="H16" s="21">
        <f>IFERROR(PMT(H$10/12,$B16,-$C$5,$C$6,$C$7),"")</f>
        <v>22617.099578926</v>
      </c>
      <c r="I16" s="21">
        <f>IFERROR(PMT(I$10/12,$B16,-$C$5,$C$6,$C$7),"")</f>
        <v>22977.9621867808</v>
      </c>
    </row>
    <row r="17">
      <c r="B17" s="62" t="n">
        <v>48</v>
      </c>
      <c r="C17" s="21">
        <f>IFERROR(PMT(C$10/12,$B17,-$C$5,$C$6,$C$7),"")</f>
        <v>18875.405589359</v>
      </c>
      <c r="D17" s="21">
        <f>IFERROR(PMT(D$10/12,$B17,-$C$5,$C$6,$C$7),"")</f>
        <v>19231.0510325314</v>
      </c>
      <c r="E17" s="21">
        <f>IFERROR(PMT(E$10/12,$B17,-$C$5,$C$6,$C$7),"")</f>
        <v>19589.6553079819</v>
      </c>
      <c r="F17" s="21">
        <f>IFERROR(PMT(F$10/12,$B17,-$C$5,$C$6,$C$7),"")</f>
        <v>19951.1897165926</v>
      </c>
      <c r="G17" s="21">
        <f>IFERROR(PMT(G$10/12,$B17,-$C$5,$C$6,$C$7),"")</f>
        <v>20315.6247364823</v>
      </c>
      <c r="H17" s="21">
        <f>IFERROR(PMT(H$10/12,$B17,-$C$5,$C$6,$C$7),"")</f>
        <v>20682.930051141</v>
      </c>
      <c r="I17" s="21">
        <f>IFERROR(PMT(I$10/12,$B17,-$C$5,$C$6,$C$7),"")</f>
        <v>21053.0745780943</v>
      </c>
    </row>
    <row r="18">
      <c r="B18" s="62" t="n">
        <v>54</v>
      </c>
      <c r="C18" s="21">
        <f>IFERROR(PMT(C$10/12,$B18,-$C$5,$C$6,$C$7),"")</f>
        <v>17349.2948697637</v>
      </c>
      <c r="D18" s="21">
        <f>IFERROR(PMT(D$10/12,$B18,-$C$5,$C$6,$C$7),"")</f>
        <v>17712.0293633944</v>
      </c>
      <c r="E18" s="21">
        <f>IFERROR(PMT(E$10/12,$B18,-$C$5,$C$6,$C$7),"")</f>
        <v>18078.1171495172</v>
      </c>
      <c r="F18" s="21">
        <f>IFERROR(PMT(F$10/12,$B18,-$C$5,$C$6,$C$7),"")</f>
        <v>18447.5211196966</v>
      </c>
      <c r="G18" s="21">
        <f>IFERROR(PMT(G$10/12,$B18,-$C$5,$C$6,$C$7),"")</f>
        <v>18820.2030337391</v>
      </c>
      <c r="H18" s="21">
        <f>IFERROR(PMT(H$10/12,$B18,-$C$5,$C$6,$C$7),"")</f>
        <v>19196.1235655254</v>
      </c>
      <c r="I18" s="21">
        <f>IFERROR(PMT(I$10/12,$B18,-$C$5,$C$6,$C$7),"")</f>
        <v>19575.2423496872</v>
      </c>
    </row>
    <row r="19">
      <c r="B19" s="62" t="n">
        <v>60</v>
      </c>
      <c r="C19" s="21">
        <f>IFERROR(PMT(C$10/12,$B19,-$C$5,$C$6,$C$7),"")</f>
        <v>16137.1863634724</v>
      </c>
      <c r="D19" s="21">
        <f>IFERROR(PMT(D$10/12,$B19,-$C$5,$C$6,$C$7),"")</f>
        <v>16506.8212114557</v>
      </c>
      <c r="E19" s="21">
        <f>IFERROR(PMT(E$10/12,$B19,-$C$5,$C$6,$C$7),"")</f>
        <v>16880.1914913609</v>
      </c>
      <c r="F19" s="21">
        <f>IFERROR(PMT(F$10/12,$B19,-$C$5,$C$6,$C$7),"")</f>
        <v>17257.2501872036</v>
      </c>
      <c r="G19" s="21">
        <f>IFERROR(PMT(G$10/12,$B19,-$C$5,$C$6,$C$7),"")</f>
        <v>17637.9487969279</v>
      </c>
      <c r="H19" s="21">
        <f>IFERROR(PMT(H$10/12,$B19,-$C$5,$C$6,$C$7),"")</f>
        <v>18022.2374035435</v>
      </c>
      <c r="I19" s="21">
        <f>IFERROR(PMT(I$10/12,$B19,-$C$5,$C$6,$C$7),"")</f>
        <v>18410.0647474768</v>
      </c>
    </row>
    <row r="20">
      <c r="B20" s="62" t="n">
        <v>72</v>
      </c>
      <c r="C20" s="21">
        <f>IFERROR(PMT(C$10/12,$B20,-$C$5,$C$6,$C$7),"")</f>
        <v>14340.7017786141</v>
      </c>
      <c r="D20" s="21">
        <f>IFERROR(PMT(D$10/12,$B20,-$C$5,$C$6,$C$7),"")</f>
        <v>14723.6771139083</v>
      </c>
      <c r="E20" s="21">
        <f>IFERROR(PMT(E$10/12,$B20,-$C$5,$C$6,$C$7),"")</f>
        <v>15111.1107107374</v>
      </c>
      <c r="F20" s="21">
        <f>IFERROR(PMT(F$10/12,$B20,-$C$5,$C$6,$C$7),"")</f>
        <v>15502.9309143891</v>
      </c>
      <c r="G20" s="21">
        <f>IFERROR(PMT(G$10/12,$B20,-$C$5,$C$6,$C$7),"")</f>
        <v>15899.0637775026</v>
      </c>
      <c r="H20" s="21">
        <f>IFERROR(PMT(H$10/12,$B20,-$C$5,$C$6,$C$7),"")</f>
        <v>16299.4332123697</v>
      </c>
      <c r="I20" s="21">
        <f>IFERROR(PMT(I$10/12,$B20,-$C$5,$C$6,$C$7),"")</f>
        <v>16703.9611450263</v>
      </c>
    </row>
    <row r="21">
      <c r="B21" s="62" t="n">
        <v>84</v>
      </c>
      <c r="C21" s="21">
        <f>IFERROR(PMT(C$10/12,$B21,-$C$5,$C$6,$C$7),"")</f>
        <v>13081.8333990038</v>
      </c>
      <c r="D21" s="21">
        <f>IFERROR(PMT(D$10/12,$B21,-$C$5,$C$6,$C$7),"")</f>
        <v>13477.622238168</v>
      </c>
      <c r="E21" s="21">
        <f>IFERROR(PMT(E$10/12,$B21,-$C$5,$C$6,$C$7),"")</f>
        <v>13878.5304193227</v>
      </c>
      <c r="F21" s="21">
        <f>IFERROR(PMT(F$10/12,$B21,-$C$5,$C$6,$C$7),"")</f>
        <v>14284.4548875188</v>
      </c>
      <c r="G21" s="21">
        <f>IFERROR(PMT(G$10/12,$B21,-$C$5,$C$6,$C$7),"")</f>
        <v>14695.2894527092</v>
      </c>
      <c r="H21" s="21">
        <f>IFERROR(PMT(H$10/12,$B21,-$C$5,$C$6,$C$7),"")</f>
        <v>15110.9250772055</v>
      </c>
      <c r="I21" s="21">
        <f>IFERROR(PMT(I$10/12,$B21,-$C$5,$C$6,$C$7),"")</f>
        <v>15531.2501641709</v>
      </c>
    </row>
    <row r="23" ht="20" customHeight="1">
      <c r="B23" s="3" t="inlineStr">
        <is>
          <t>RENTA MENSUAL CON IVA</t>
        </is>
      </c>
      <c r="C23" s="3" t="n"/>
      <c r="D23" s="3" t="n"/>
      <c r="E23" s="3" t="n"/>
      <c r="F23" s="3" t="n"/>
      <c r="G23" s="3" t="n"/>
      <c r="H23" s="3" t="n"/>
      <c r="I23" s="3" t="n"/>
    </row>
    <row r="24">
      <c r="B24" s="63">
        <f>B11</f>
        <v>12</v>
      </c>
      <c r="C24" s="21">
        <f>IFERROR(C11*(1+par_IVA),"")</f>
        <v>70782.8154041659</v>
      </c>
      <c r="D24" s="21">
        <f>IFERROR(D11*(1+par_IVA),"")</f>
        <v>71129.2598480043</v>
      </c>
      <c r="E24" s="21">
        <f>IFERROR(E11*(1+par_IVA),"")</f>
        <v>71476.1899858114</v>
      </c>
      <c r="F24" s="21">
        <f>IFERROR(F11*(1+par_IVA),"")</f>
        <v>71823.6030000861</v>
      </c>
      <c r="G24" s="21">
        <f>IFERROR(G11*(1+par_IVA),"")</f>
        <v>72171.4960660073</v>
      </c>
      <c r="H24" s="21">
        <f>IFERROR(H11*(1+par_IVA),"")</f>
        <v>72519.8663516007</v>
      </c>
      <c r="I24" s="21">
        <f>IFERROR(I11*(1+par_IVA),"")</f>
        <v>72868.7110179048</v>
      </c>
    </row>
    <row r="25">
      <c r="B25" s="63">
        <f>B12</f>
        <v>18</v>
      </c>
      <c r="C25" s="21">
        <f>IFERROR(C12*(1+par_IVA),"")</f>
        <v>48967.7124001295</v>
      </c>
      <c r="D25" s="21">
        <f>IFERROR(D12*(1+par_IVA),"")</f>
        <v>49330.8748591817</v>
      </c>
      <c r="E25" s="21">
        <f>IFERROR(E12*(1+par_IVA),"")</f>
        <v>49695.0250095654</v>
      </c>
      <c r="F25" s="21">
        <f>IFERROR(F12*(1+par_IVA),"")</f>
        <v>50060.1573835005</v>
      </c>
      <c r="G25" s="21">
        <f>IFERROR(G12*(1+par_IVA),"")</f>
        <v>50426.266470678</v>
      </c>
      <c r="H25" s="21">
        <f>IFERROR(H12*(1+par_IVA),"")</f>
        <v>50793.346719006</v>
      </c>
      <c r="I25" s="21">
        <f>IFERROR(I12*(1+par_IVA),"")</f>
        <v>51161.3925353577</v>
      </c>
    </row>
    <row r="26">
      <c r="B26" s="63">
        <f>B13</f>
        <v>24</v>
      </c>
      <c r="C26" s="21">
        <f>IFERROR(C13*(1+par_IVA),"")</f>
        <v>38086.5227210197</v>
      </c>
      <c r="D26" s="21">
        <f>IFERROR(D13*(1+par_IVA),"")</f>
        <v>38461.8875876575</v>
      </c>
      <c r="E26" s="21">
        <f>IFERROR(E13*(1+par_IVA),"")</f>
        <v>38838.7430628154</v>
      </c>
      <c r="F26" s="21">
        <f>IFERROR(F13*(1+par_IVA),"")</f>
        <v>39217.0803230106</v>
      </c>
      <c r="G26" s="21">
        <f>IFERROR(G13*(1+par_IVA),"")</f>
        <v>39596.8904284531</v>
      </c>
      <c r="H26" s="21">
        <f>IFERROR(H13*(1+par_IVA),"")</f>
        <v>39978.164325194</v>
      </c>
      <c r="I26" s="21">
        <f>IFERROR(I13*(1+par_IVA),"")</f>
        <v>40360.8928472926</v>
      </c>
    </row>
    <row r="27">
      <c r="B27" s="63">
        <f>B14</f>
        <v>30</v>
      </c>
      <c r="C27" s="21">
        <f>IFERROR(C14*(1+par_IVA),"")</f>
        <v>31578.8270878804</v>
      </c>
      <c r="D27" s="21">
        <f>IFERROR(D14*(1+par_IVA),"")</f>
        <v>31964.5657606964</v>
      </c>
      <c r="E27" s="21">
        <f>IFERROR(E14*(1+par_IVA),"")</f>
        <v>32352.2934955439</v>
      </c>
      <c r="F27" s="21">
        <f>IFERROR(F14*(1+par_IVA),"")</f>
        <v>32741.9972008664</v>
      </c>
      <c r="G27" s="21">
        <f>IFERROR(G14*(1+par_IVA),"")</f>
        <v>33133.6635465852</v>
      </c>
      <c r="H27" s="21">
        <f>IFERROR(H14*(1+par_IVA),"")</f>
        <v>33527.2789690987</v>
      </c>
      <c r="I27" s="21">
        <f>IFERROR(I14*(1+par_IVA),"")</f>
        <v>33922.8296763479</v>
      </c>
    </row>
    <row r="28">
      <c r="B28" s="63">
        <f>B15</f>
        <v>36</v>
      </c>
      <c r="C28" s="21">
        <f>IFERROR(C15*(1+par_IVA),"")</f>
        <v>27257.8024527843</v>
      </c>
      <c r="D28" s="21">
        <f>IFERROR(D15*(1+par_IVA),"")</f>
        <v>27652.9768531183</v>
      </c>
      <c r="E28" s="21">
        <f>IFERROR(E15*(1+par_IVA),"")</f>
        <v>28050.631429114</v>
      </c>
      <c r="F28" s="21">
        <f>IFERROR(F15*(1+par_IVA),"")</f>
        <v>28450.7477092554</v>
      </c>
      <c r="G28" s="21">
        <f>IFERROR(G15*(1+par_IVA),"")</f>
        <v>28853.3068054794</v>
      </c>
      <c r="H28" s="21">
        <f>IFERROR(H15*(1+par_IVA),"")</f>
        <v>29258.2894233646</v>
      </c>
      <c r="I28" s="21">
        <f>IFERROR(I15*(1+par_IVA),"")</f>
        <v>29665.675872485</v>
      </c>
    </row>
    <row r="29">
      <c r="B29" s="63">
        <f>B16</f>
        <v>42</v>
      </c>
      <c r="C29" s="21">
        <f>IFERROR(C16*(1+par_IVA),"")</f>
        <v>24186.2249136656</v>
      </c>
      <c r="D29" s="21">
        <f>IFERROR(D16*(1+par_IVA),"")</f>
        <v>24590.274316649</v>
      </c>
      <c r="E29" s="21">
        <f>IFERROR(E16*(1+par_IVA),"")</f>
        <v>24997.2855521845</v>
      </c>
      <c r="F29" s="21">
        <f>IFERROR(F16*(1+par_IVA),"")</f>
        <v>25407.2334715309</v>
      </c>
      <c r="G29" s="21">
        <f>IFERROR(G16*(1+par_IVA),"")</f>
        <v>25820.0922711387</v>
      </c>
      <c r="H29" s="21">
        <f>IFERROR(H16*(1+par_IVA),"")</f>
        <v>26235.8355115542</v>
      </c>
      <c r="I29" s="21">
        <f>IFERROR(I16*(1+par_IVA),"")</f>
        <v>26654.4361366657</v>
      </c>
    </row>
    <row r="30">
      <c r="B30" s="63">
        <f>B17</f>
        <v>48</v>
      </c>
      <c r="C30" s="21">
        <f>IFERROR(C17*(1+par_IVA),"")</f>
        <v>21895.4704836564</v>
      </c>
      <c r="D30" s="21">
        <f>IFERROR(D17*(1+par_IVA),"")</f>
        <v>22308.0191977364</v>
      </c>
      <c r="E30" s="21">
        <f>IFERROR(E17*(1+par_IVA),"")</f>
        <v>22724.000157259</v>
      </c>
      <c r="F30" s="21">
        <f>IFERROR(F17*(1+par_IVA),"")</f>
        <v>23143.3800712474</v>
      </c>
      <c r="G30" s="21">
        <f>IFERROR(G17*(1+par_IVA),"")</f>
        <v>23566.1246943195</v>
      </c>
      <c r="H30" s="21">
        <f>IFERROR(H17*(1+par_IVA),"")</f>
        <v>23992.1988593236</v>
      </c>
      <c r="I30" s="21">
        <f>IFERROR(I17*(1+par_IVA),"")</f>
        <v>24421.5665105894</v>
      </c>
    </row>
    <row r="31">
      <c r="B31" s="63">
        <f>B18</f>
        <v>54</v>
      </c>
      <c r="C31" s="21">
        <f>IFERROR(C18*(1+par_IVA),"")</f>
        <v>20125.1820489259</v>
      </c>
      <c r="D31" s="21">
        <f>IFERROR(D18*(1+par_IVA),"")</f>
        <v>20545.9540615375</v>
      </c>
      <c r="E31" s="21">
        <f>IFERROR(E18*(1+par_IVA),"")</f>
        <v>20970.61589344</v>
      </c>
      <c r="F31" s="21">
        <f>IFERROR(F18*(1+par_IVA),"")</f>
        <v>21399.1244988481</v>
      </c>
      <c r="G31" s="21">
        <f>IFERROR(G18*(1+par_IVA),"")</f>
        <v>21831.4355191374</v>
      </c>
      <c r="H31" s="21">
        <f>IFERROR(H18*(1+par_IVA),"")</f>
        <v>22267.5033360094</v>
      </c>
      <c r="I31" s="21">
        <f>IFERROR(I18*(1+par_IVA),"")</f>
        <v>22707.2811256371</v>
      </c>
    </row>
    <row r="32">
      <c r="B32" s="63">
        <f>B19</f>
        <v>60</v>
      </c>
      <c r="C32" s="21">
        <f>IFERROR(C19*(1+par_IVA),"")</f>
        <v>18719.136181628</v>
      </c>
      <c r="D32" s="21">
        <f>IFERROR(D19*(1+par_IVA),"")</f>
        <v>19147.9126052886</v>
      </c>
      <c r="E32" s="21">
        <f>IFERROR(E19*(1+par_IVA),"")</f>
        <v>19581.0221299786</v>
      </c>
      <c r="F32" s="21">
        <f>IFERROR(F19*(1+par_IVA),"")</f>
        <v>20018.4102171562</v>
      </c>
      <c r="G32" s="21">
        <f>IFERROR(G19*(1+par_IVA),"")</f>
        <v>20460.0206044363</v>
      </c>
      <c r="H32" s="21">
        <f>IFERROR(H19*(1+par_IVA),"")</f>
        <v>20905.7953881105</v>
      </c>
      <c r="I32" s="21">
        <f>IFERROR(I19*(1+par_IVA),"")</f>
        <v>21355.6751070731</v>
      </c>
    </row>
    <row r="33">
      <c r="B33" s="63">
        <f>B20</f>
        <v>72</v>
      </c>
      <c r="C33" s="21">
        <f>IFERROR(C20*(1+par_IVA),"")</f>
        <v>16635.2140631923</v>
      </c>
      <c r="D33" s="21">
        <f>IFERROR(D20*(1+par_IVA),"")</f>
        <v>17079.4654521336</v>
      </c>
      <c r="E33" s="21">
        <f>IFERROR(E20*(1+par_IVA),"")</f>
        <v>17528.8884244554</v>
      </c>
      <c r="F33" s="21">
        <f>IFERROR(F20*(1+par_IVA),"")</f>
        <v>17983.3998606913</v>
      </c>
      <c r="G33" s="21">
        <f>IFERROR(G20*(1+par_IVA),"")</f>
        <v>18442.913981903</v>
      </c>
      <c r="H33" s="21">
        <f>IFERROR(H20*(1+par_IVA),"")</f>
        <v>18907.3425263488</v>
      </c>
      <c r="I33" s="21">
        <f>IFERROR(I20*(1+par_IVA),"")</f>
        <v>19376.5949282305</v>
      </c>
    </row>
    <row r="34">
      <c r="B34" s="63">
        <f>B21</f>
        <v>84</v>
      </c>
      <c r="C34" s="21">
        <f>IFERROR(C21*(1+par_IVA),"")</f>
        <v>15174.9267428445</v>
      </c>
      <c r="D34" s="21">
        <f>IFERROR(D21*(1+par_IVA),"")</f>
        <v>15634.0417962749</v>
      </c>
      <c r="E34" s="21">
        <f>IFERROR(E21*(1+par_IVA),"")</f>
        <v>16099.0952864144</v>
      </c>
      <c r="F34" s="21">
        <f>IFERROR(F21*(1+par_IVA),"")</f>
        <v>16569.9676695218</v>
      </c>
      <c r="G34" s="21">
        <f>IFERROR(G21*(1+par_IVA),"")</f>
        <v>17046.5357651427</v>
      </c>
      <c r="H34" s="21">
        <f>IFERROR(H21*(1+par_IVA),"")</f>
        <v>17528.6730895583</v>
      </c>
      <c r="I34" s="21">
        <f>IFERROR(I21*(1+par_IVA),"")</f>
        <v>18016.2501904382</v>
      </c>
    </row>
  </sheetData>
  <sheetProtection selectLockedCells="0" selectUnlockedCells="0" sheet="1" objects="0" insertRows="1" insertHyperlinks="1" autoFilter="1" scenarios="0" formatColumns="0" deleteColumns="1" insertColumns="1" pivotTables="1" deleteRows="1" formatCells="1" formatRows="0" sort="1"/>
  <conditionalFormatting sqref="C11:I21">
    <cfRule type="expression" priority="1" dxfId="4">
      <formula>AND($B11=CHOOSE($C$4,'Corrida 1'!$C$5,'Corrida 2'!$C$5,'Corrida 3'!$C$5,'Corrida 4'!$C$5),C$10=CHOOSE($C$4,'Corrida 1'!$C$8,'Corrida 2'!$C$8,'Corrida 3'!$C$8,'Corrida 4'!$C$8))</formula>
    </cfRule>
  </conditionalFormatting>
  <dataValidations count="1">
    <dataValidation sqref="C4" showDropDown="0" showInputMessage="0" showErrorMessage="0" allowBlank="1" errorTitle="Valor no válido" error="Seleccione un valor de la lista." type="list">
      <formula1>"1,2,3,4"</formula1>
    </dataValidation>
  </dataValidations>
  <pageMargins left="0.75" right="0.75" top="1" bottom="1" header="0.5" footer="0.5"/>
  <pageSetup orientation="landscape" paperSize="1" fitToHeight="0" fitToWidth="1"/>
</worksheet>
</file>

<file path=xl/worksheets/sheet6.xml><?xml version="1.0" encoding="utf-8"?>
<worksheet xmlns="http://schemas.openxmlformats.org/spreadsheetml/2006/main">
  <sheetPr codeName="Hoja6">
    <tabColor rgb="005B9BD5"/>
    <outlinePr summaryBelow="1" summaryRight="1"/>
    <pageSetUpPr fitToPage="1"/>
  </sheetPr>
  <dimension ref="A1:T4"/>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12" customWidth="1" min="1" max="1"/>
    <col width="11" customWidth="1" min="2" max="2"/>
    <col width="30" customWidth="1" min="3" max="3"/>
    <col width="26" customWidth="1" min="4" max="4"/>
    <col width="22" customWidth="1" min="5" max="5"/>
    <col width="14" customWidth="1" min="6" max="6"/>
    <col width="15" customWidth="1" min="7" max="7"/>
    <col width="14" customWidth="1" min="8" max="8"/>
    <col width="15" customWidth="1" min="9" max="9"/>
    <col width="15" customWidth="1" min="10" max="10"/>
    <col width="15" customWidth="1" min="11" max="11"/>
    <col width="15" customWidth="1" min="12" max="12"/>
    <col width="10" customWidth="1" min="13" max="13"/>
    <col width="10" customWidth="1" min="14" max="14"/>
    <col width="10" customWidth="1" min="15" max="15"/>
    <col width="10" customWidth="1" min="16" max="16"/>
    <col width="15" customWidth="1" min="17" max="17"/>
    <col width="30" customWidth="1" min="18" max="18"/>
    <col width="16" customWidth="1" min="19" max="19"/>
    <col width="17" customWidth="1" min="20" max="20"/>
  </cols>
  <sheetData>
    <row r="1">
      <c r="A1" s="11" t="inlineStr">
        <is>
          <t>HISTORIAL DE COTIZACIONES</t>
        </is>
      </c>
    </row>
    <row r="2">
      <c r="A2" s="2" t="inlineStr">
        <is>
          <t>La macro "Guardar en historial" agrega una fila por folio. Para reabrir una cotización seleccione su fila y use "Cargar del historial". Las columnas a la derecha guardan todos los datos capturados.</t>
        </is>
      </c>
    </row>
    <row r="4" ht="30" customHeight="1">
      <c r="A4" s="30" t="inlineStr">
        <is>
          <t>Folio</t>
        </is>
      </c>
      <c r="B4" s="30" t="inlineStr">
        <is>
          <t>Fecha</t>
        </is>
      </c>
      <c r="C4" s="30" t="inlineStr">
        <is>
          <t>Cliente</t>
        </is>
      </c>
      <c r="D4" s="30" t="inlineStr">
        <is>
          <t>Equipo</t>
        </is>
      </c>
      <c r="E4" s="30" t="inlineStr">
        <is>
          <t>Promotor</t>
        </is>
      </c>
      <c r="F4" s="30" t="inlineStr">
        <is>
          <t>Moneda</t>
        </is>
      </c>
      <c r="G4" s="30" t="inlineStr">
        <is>
          <t>Valor equipo</t>
        </is>
      </c>
      <c r="H4" s="30" t="inlineStr">
        <is>
          <t>Plazos</t>
        </is>
      </c>
      <c r="I4" s="30" t="inlineStr">
        <is>
          <t>Renta c/IVA Esc.1</t>
        </is>
      </c>
      <c r="J4" s="30" t="inlineStr">
        <is>
          <t>Renta c/IVA Esc.2</t>
        </is>
      </c>
      <c r="K4" s="30" t="inlineStr">
        <is>
          <t>Renta c/IVA Esc.3</t>
        </is>
      </c>
      <c r="L4" s="30" t="inlineStr">
        <is>
          <t>Renta c/IVA Esc.4</t>
        </is>
      </c>
      <c r="M4" s="30" t="inlineStr">
        <is>
          <t>CM % Esc.1</t>
        </is>
      </c>
      <c r="N4" s="30" t="inlineStr">
        <is>
          <t>CM % Esc.2</t>
        </is>
      </c>
      <c r="O4" s="30" t="inlineStr">
        <is>
          <t>CM % Esc.3</t>
        </is>
      </c>
      <c r="P4" s="30" t="inlineStr">
        <is>
          <t>CM % Esc.4</t>
        </is>
      </c>
      <c r="Q4" s="30" t="inlineStr">
        <is>
          <t>Estatus</t>
        </is>
      </c>
      <c r="R4" s="30" t="inlineStr">
        <is>
          <t>Comentarios</t>
        </is>
      </c>
      <c r="S4" s="30" t="inlineStr">
        <is>
          <t>Guardado por</t>
        </is>
      </c>
      <c r="T4" s="30" t="inlineStr">
        <is>
          <t>Guardado el</t>
        </is>
      </c>
    </row>
  </sheetData>
  <autoFilter ref="A4:T4"/>
  <dataValidations count="1">
    <dataValidation sqref="Q5:Q2000" showDropDown="0" showInputMessage="0" showErrorMessage="0" allowBlank="1" errorTitle="Valor no válido" error="Seleccione un valor de la lista." type="list">
      <formula1>=lst_Estatus</formula1>
    </dataValidation>
  </dataValidations>
  <pageMargins left="0.75" right="0.75" top="1" bottom="1" header="0.5" footer="0.5"/>
  <pageSetup orientation="landscape" paperSize="1" fitToHeight="0" fitToWidth="1"/>
</worksheet>
</file>

<file path=xl/worksheets/sheet7.xml><?xml version="1.0" encoding="utf-8"?>
<worksheet xmlns="http://schemas.openxmlformats.org/spreadsheetml/2006/main">
  <sheetPr codeName="Hoja7">
    <tabColor rgb="00808080"/>
    <outlinePr summaryBelow="1" summaryRight="1"/>
    <pageSetUpPr fitToPage="1"/>
  </sheetPr>
  <dimension ref="A1:S143"/>
  <sheetViews>
    <sheetView showGridLines="0" workbookViewId="0">
      <pane xSplit="2" ySplit="44" topLeftCell="C45"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1</v>
      </c>
    </row>
    <row r="2">
      <c r="A2" s="2" t="inlineStr">
        <is>
          <t>Hoja de cálculo interna (protegida). Todos los datos vienen de la hoja Cotizador.</t>
        </is>
      </c>
    </row>
    <row r="3">
      <c r="B3" s="7" t="inlineStr">
        <is>
          <t>Escenario</t>
        </is>
      </c>
      <c r="C3" s="64" t="n">
        <v>1</v>
      </c>
      <c r="E3" s="65" t="inlineStr">
        <is>
          <t>RESULTADOS DEL ESCENARIO</t>
        </is>
      </c>
      <c r="F3" s="65" t="n"/>
      <c r="G3" s="65" t="n"/>
      <c r="H3" s="65" t="n"/>
      <c r="I3" s="65" t="n"/>
    </row>
    <row r="4">
      <c r="B4" s="7" t="inlineStr">
        <is>
          <t>Incluido en la carta</t>
        </is>
      </c>
      <c r="C4" s="66" t="str">
        <f>INDEX(esc_Incluir,1,$C$3)</f>
        <v>Sí</v>
      </c>
      <c r="E4" s="7" t="inlineStr">
        <is>
          <t>Cash margin C/R ($) = VP al fondeo de todos los flujos</t>
        </is>
      </c>
      <c r="I4" s="67">
        <f>C41+SUM(N46:N143)</f>
        <v>-2988.0150290709</v>
      </c>
    </row>
    <row r="5">
      <c r="B5" s="7" t="inlineStr">
        <is>
          <t>Plazo básico (n, meses)</t>
        </is>
      </c>
      <c r="C5" s="68">
        <f>INDEX(esc_Plazo,1,$C$3)</f>
        <v>24</v>
      </c>
      <c r="E5" s="7" t="inlineStr">
        <is>
          <t>Cash margin C/R (% del monto financiado)</t>
        </is>
      </c>
      <c r="I5" s="69">
        <f>IFERROR(I4/C19,0)</f>
        <v>-0.00414698263296113</v>
      </c>
    </row>
    <row r="6">
      <c r="B6" s="7" t="inlineStr">
        <is>
          <t>Plazo sucesivo (m, meses)</t>
        </is>
      </c>
      <c r="C6" s="68">
        <f>INDEX(esc_Sucesivo,1,$C$3)</f>
        <v>1</v>
      </c>
      <c r="E6" s="7" t="inlineStr">
        <is>
          <t>Cash margin S/R ($) = sin pago final / residual</t>
        </is>
      </c>
      <c r="I6" s="21">
        <f>C41+SUM(S46:S143)</f>
        <v>-28228.2165983341</v>
      </c>
    </row>
    <row r="7">
      <c r="B7" s="7" t="inlineStr">
        <is>
          <t>Tipo de pago (1 = anticipado, 0 = vencido)</t>
        </is>
      </c>
      <c r="C7" s="68">
        <f>IF(inp_Modalidad="Anticipado",1,0)</f>
        <v>1</v>
      </c>
      <c r="E7" s="7" t="inlineStr">
        <is>
          <t>Cash margin S/R (%)</t>
        </is>
      </c>
      <c r="I7" s="70">
        <f>IFERROR(I6/C19,0)</f>
        <v>-0.0391771536802331</v>
      </c>
    </row>
    <row r="8">
      <c r="B8" s="7" t="inlineStr">
        <is>
          <t>Tasa anual plazo básico</t>
        </is>
      </c>
      <c r="C8" s="71">
        <f>INDEX(esc_Tasa,1,$C$3)</f>
        <v>0.17</v>
      </c>
      <c r="E8" s="7" t="inlineStr">
        <is>
          <t>TIR anual efectiva del arrendador (XIRR)</t>
        </is>
      </c>
      <c r="I8" s="69">
        <f>IFERROR(XIRR(Q45:Q143,P45:P143),"n/d")</f>
        <v>0.219172464679863</v>
      </c>
    </row>
    <row r="9">
      <c r="B9" s="7" t="inlineStr">
        <is>
          <t>Tasa mensual plazo básico (i)</t>
        </is>
      </c>
      <c r="C9" s="71">
        <f>C8/12</f>
        <v>0.0141666666666667</v>
      </c>
      <c r="E9" s="7" t="inlineStr">
        <is>
          <t>TIR nominal anual (capitalizable mensual)</t>
        </is>
      </c>
      <c r="I9" s="70">
        <f>IFERROR(12*((1+I8)^(1/12)-1),"n/d")</f>
        <v>0.199817710523955</v>
      </c>
    </row>
    <row r="10">
      <c r="B10" s="7" t="inlineStr">
        <is>
          <t>Tasa anual plazo sucesivo</t>
        </is>
      </c>
      <c r="C10" s="71">
        <f>INDEX(esc_TasaSuc,1,$C$3)</f>
        <v>0.17</v>
      </c>
      <c r="E10" s="7" t="inlineStr">
        <is>
          <t>CAT informativo sin IVA (flujos del cliente)</t>
        </is>
      </c>
      <c r="I10" s="70">
        <f>IFERROR(XIRR(R45:R143,P45:P143),"n/d")</f>
        <v>0.195794440803109</v>
      </c>
    </row>
    <row r="11">
      <c r="B11" s="7" t="inlineStr">
        <is>
          <t>Tasa mensual plazo sucesivo (i2)</t>
        </is>
      </c>
      <c r="C11" s="71">
        <f>C10/12</f>
        <v>0.0141666666666667</v>
      </c>
      <c r="E11" s="7" t="inlineStr">
        <is>
          <t>Σ factores de descuento de rentas básicas</t>
        </is>
      </c>
      <c r="I11" s="72">
        <f>SUMIF(B46:B143,"Básico",M46:M143)</f>
        <v>19.8767432730462</v>
      </c>
    </row>
    <row r="12">
      <c r="B12" s="7" t="inlineStr">
        <is>
          <t>Tasa de fondeo anual</t>
        </is>
      </c>
      <c r="C12" s="71">
        <f>inp_Fondeo</f>
        <v>0.205</v>
      </c>
      <c r="E12" s="7" t="inlineStr">
        <is>
          <t>Factor de descuento del último pago</t>
        </is>
      </c>
      <c r="I12" s="72">
        <f>IFERROR(INDEX(M46:M143,C38),0)</f>
        <v>0.665573249898167</v>
      </c>
    </row>
    <row r="13">
      <c r="B13" s="7" t="inlineStr">
        <is>
          <t>Tasa de fondeo mensual (f)</t>
        </is>
      </c>
      <c r="C13" s="71">
        <f>C12/12</f>
        <v>0.0170833333333333</v>
      </c>
      <c r="E13" s="7" t="inlineStr">
        <is>
          <t>Sensibilidad del CM a la renta (∂CM/∂R)</t>
        </is>
      </c>
      <c r="I13" s="72">
        <f>I11+C29*(1+C14)*(1-I12)+C34/30</f>
        <v>20.2980116364976</v>
      </c>
    </row>
    <row r="14">
      <c r="B14" s="7" t="inlineStr">
        <is>
          <t>Tasa de IVA</t>
        </is>
      </c>
      <c r="C14" s="70">
        <f>par_IVA</f>
        <v>0.16</v>
      </c>
      <c r="E14" s="7" t="inlineStr">
        <is>
          <t>Renta mínima para el CM objetivo</t>
        </is>
      </c>
      <c r="I14" s="21">
        <f>IFERROR((inp_CMobj*C19-(I4-C24*I13))/I13,0)</f>
        <v>36794.8305383672</v>
      </c>
    </row>
    <row r="15">
      <c r="B15" s="7" t="inlineStr">
        <is>
          <t>Valor del equipo sin IVA (V)</t>
        </is>
      </c>
      <c r="C15" s="21">
        <f>inp_Valor</f>
        <v>758450</v>
      </c>
      <c r="E15" s="7" t="inlineStr">
        <is>
          <t>Tasa anual mínima para el CM objetivo</t>
        </is>
      </c>
      <c r="I15" s="70">
        <f>IFERROR(RATE(C5,I14,-C19,C21,C7)*12,"n/d")</f>
        <v>0.259865265441571</v>
      </c>
    </row>
    <row r="16">
      <c r="B16" s="7" t="inlineStr">
        <is>
          <t>Enganche</t>
        </is>
      </c>
      <c r="C16" s="21">
        <f>C15*INDEX(esc_Enganche,1,$C$3)</f>
        <v>37922.5</v>
      </c>
      <c r="E16" s="7" t="inlineStr">
        <is>
          <t>Saldo final de la tabla (debe ser 0)</t>
        </is>
      </c>
      <c r="I16" s="21">
        <f>IFERROR(INDEX(I46:I143,C38),0)</f>
        <v>0</v>
      </c>
    </row>
    <row r="17">
      <c r="B17" s="7" t="inlineStr">
        <is>
          <t>Seguro financiado</t>
        </is>
      </c>
      <c r="C17" s="21">
        <f>IF(INDEX(esc_SeguroForma,1,$C$3)="Financiado",INDEX(esc_Seguro,1,$C$3),0)</f>
        <v>0</v>
      </c>
      <c r="E17" s="7" t="inlineStr">
        <is>
          <t>Pago inicial: base sin IVA (enganche+comisión+renta prop.+contado)</t>
        </is>
      </c>
      <c r="I17" s="21">
        <f>C16+C28+C35+IF(INDEX(esc_SeguroForma,1,$C$3)="Contado",INDEX(esc_Seguro,1,$C$3),0)+IF(INDEX(esc_GPSForma,1,$C$3)="Contado",INDEX(esc_GPS,1,$C$3),0)</f>
        <v>45117.0275954888</v>
      </c>
    </row>
    <row r="18">
      <c r="B18" s="7" t="inlineStr">
        <is>
          <t>GPS financiado</t>
        </is>
      </c>
      <c r="C18" s="21">
        <f>IF(INDEX(esc_GPSForma,1,$C$3)="Financiado",INDEX(esc_GPS,1,$C$3),0)</f>
        <v>0</v>
      </c>
      <c r="E18" s="7" t="inlineStr">
        <is>
          <t>Pago inicial: IVA</t>
        </is>
      </c>
      <c r="I18" s="21">
        <f>I17*C14</f>
        <v>7218.72441527821</v>
      </c>
    </row>
    <row r="19">
      <c r="B19" s="7" t="inlineStr">
        <is>
          <t>Monto a financiar (M = V − enganche + financiados)</t>
        </is>
      </c>
      <c r="C19" s="67">
        <f>C15-C16+C17+C18</f>
        <v>720527.5</v>
      </c>
      <c r="E19" s="7" t="inlineStr">
        <is>
          <t>Pago inicial: depósito en garantía</t>
        </is>
      </c>
      <c r="I19" s="21">
        <f>C30</f>
        <v>39217.0803230106</v>
      </c>
    </row>
    <row r="20">
      <c r="B20" s="7" t="inlineStr">
        <is>
          <t>Valor residual (% del valor)</t>
        </is>
      </c>
      <c r="C20" s="70">
        <f>INDEX(esc_Residual,1,$C$3)</f>
        <v>0.05</v>
      </c>
      <c r="E20" s="7" t="inlineStr">
        <is>
          <t>PAGO INICIAL TOTAL (con IVA)</t>
        </is>
      </c>
      <c r="I20" s="67">
        <f>I17+I18+I19</f>
        <v>91552.8323337777</v>
      </c>
    </row>
    <row r="21">
      <c r="B21" s="7" t="inlineStr">
        <is>
          <t>Valor residual (VR)</t>
        </is>
      </c>
      <c r="C21" s="21">
        <f>C15*C20</f>
        <v>37922.5</v>
      </c>
      <c r="E21" s="7" t="inlineStr">
        <is>
          <t>IVA de la primera renta</t>
        </is>
      </c>
      <c r="I21" s="21">
        <f>IFERROR(J46,0)</f>
        <v>5409.25245834629</v>
      </c>
    </row>
    <row r="22">
      <c r="B22" s="7" t="inlineStr">
        <is>
          <t>Pago final (% del valor)</t>
        </is>
      </c>
      <c r="C22" s="70">
        <f>IF(INDEX(esc_PagoFinal,1,$C$3)="",C20,INDEX(esc_PagoFinal,1,$C$3))</f>
        <v>0.05</v>
      </c>
      <c r="E22" s="7" t="inlineStr">
        <is>
          <t>Total de pagos con IVA (rentas + pago final)</t>
        </is>
      </c>
      <c r="I22" s="21">
        <f>SUM(K46:K143)</f>
        <v>985200.027752255</v>
      </c>
    </row>
    <row r="23">
      <c r="B23" s="7" t="inlineStr">
        <is>
          <t>Pago final ($)</t>
        </is>
      </c>
      <c r="C23" s="21">
        <f>C15*C22</f>
        <v>37922.5</v>
      </c>
      <c r="E23" s="7" t="inlineStr">
        <is>
          <t>Spread (tasa cliente − tasa fondeo)</t>
        </is>
      </c>
      <c r="I23" s="70">
        <f>C8-C12</f>
        <v>-0.035</v>
      </c>
    </row>
    <row r="24">
      <c r="B24" s="7" t="inlineStr">
        <is>
          <t>RENTA BÁSICA  R = PMT(i, n, −M, VR, tipo)</t>
        </is>
      </c>
      <c r="C24" s="67">
        <f>PMT(C9,C5,-C19,C21,C7)</f>
        <v>33807.8278646643</v>
      </c>
    </row>
    <row r="25">
      <c r="B25" s="7" t="inlineStr">
        <is>
          <t>Renta plazo sucesivo  Rs = PMT(i2, m, −PF, 0, tipo)</t>
        </is>
      </c>
      <c r="C25" s="21">
        <f>IF(C6&gt;0,PMT(C11,C6,-C23,0,C7),0)</f>
        <v>37922.5</v>
      </c>
    </row>
    <row r="26">
      <c r="B26" s="7" t="inlineStr">
        <is>
          <t>Opción de compra (si m = 0)</t>
        </is>
      </c>
      <c r="C26" s="21">
        <f>IF(C6=0,C23,0)</f>
        <v>0</v>
      </c>
      <c r="E26"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27">
      <c r="B27" s="7" t="inlineStr">
        <is>
          <t>Comisión por apertura (%)</t>
        </is>
      </c>
      <c r="C27" s="70">
        <f>INDEX(esc_Comision,1,$C$3)</f>
        <v>0.008</v>
      </c>
    </row>
    <row r="28">
      <c r="B28" s="7" t="inlineStr">
        <is>
          <t>Comisión por apertura ($, sobre el valor)</t>
        </is>
      </c>
      <c r="C28" s="21">
        <f>C15*C27</f>
        <v>6067.6</v>
      </c>
    </row>
    <row r="29">
      <c r="B29" s="7" t="inlineStr">
        <is>
          <t>Depósito en garantía (# rentas con IVA)</t>
        </is>
      </c>
      <c r="C29" s="73">
        <f>INDEX(esc_Deposito,1,$C$3)</f>
        <v>1</v>
      </c>
    </row>
    <row r="30">
      <c r="B30" s="7" t="inlineStr">
        <is>
          <t>Depósito en garantía ($)</t>
        </is>
      </c>
      <c r="C30" s="21">
        <f>C29*C24*(1+C14)</f>
        <v>39217.0803230106</v>
      </c>
    </row>
    <row r="31">
      <c r="B31" s="7" t="inlineStr">
        <is>
          <t>Fecha de firma / desembolso</t>
        </is>
      </c>
      <c r="C31" s="74">
        <f>inp_FechaFirma</f>
        <v>46295.0</v>
      </c>
    </row>
    <row r="32">
      <c r="B32" s="7" t="inlineStr">
        <is>
          <t>Fecha de la primera renta</t>
        </is>
      </c>
      <c r="C32" s="74">
        <f>inp_FechaPrimera</f>
        <v>46296.0</v>
      </c>
    </row>
    <row r="33">
      <c r="B33" s="7" t="inlineStr">
        <is>
          <t>Inicio del plazo (t = 0)</t>
        </is>
      </c>
      <c r="C33" s="74">
        <f>IF(C7=1,C32,EDATE(C32,-1))</f>
        <v>46296.0</v>
      </c>
    </row>
    <row r="34">
      <c r="B34" s="7" t="inlineStr">
        <is>
          <t>Días entre firma e inicio del plazo</t>
        </is>
      </c>
      <c r="C34" s="68">
        <f>MAX(0,C33-C31)</f>
        <v>1</v>
      </c>
    </row>
    <row r="35">
      <c r="B35" s="7" t="inlineStr">
        <is>
          <t>Renta proporcional (R/30 × días)</t>
        </is>
      </c>
      <c r="C35" s="21">
        <f>C24/30*C34</f>
        <v>1126.92759548881</v>
      </c>
    </row>
    <row r="36">
      <c r="B36" s="7" t="inlineStr">
        <is>
          <t>Comisión banco / alianza</t>
        </is>
      </c>
      <c r="C36" s="21">
        <f>inp_ComBanco</f>
        <v>0</v>
      </c>
    </row>
    <row r="37">
      <c r="B37" s="7" t="inlineStr">
        <is>
          <t>Factor de fondeo por días  (1+fa/base)^(−días)</t>
        </is>
      </c>
      <c r="C37" s="72">
        <f>(1+C12/par_BaseDias)^(-C34)</f>
        <v>0.999430879637984</v>
      </c>
    </row>
    <row r="38">
      <c r="B38" s="7" t="inlineStr">
        <is>
          <t>Número de pagos en la tabla</t>
        </is>
      </c>
      <c r="C38" s="68">
        <f>C5+IF(C6&gt;0,C6,IF(C23&gt;0,1,0))</f>
        <v>25</v>
      </c>
    </row>
    <row r="39">
      <c r="B39" s="7" t="inlineStr">
        <is>
          <t>Desembolso del arrendador en la firma</t>
        </is>
      </c>
      <c r="C39" s="21">
        <f>-(C15+C17+C18)</f>
        <v>-758450</v>
      </c>
    </row>
    <row r="40">
      <c r="B40" s="7" t="inlineStr">
        <is>
          <t>Cobros en la firma (enganche+comisión+renta prop.+depósito−com. banco)</t>
        </is>
      </c>
      <c r="C40" s="21">
        <f>C16+C28+C35+C30-C36</f>
        <v>84334.1079184995</v>
      </c>
    </row>
    <row r="41">
      <c r="B41" s="7" t="inlineStr">
        <is>
          <t>Flujo neto del arrendador en la firma</t>
        </is>
      </c>
      <c r="C41" s="21">
        <f>C39+C40</f>
        <v>-674115.892081501</v>
      </c>
    </row>
    <row r="44" ht="30" customHeight="1">
      <c r="A44" s="30" t="inlineStr">
        <is>
          <t>#</t>
        </is>
      </c>
      <c r="B44" s="30" t="inlineStr">
        <is>
          <t>Concepto</t>
        </is>
      </c>
      <c r="C44" s="30" t="inlineStr">
        <is>
          <t>t</t>
        </is>
      </c>
      <c r="D44" s="30" t="inlineStr">
        <is>
          <t>Fecha</t>
        </is>
      </c>
      <c r="E44" s="30" t="inlineStr">
        <is>
          <t>Saldo inicial</t>
        </is>
      </c>
      <c r="F44" s="30" t="inlineStr">
        <is>
          <t>Pago s/IVA</t>
        </is>
      </c>
      <c r="G44" s="30" t="inlineStr">
        <is>
          <t>Interés</t>
        </is>
      </c>
      <c r="H44" s="30" t="inlineStr">
        <is>
          <t>Capital</t>
        </is>
      </c>
      <c r="I44" s="30" t="inlineStr">
        <is>
          <t>Saldo final</t>
        </is>
      </c>
      <c r="J44" s="30" t="inlineStr">
        <is>
          <t>IVA</t>
        </is>
      </c>
      <c r="K44" s="30" t="inlineStr">
        <is>
          <t>Total c/IVA</t>
        </is>
      </c>
      <c r="L44" s="30" t="inlineStr">
        <is>
          <t>Flujo arrendador</t>
        </is>
      </c>
      <c r="M44" s="30" t="inlineStr">
        <is>
          <t>Factor desc.</t>
        </is>
      </c>
      <c r="N44" s="30" t="inlineStr">
        <is>
          <t>VP flujo</t>
        </is>
      </c>
      <c r="O44" s="30" t="inlineStr">
        <is>
          <t>Flujo S/R</t>
        </is>
      </c>
      <c r="P44" s="30" t="inlineStr">
        <is>
          <t>Fecha (XIRR)</t>
        </is>
      </c>
      <c r="Q44" s="30" t="inlineStr">
        <is>
          <t>Flujo XIRR</t>
        </is>
      </c>
      <c r="R44" s="30" t="inlineStr">
        <is>
          <t>Flujo cliente (CAT)</t>
        </is>
      </c>
      <c r="S44" s="30" t="inlineStr">
        <is>
          <t>VP flujo S/R</t>
        </is>
      </c>
    </row>
    <row r="45">
      <c r="A45" s="75" t="n">
        <v>0</v>
      </c>
      <c r="B45" s="75" t="inlineStr">
        <is>
          <t>Firma / desembolso</t>
        </is>
      </c>
      <c r="C45" s="75" t="n">
        <v>0</v>
      </c>
      <c r="D45" s="75">
        <f>C31</f>
        <v>46295.0</v>
      </c>
      <c r="E45" s="76" t="n"/>
      <c r="F45" s="76" t="n"/>
      <c r="G45" s="76" t="n"/>
      <c r="H45" s="76" t="n"/>
      <c r="I45" s="76" t="n"/>
      <c r="J45" s="76" t="n"/>
      <c r="K45" s="76" t="n"/>
      <c r="L45" s="75">
        <f>C41</f>
        <v>-674115.892081501</v>
      </c>
      <c r="M45" s="76" t="n"/>
      <c r="N45" s="76" t="n"/>
      <c r="O45" s="76" t="n"/>
      <c r="P45" s="75">
        <f>C31</f>
        <v>46295.0</v>
      </c>
      <c r="Q45" s="75">
        <f>C41</f>
        <v>-674115.892081501</v>
      </c>
      <c r="R45" s="75">
        <f>C19-C28-C35</f>
        <v>713332.972404511</v>
      </c>
      <c r="S45" s="76" t="n"/>
    </row>
    <row r="46">
      <c r="A46" s="7" t="n">
        <v>1</v>
      </c>
      <c r="B46" s="7" t="str">
        <f>IF(A46&gt;$C$38,"",IF(A46&lt;=$C$5,"Básico",IF($C$6&gt;0,"Sucesivo","Opción de compra")))</f>
        <v>Básico</v>
      </c>
      <c r="C46" s="7">
        <f>IF(B46="","",IF(B46="Opción de compra",$C$5,A46-$C$7))</f>
        <v>0</v>
      </c>
      <c r="D46" s="77">
        <f>IF(B46="","",EDATE($C$33,C46))</f>
        <v>46296.0</v>
      </c>
      <c r="E46" s="59">
        <f>IF(B46="","",$C$19)</f>
        <v>720527.5</v>
      </c>
      <c r="F46" s="59">
        <f>IF(B46="","",IF(B46="Básico",$C$24,IF(B46="Sucesivo",$C$25,$C$26)))</f>
        <v>33807.8278646643</v>
      </c>
      <c r="G46" s="59">
        <f>IF(B46="","",IF(B46="Opción de compra",0,(E46-$C$7*F46)*IF(B46="Sucesivo",$C$11,$C$9)))</f>
        <v>9728.52868858392</v>
      </c>
      <c r="H46" s="59">
        <f>IF(B46="","",F46-G46)</f>
        <v>24079.2991760804</v>
      </c>
      <c r="I46" s="59">
        <f>IF(B46="","",E46-H46)</f>
        <v>696448.20082392</v>
      </c>
      <c r="J46" s="59">
        <f>IF(B46="","",IF(OR(inp_Tipo="Arrendamiento Puro",par_BaseIVAFin="Sobre renta",B46="Opción de compra"),F46,G46)*$C$14)</f>
        <v>5409.25245834629</v>
      </c>
      <c r="K46" s="59">
        <f>IF(B46="","",F46+J46)</f>
        <v>39217.0803230106</v>
      </c>
      <c r="L46" s="59">
        <f>IF(B46="","",F46-IF(A46=$C$38,$C$30,0))</f>
        <v>33807.8278646643</v>
      </c>
      <c r="M46" s="78">
        <f>IF(B46="","",$C$37*(1+$C$13)^(-C46))</f>
        <v>0.999430879637984</v>
      </c>
      <c r="N46" s="59">
        <f>IF(B46="","",L46*M46)</f>
        <v>33788.587141431</v>
      </c>
      <c r="O46" s="59">
        <f>IF(B46="","",IF(B46="Básico",F46,0)-IF(A46=$C$38,$C$30,0))</f>
        <v>33807.8278646643</v>
      </c>
      <c r="P46" s="77">
        <f>IF(B46="",$C$31,D46)</f>
        <v>46296.0</v>
      </c>
      <c r="Q46" s="59">
        <f>IF(B46="",0,L46)</f>
        <v>33807.8278646643</v>
      </c>
      <c r="R46" s="59">
        <f>IF(B46="",0,-F46)</f>
        <v>-33807.8278646643</v>
      </c>
      <c r="S46" s="59">
        <f>IF(B46="","",O46*M46)</f>
        <v>33788.587141431</v>
      </c>
    </row>
    <row r="47">
      <c r="A47" s="7" t="n">
        <v>2</v>
      </c>
      <c r="B47" s="7" t="str">
        <f>IF(A47&gt;$C$38,"",IF(A47&lt;=$C$5,"Básico",IF($C$6&gt;0,"Sucesivo","Opción de compra")))</f>
        <v>Básico</v>
      </c>
      <c r="C47" s="7">
        <f>IF(B47="","",IF(B47="Opción de compra",$C$5,A47-$C$7))</f>
        <v>1</v>
      </c>
      <c r="D47" s="77">
        <f>IF(B47="","",EDATE($C$33,C47))</f>
        <v>46327.0</v>
      </c>
      <c r="E47" s="59">
        <f>IF(B47="","",I46)</f>
        <v>696448.20082392</v>
      </c>
      <c r="F47" s="59">
        <f>IF(B47="","",IF(B47="Básico",$C$24,IF(B47="Sucesivo",$C$25,$C$26)))</f>
        <v>33807.8278646643</v>
      </c>
      <c r="G47" s="59">
        <f>IF(B47="","",IF(B47="Opción de compra",0,(E47-$C$7*F47)*IF(B47="Sucesivo",$C$11,$C$9)))</f>
        <v>9387.40528358945</v>
      </c>
      <c r="H47" s="59">
        <f>IF(B47="","",F47-G47)</f>
        <v>24420.4225810749</v>
      </c>
      <c r="I47" s="59">
        <f>IF(B47="","",E47-H47)</f>
        <v>672027.778242845</v>
      </c>
      <c r="J47" s="59">
        <f>IF(B47="","",IF(OR(inp_Tipo="Arrendamiento Puro",par_BaseIVAFin="Sobre renta",B47="Opción de compra"),F47,G47)*$C$14)</f>
        <v>5409.25245834629</v>
      </c>
      <c r="K47" s="59">
        <f>IF(B47="","",F47+J47)</f>
        <v>39217.0803230106</v>
      </c>
      <c r="L47" s="59">
        <f>IF(B47="","",F47-IF(A47=$C$38,$C$30,0))</f>
        <v>33807.8278646643</v>
      </c>
      <c r="M47" s="78">
        <f>IF(B47="","",$C$37*(1+$C$13)^(-C47))</f>
        <v>0.982644043888227</v>
      </c>
      <c r="N47" s="59">
        <f>IF(B47="","",L47*M47)</f>
        <v>33221.0606880108</v>
      </c>
      <c r="O47" s="59">
        <f>IF(B47="","",IF(B47="Básico",F47,0)-IF(A47=$C$38,$C$30,0))</f>
        <v>33807.8278646643</v>
      </c>
      <c r="P47" s="77">
        <f>IF(B47="",$C$31,D47)</f>
        <v>46327.0</v>
      </c>
      <c r="Q47" s="59">
        <f>IF(B47="",0,L47)</f>
        <v>33807.8278646643</v>
      </c>
      <c r="R47" s="59">
        <f>IF(B47="",0,-F47)</f>
        <v>-33807.8278646643</v>
      </c>
      <c r="S47" s="59">
        <f>IF(B47="","",O47*M47)</f>
        <v>33221.0606880108</v>
      </c>
    </row>
    <row r="48">
      <c r="A48" s="7" t="n">
        <v>3</v>
      </c>
      <c r="B48" s="7" t="str">
        <f>IF(A48&gt;$C$38,"",IF(A48&lt;=$C$5,"Básico",IF($C$6&gt;0,"Sucesivo","Opción de compra")))</f>
        <v>Básico</v>
      </c>
      <c r="C48" s="7">
        <f>IF(B48="","",IF(B48="Opción de compra",$C$5,A48-$C$7))</f>
        <v>2</v>
      </c>
      <c r="D48" s="77">
        <f>IF(B48="","",EDATE($C$33,C48))</f>
        <v>46357.0</v>
      </c>
      <c r="E48" s="59">
        <f>IF(B48="","",I47)</f>
        <v>672027.778242845</v>
      </c>
      <c r="F48" s="59">
        <f>IF(B48="","",IF(B48="Básico",$C$24,IF(B48="Sucesivo",$C$25,$C$26)))</f>
        <v>33807.8278646643</v>
      </c>
      <c r="G48" s="59">
        <f>IF(B48="","",IF(B48="Opción de compra",0,(E48-$C$7*F48)*IF(B48="Sucesivo",$C$11,$C$9)))</f>
        <v>9041.44929702422</v>
      </c>
      <c r="H48" s="59">
        <f>IF(B48="","",F48-G48)</f>
        <v>24766.3785676401</v>
      </c>
      <c r="I48" s="59">
        <f>IF(B48="","",E48-H48)</f>
        <v>647261.399675205</v>
      </c>
      <c r="J48" s="59">
        <f>IF(B48="","",IF(OR(inp_Tipo="Arrendamiento Puro",par_BaseIVAFin="Sobre renta",B48="Opción de compra"),F48,G48)*$C$14)</f>
        <v>5409.25245834629</v>
      </c>
      <c r="K48" s="59">
        <f>IF(B48="","",F48+J48)</f>
        <v>39217.0803230106</v>
      </c>
      <c r="L48" s="59">
        <f>IF(B48="","",F48-IF(A48=$C$38,$C$30,0))</f>
        <v>33807.8278646643</v>
      </c>
      <c r="M48" s="78">
        <f>IF(B48="","",$C$37*(1+$C$13)^(-C48))</f>
        <v>0.966139166461182</v>
      </c>
      <c r="N48" s="59">
        <f>IF(B48="","",L48*M48)</f>
        <v>32663.0666330299</v>
      </c>
      <c r="O48" s="59">
        <f>IF(B48="","",IF(B48="Básico",F48,0)-IF(A48=$C$38,$C$30,0))</f>
        <v>33807.8278646643</v>
      </c>
      <c r="P48" s="77">
        <f>IF(B48="",$C$31,D48)</f>
        <v>46357.0</v>
      </c>
      <c r="Q48" s="59">
        <f>IF(B48="",0,L48)</f>
        <v>33807.8278646643</v>
      </c>
      <c r="R48" s="59">
        <f>IF(B48="",0,-F48)</f>
        <v>-33807.8278646643</v>
      </c>
      <c r="S48" s="59">
        <f>IF(B48="","",O48*M48)</f>
        <v>32663.0666330299</v>
      </c>
    </row>
    <row r="49">
      <c r="A49" s="7" t="n">
        <v>4</v>
      </c>
      <c r="B49" s="7" t="str">
        <f>IF(A49&gt;$C$38,"",IF(A49&lt;=$C$5,"Básico",IF($C$6&gt;0,"Sucesivo","Opción de compra")))</f>
        <v>Básico</v>
      </c>
      <c r="C49" s="7">
        <f>IF(B49="","",IF(B49="Opción de compra",$C$5,A49-$C$7))</f>
        <v>3</v>
      </c>
      <c r="D49" s="77">
        <f>IF(B49="","",EDATE($C$33,C49))</f>
        <v>46388.0</v>
      </c>
      <c r="E49" s="59">
        <f>IF(B49="","",I48)</f>
        <v>647261.399675205</v>
      </c>
      <c r="F49" s="59">
        <f>IF(B49="","",IF(B49="Básico",$C$24,IF(B49="Sucesivo",$C$25,$C$26)))</f>
        <v>33807.8278646643</v>
      </c>
      <c r="G49" s="59">
        <f>IF(B49="","",IF(B49="Opción de compra",0,(E49-$C$7*F49)*IF(B49="Sucesivo",$C$11,$C$9)))</f>
        <v>8690.59226731599</v>
      </c>
      <c r="H49" s="59">
        <f>IF(B49="","",F49-G49)</f>
        <v>25117.2355973484</v>
      </c>
      <c r="I49" s="59">
        <f>IF(B49="","",E49-H49)</f>
        <v>622144.164077856</v>
      </c>
      <c r="J49" s="59">
        <f>IF(B49="","",IF(OR(inp_Tipo="Arrendamiento Puro",par_BaseIVAFin="Sobre renta",B49="Opción de compra"),F49,G49)*$C$14)</f>
        <v>5409.25245834629</v>
      </c>
      <c r="K49" s="59">
        <f>IF(B49="","",F49+J49)</f>
        <v>39217.0803230106</v>
      </c>
      <c r="L49" s="59">
        <f>IF(B49="","",F49-IF(A49=$C$38,$C$30,0))</f>
        <v>33807.8278646643</v>
      </c>
      <c r="M49" s="78">
        <f>IF(B49="","",$C$37*(1+$C$13)^(-C49))</f>
        <v>0.949911511473509</v>
      </c>
      <c r="N49" s="59">
        <f>IF(B49="","",L49*M49)</f>
        <v>32114.4448665595</v>
      </c>
      <c r="O49" s="59">
        <f>IF(B49="","",IF(B49="Básico",F49,0)-IF(A49=$C$38,$C$30,0))</f>
        <v>33807.8278646643</v>
      </c>
      <c r="P49" s="77">
        <f>IF(B49="",$C$31,D49)</f>
        <v>46388.0</v>
      </c>
      <c r="Q49" s="59">
        <f>IF(B49="",0,L49)</f>
        <v>33807.8278646643</v>
      </c>
      <c r="R49" s="59">
        <f>IF(B49="",0,-F49)</f>
        <v>-33807.8278646643</v>
      </c>
      <c r="S49" s="59">
        <f>IF(B49="","",O49*M49)</f>
        <v>32114.4448665595</v>
      </c>
    </row>
    <row r="50">
      <c r="A50" s="7" t="n">
        <v>5</v>
      </c>
      <c r="B50" s="7" t="str">
        <f>IF(A50&gt;$C$38,"",IF(A50&lt;=$C$5,"Básico",IF($C$6&gt;0,"Sucesivo","Opción de compra")))</f>
        <v>Básico</v>
      </c>
      <c r="C50" s="7">
        <f>IF(B50="","",IF(B50="Opción de compra",$C$5,A50-$C$7))</f>
        <v>4</v>
      </c>
      <c r="D50" s="77">
        <f>IF(B50="","",EDATE($C$33,C50))</f>
        <v>46419.0</v>
      </c>
      <c r="E50" s="59">
        <f>IF(B50="","",I49)</f>
        <v>622144.164077856</v>
      </c>
      <c r="F50" s="59">
        <f>IF(B50="","",IF(B50="Básico",$C$24,IF(B50="Sucesivo",$C$25,$C$26)))</f>
        <v>33807.8278646643</v>
      </c>
      <c r="G50" s="59">
        <f>IF(B50="","",IF(B50="Opción de compra",0,(E50-$C$7*F50)*IF(B50="Sucesivo",$C$11,$C$9)))</f>
        <v>8334.76476302022</v>
      </c>
      <c r="H50" s="59">
        <f>IF(B50="","",F50-G50)</f>
        <v>25473.0631016441</v>
      </c>
      <c r="I50" s="59">
        <f>IF(B50="","",E50-H50)</f>
        <v>596671.100976212</v>
      </c>
      <c r="J50" s="59">
        <f>IF(B50="","",IF(OR(inp_Tipo="Arrendamiento Puro",par_BaseIVAFin="Sobre renta",B50="Opción de compra"),F50,G50)*$C$14)</f>
        <v>5409.25245834629</v>
      </c>
      <c r="K50" s="59">
        <f>IF(B50="","",F50+J50)</f>
        <v>39217.0803230106</v>
      </c>
      <c r="L50" s="59">
        <f>IF(B50="","",F50-IF(A50=$C$38,$C$30,0))</f>
        <v>33807.8278646643</v>
      </c>
      <c r="M50" s="78">
        <f>IF(B50="","",$C$37*(1+$C$13)^(-C50))</f>
        <v>0.933956422587637</v>
      </c>
      <c r="N50" s="59">
        <f>IF(B50="","",L50*M50)</f>
        <v>31575.0379679405</v>
      </c>
      <c r="O50" s="59">
        <f>IF(B50="","",IF(B50="Básico",F50,0)-IF(A50=$C$38,$C$30,0))</f>
        <v>33807.8278646643</v>
      </c>
      <c r="P50" s="77">
        <f>IF(B50="",$C$31,D50)</f>
        <v>46419.0</v>
      </c>
      <c r="Q50" s="59">
        <f>IF(B50="",0,L50)</f>
        <v>33807.8278646643</v>
      </c>
      <c r="R50" s="59">
        <f>IF(B50="",0,-F50)</f>
        <v>-33807.8278646643</v>
      </c>
      <c r="S50" s="59">
        <f>IF(B50="","",O50*M50)</f>
        <v>31575.0379679405</v>
      </c>
    </row>
    <row r="51">
      <c r="A51" s="7" t="n">
        <v>6</v>
      </c>
      <c r="B51" s="7" t="str">
        <f>IF(A51&gt;$C$38,"",IF(A51&lt;=$C$5,"Básico",IF($C$6&gt;0,"Sucesivo","Opción de compra")))</f>
        <v>Básico</v>
      </c>
      <c r="C51" s="7">
        <f>IF(B51="","",IF(B51="Opción de compra",$C$5,A51-$C$7))</f>
        <v>5</v>
      </c>
      <c r="D51" s="77">
        <f>IF(B51="","",EDATE($C$33,C51))</f>
        <v>46447.0</v>
      </c>
      <c r="E51" s="59">
        <f>IF(B51="","",I50)</f>
        <v>596671.100976212</v>
      </c>
      <c r="F51" s="59">
        <f>IF(B51="","",IF(B51="Básico",$C$24,IF(B51="Sucesivo",$C$25,$C$26)))</f>
        <v>33807.8278646643</v>
      </c>
      <c r="G51" s="59">
        <f>IF(B51="","",IF(B51="Opción de compra",0,(E51-$C$7*F51)*IF(B51="Sucesivo",$C$11,$C$9)))</f>
        <v>7973.89636908026</v>
      </c>
      <c r="H51" s="59">
        <f>IF(B51="","",F51-G51)</f>
        <v>25833.9314955841</v>
      </c>
      <c r="I51" s="59">
        <f>IF(B51="","",E51-H51)</f>
        <v>570837.169480628</v>
      </c>
      <c r="J51" s="59">
        <f>IF(B51="","",IF(OR(inp_Tipo="Arrendamiento Puro",par_BaseIVAFin="Sobre renta",B51="Opción de compra"),F51,G51)*$C$14)</f>
        <v>5409.25245834629</v>
      </c>
      <c r="K51" s="59">
        <f>IF(B51="","",F51+J51)</f>
        <v>39217.0803230106</v>
      </c>
      <c r="L51" s="59">
        <f>IF(B51="","",F51-IF(A51=$C$38,$C$30,0))</f>
        <v>33807.8278646643</v>
      </c>
      <c r="M51" s="78">
        <f>IF(B51="","",$C$37*(1+$C$13)^(-C51))</f>
        <v>0.918269321675677</v>
      </c>
      <c r="N51" s="59">
        <f>IF(B51="","",L51*M51)</f>
        <v>31044.6911606134</v>
      </c>
      <c r="O51" s="59">
        <f>IF(B51="","",IF(B51="Básico",F51,0)-IF(A51=$C$38,$C$30,0))</f>
        <v>33807.8278646643</v>
      </c>
      <c r="P51" s="77">
        <f>IF(B51="",$C$31,D51)</f>
        <v>46447.0</v>
      </c>
      <c r="Q51" s="59">
        <f>IF(B51="",0,L51)</f>
        <v>33807.8278646643</v>
      </c>
      <c r="R51" s="59">
        <f>IF(B51="",0,-F51)</f>
        <v>-33807.8278646643</v>
      </c>
      <c r="S51" s="59">
        <f>IF(B51="","",O51*M51)</f>
        <v>31044.6911606134</v>
      </c>
    </row>
    <row r="52">
      <c r="A52" s="7" t="n">
        <v>7</v>
      </c>
      <c r="B52" s="7" t="str">
        <f>IF(A52&gt;$C$38,"",IF(A52&lt;=$C$5,"Básico",IF($C$6&gt;0,"Sucesivo","Opción de compra")))</f>
        <v>Básico</v>
      </c>
      <c r="C52" s="7">
        <f>IF(B52="","",IF(B52="Opción de compra",$C$5,A52-$C$7))</f>
        <v>6</v>
      </c>
      <c r="D52" s="77">
        <f>IF(B52="","",EDATE($C$33,C52))</f>
        <v>46478.0</v>
      </c>
      <c r="E52" s="59">
        <f>IF(B52="","",I51)</f>
        <v>570837.169480628</v>
      </c>
      <c r="F52" s="59">
        <f>IF(B52="","",IF(B52="Básico",$C$24,IF(B52="Sucesivo",$C$25,$C$26)))</f>
        <v>33807.8278646643</v>
      </c>
      <c r="G52" s="59">
        <f>IF(B52="","",IF(B52="Opción de compra",0,(E52-$C$7*F52)*IF(B52="Sucesivo",$C$11,$C$9)))</f>
        <v>7607.91567289282</v>
      </c>
      <c r="H52" s="59">
        <f>IF(B52="","",F52-G52)</f>
        <v>26199.9121917715</v>
      </c>
      <c r="I52" s="59">
        <f>IF(B52="","",E52-H52)</f>
        <v>544637.257288857</v>
      </c>
      <c r="J52" s="59">
        <f>IF(B52="","",IF(OR(inp_Tipo="Arrendamiento Puro",par_BaseIVAFin="Sobre renta",B52="Opción de compra"),F52,G52)*$C$14)</f>
        <v>5409.25245834629</v>
      </c>
      <c r="K52" s="59">
        <f>IF(B52="","",F52+J52)</f>
        <v>39217.0803230106</v>
      </c>
      <c r="L52" s="59">
        <f>IF(B52="","",F52-IF(A52=$C$38,$C$30,0))</f>
        <v>33807.8278646643</v>
      </c>
      <c r="M52" s="78">
        <f>IF(B52="","",$C$37*(1+$C$13)^(-C52))</f>
        <v>0.902845707505787</v>
      </c>
      <c r="N52" s="59">
        <f>IF(B52="","",L52*M52)</f>
        <v>30523.2522677067</v>
      </c>
      <c r="O52" s="59">
        <f>IF(B52="","",IF(B52="Básico",F52,0)-IF(A52=$C$38,$C$30,0))</f>
        <v>33807.8278646643</v>
      </c>
      <c r="P52" s="77">
        <f>IF(B52="",$C$31,D52)</f>
        <v>46478.0</v>
      </c>
      <c r="Q52" s="59">
        <f>IF(B52="",0,L52)</f>
        <v>33807.8278646643</v>
      </c>
      <c r="R52" s="59">
        <f>IF(B52="",0,-F52)</f>
        <v>-33807.8278646643</v>
      </c>
      <c r="S52" s="59">
        <f>IF(B52="","",O52*M52)</f>
        <v>30523.2522677067</v>
      </c>
    </row>
    <row r="53">
      <c r="A53" s="7" t="n">
        <v>8</v>
      </c>
      <c r="B53" s="7" t="str">
        <f>IF(A53&gt;$C$38,"",IF(A53&lt;=$C$5,"Básico",IF($C$6&gt;0,"Sucesivo","Opción de compra")))</f>
        <v>Básico</v>
      </c>
      <c r="C53" s="7">
        <f>IF(B53="","",IF(B53="Opción de compra",$C$5,A53-$C$7))</f>
        <v>7</v>
      </c>
      <c r="D53" s="77">
        <f>IF(B53="","",EDATE($C$33,C53))</f>
        <v>46508.0</v>
      </c>
      <c r="E53" s="59">
        <f>IF(B53="","",I52)</f>
        <v>544637.257288857</v>
      </c>
      <c r="F53" s="59">
        <f>IF(B53="","",IF(B53="Básico",$C$24,IF(B53="Sucesivo",$C$25,$C$26)))</f>
        <v>33807.8278646643</v>
      </c>
      <c r="G53" s="59">
        <f>IF(B53="","",IF(B53="Opción de compra",0,(E53-$C$7*F53)*IF(B53="Sucesivo",$C$11,$C$9)))</f>
        <v>7236.75025017606</v>
      </c>
      <c r="H53" s="59">
        <f>IF(B53="","",F53-G53)</f>
        <v>26571.0776144883</v>
      </c>
      <c r="I53" s="59">
        <f>IF(B53="","",E53-H53)</f>
        <v>518066.179674368</v>
      </c>
      <c r="J53" s="59">
        <f>IF(B53="","",IF(OR(inp_Tipo="Arrendamiento Puro",par_BaseIVAFin="Sobre renta",B53="Opción de compra"),F53,G53)*$C$14)</f>
        <v>5409.25245834629</v>
      </c>
      <c r="K53" s="59">
        <f>IF(B53="","",F53+J53)</f>
        <v>39217.0803230106</v>
      </c>
      <c r="L53" s="59">
        <f>IF(B53="","",F53-IF(A53=$C$38,$C$30,0))</f>
        <v>33807.8278646643</v>
      </c>
      <c r="M53" s="78">
        <f>IF(B53="","",$C$37*(1+$C$13)^(-C53))</f>
        <v>0.887681154450589</v>
      </c>
      <c r="N53" s="59">
        <f>IF(B53="","",L53*M53)</f>
        <v>30010.571668372</v>
      </c>
      <c r="O53" s="59">
        <f>IF(B53="","",IF(B53="Básico",F53,0)-IF(A53=$C$38,$C$30,0))</f>
        <v>33807.8278646643</v>
      </c>
      <c r="P53" s="77">
        <f>IF(B53="",$C$31,D53)</f>
        <v>46508.0</v>
      </c>
      <c r="Q53" s="59">
        <f>IF(B53="",0,L53)</f>
        <v>33807.8278646643</v>
      </c>
      <c r="R53" s="59">
        <f>IF(B53="",0,-F53)</f>
        <v>-33807.8278646643</v>
      </c>
      <c r="S53" s="59">
        <f>IF(B53="","",O53*M53)</f>
        <v>30010.571668372</v>
      </c>
    </row>
    <row r="54">
      <c r="A54" s="7" t="n">
        <v>9</v>
      </c>
      <c r="B54" s="7" t="str">
        <f>IF(A54&gt;$C$38,"",IF(A54&lt;=$C$5,"Básico",IF($C$6&gt;0,"Sucesivo","Opción de compra")))</f>
        <v>Básico</v>
      </c>
      <c r="C54" s="7">
        <f>IF(B54="","",IF(B54="Opción de compra",$C$5,A54-$C$7))</f>
        <v>8</v>
      </c>
      <c r="D54" s="77">
        <f>IF(B54="","",EDATE($C$33,C54))</f>
        <v>46539.0</v>
      </c>
      <c r="E54" s="59">
        <f>IF(B54="","",I53)</f>
        <v>518066.179674368</v>
      </c>
      <c r="F54" s="59">
        <f>IF(B54="","",IF(B54="Básico",$C$24,IF(B54="Sucesivo",$C$25,$C$26)))</f>
        <v>33807.8278646643</v>
      </c>
      <c r="G54" s="59">
        <f>IF(B54="","",IF(B54="Opción de compra",0,(E54-$C$7*F54)*IF(B54="Sucesivo",$C$11,$C$9)))</f>
        <v>6860.32665063747</v>
      </c>
      <c r="H54" s="59">
        <f>IF(B54="","",F54-G54)</f>
        <v>26947.5012140269</v>
      </c>
      <c r="I54" s="59">
        <f>IF(B54="","",E54-H54)</f>
        <v>491118.678460341</v>
      </c>
      <c r="J54" s="59">
        <f>IF(B54="","",IF(OR(inp_Tipo="Arrendamiento Puro",par_BaseIVAFin="Sobre renta",B54="Opción de compra"),F54,G54)*$C$14)</f>
        <v>5409.25245834629</v>
      </c>
      <c r="K54" s="59">
        <f>IF(B54="","",F54+J54)</f>
        <v>39217.0803230106</v>
      </c>
      <c r="L54" s="59">
        <f>IF(B54="","",F54-IF(A54=$C$38,$C$30,0))</f>
        <v>33807.8278646643</v>
      </c>
      <c r="M54" s="78">
        <f>IF(B54="","",$C$37*(1+$C$13)^(-C54))</f>
        <v>0.872771311217294</v>
      </c>
      <c r="N54" s="59">
        <f>IF(B54="","",L54*M54)</f>
        <v>29506.5022548517</v>
      </c>
      <c r="O54" s="59">
        <f>IF(B54="","",IF(B54="Básico",F54,0)-IF(A54=$C$38,$C$30,0))</f>
        <v>33807.8278646643</v>
      </c>
      <c r="P54" s="77">
        <f>IF(B54="",$C$31,D54)</f>
        <v>46539.0</v>
      </c>
      <c r="Q54" s="59">
        <f>IF(B54="",0,L54)</f>
        <v>33807.8278646643</v>
      </c>
      <c r="R54" s="59">
        <f>IF(B54="",0,-F54)</f>
        <v>-33807.8278646643</v>
      </c>
      <c r="S54" s="59">
        <f>IF(B54="","",O54*M54)</f>
        <v>29506.5022548517</v>
      </c>
    </row>
    <row r="55">
      <c r="A55" s="7" t="n">
        <v>10</v>
      </c>
      <c r="B55" s="7" t="str">
        <f>IF(A55&gt;$C$38,"",IF(A55&lt;=$C$5,"Básico",IF($C$6&gt;0,"Sucesivo","Opción de compra")))</f>
        <v>Básico</v>
      </c>
      <c r="C55" s="7">
        <f>IF(B55="","",IF(B55="Opción de compra",$C$5,A55-$C$7))</f>
        <v>9</v>
      </c>
      <c r="D55" s="77">
        <f>IF(B55="","",EDATE($C$33,C55))</f>
        <v>46569.0</v>
      </c>
      <c r="E55" s="59">
        <f>IF(B55="","",I54)</f>
        <v>491118.678460341</v>
      </c>
      <c r="F55" s="59">
        <f>IF(B55="","",IF(B55="Básico",$C$24,IF(B55="Sucesivo",$C$25,$C$26)))</f>
        <v>33807.8278646643</v>
      </c>
      <c r="G55" s="59">
        <f>IF(B55="","",IF(B55="Opción de compra",0,(E55-$C$7*F55)*IF(B55="Sucesivo",$C$11,$C$9)))</f>
        <v>6478.57038343876</v>
      </c>
      <c r="H55" s="59">
        <f>IF(B55="","",F55-G55)</f>
        <v>27329.2574812256</v>
      </c>
      <c r="I55" s="59">
        <f>IF(B55="","",E55-H55)</f>
        <v>463789.420979116</v>
      </c>
      <c r="J55" s="59">
        <f>IF(B55="","",IF(OR(inp_Tipo="Arrendamiento Puro",par_BaseIVAFin="Sobre renta",B55="Opción de compra"),F55,G55)*$C$14)</f>
        <v>5409.25245834629</v>
      </c>
      <c r="K55" s="59">
        <f>IF(B55="","",F55+J55)</f>
        <v>39217.0803230106</v>
      </c>
      <c r="L55" s="59">
        <f>IF(B55="","",F55-IF(A55=$C$38,$C$30,0))</f>
        <v>33807.8278646643</v>
      </c>
      <c r="M55" s="78">
        <f>IF(B55="","",$C$37*(1+$C$13)^(-C55))</f>
        <v>0.858111899599142</v>
      </c>
      <c r="N55" s="59">
        <f>IF(B55="","",L55*M55)</f>
        <v>29010.8993902679</v>
      </c>
      <c r="O55" s="59">
        <f>IF(B55="","",IF(B55="Básico",F55,0)-IF(A55=$C$38,$C$30,0))</f>
        <v>33807.8278646643</v>
      </c>
      <c r="P55" s="77">
        <f>IF(B55="",$C$31,D55)</f>
        <v>46569.0</v>
      </c>
      <c r="Q55" s="59">
        <f>IF(B55="",0,L55)</f>
        <v>33807.8278646643</v>
      </c>
      <c r="R55" s="59">
        <f>IF(B55="",0,-F55)</f>
        <v>-33807.8278646643</v>
      </c>
      <c r="S55" s="59">
        <f>IF(B55="","",O55*M55)</f>
        <v>29010.8993902679</v>
      </c>
    </row>
    <row r="56">
      <c r="A56" s="7" t="n">
        <v>11</v>
      </c>
      <c r="B56" s="7" t="str">
        <f>IF(A56&gt;$C$38,"",IF(A56&lt;=$C$5,"Básico",IF($C$6&gt;0,"Sucesivo","Opción de compra")))</f>
        <v>Básico</v>
      </c>
      <c r="C56" s="7">
        <f>IF(B56="","",IF(B56="Opción de compra",$C$5,A56-$C$7))</f>
        <v>10</v>
      </c>
      <c r="D56" s="77">
        <f>IF(B56="","",EDATE($C$33,C56))</f>
        <v>46600.0</v>
      </c>
      <c r="E56" s="59">
        <f>IF(B56="","",I55)</f>
        <v>463789.420979116</v>
      </c>
      <c r="F56" s="59">
        <f>IF(B56="","",IF(B56="Básico",$C$24,IF(B56="Sucesivo",$C$25,$C$26)))</f>
        <v>33807.8278646643</v>
      </c>
      <c r="G56" s="59">
        <f>IF(B56="","",IF(B56="Opción de compra",0,(E56-$C$7*F56)*IF(B56="Sucesivo",$C$11,$C$9)))</f>
        <v>6091.40590245473</v>
      </c>
      <c r="H56" s="59">
        <f>IF(B56="","",F56-G56)</f>
        <v>27716.4219622096</v>
      </c>
      <c r="I56" s="59">
        <f>IF(B56="","",E56-H56)</f>
        <v>436072.999016906</v>
      </c>
      <c r="J56" s="59">
        <f>IF(B56="","",IF(OR(inp_Tipo="Arrendamiento Puro",par_BaseIVAFin="Sobre renta",B56="Opción de compra"),F56,G56)*$C$14)</f>
        <v>5409.25245834629</v>
      </c>
      <c r="K56" s="59">
        <f>IF(B56="","",F56+J56)</f>
        <v>39217.0803230106</v>
      </c>
      <c r="L56" s="59">
        <f>IF(B56="","",F56-IF(A56=$C$38,$C$30,0))</f>
        <v>33807.8278646643</v>
      </c>
      <c r="M56" s="78">
        <f>IF(B56="","",$C$37*(1+$C$13)^(-C56))</f>
        <v>0.843698713247825</v>
      </c>
      <c r="N56" s="59">
        <f>IF(B56="","",L56*M56)</f>
        <v>28523.6208671213</v>
      </c>
      <c r="O56" s="59">
        <f>IF(B56="","",IF(B56="Básico",F56,0)-IF(A56=$C$38,$C$30,0))</f>
        <v>33807.8278646643</v>
      </c>
      <c r="P56" s="77">
        <f>IF(B56="",$C$31,D56)</f>
        <v>46600.0</v>
      </c>
      <c r="Q56" s="59">
        <f>IF(B56="",0,L56)</f>
        <v>33807.8278646643</v>
      </c>
      <c r="R56" s="59">
        <f>IF(B56="",0,-F56)</f>
        <v>-33807.8278646643</v>
      </c>
      <c r="S56" s="59">
        <f>IF(B56="","",O56*M56)</f>
        <v>28523.6208671213</v>
      </c>
    </row>
    <row r="57">
      <c r="A57" s="7" t="n">
        <v>12</v>
      </c>
      <c r="B57" s="7" t="str">
        <f>IF(A57&gt;$C$38,"",IF(A57&lt;=$C$5,"Básico",IF($C$6&gt;0,"Sucesivo","Opción de compra")))</f>
        <v>Básico</v>
      </c>
      <c r="C57" s="7">
        <f>IF(B57="","",IF(B57="Opción de compra",$C$5,A57-$C$7))</f>
        <v>11</v>
      </c>
      <c r="D57" s="77">
        <f>IF(B57="","",EDATE($C$33,C57))</f>
        <v>46631.0</v>
      </c>
      <c r="E57" s="59">
        <f>IF(B57="","",I56)</f>
        <v>436072.999016906</v>
      </c>
      <c r="F57" s="59">
        <f>IF(B57="","",IF(B57="Básico",$C$24,IF(B57="Sucesivo",$C$25,$C$26)))</f>
        <v>33807.8278646643</v>
      </c>
      <c r="G57" s="59">
        <f>IF(B57="","",IF(B57="Opción de compra",0,(E57-$C$7*F57)*IF(B57="Sucesivo",$C$11,$C$9)))</f>
        <v>5698.75659132343</v>
      </c>
      <c r="H57" s="59">
        <f>IF(B57="","",F57-G57)</f>
        <v>28109.0712733409</v>
      </c>
      <c r="I57" s="59">
        <f>IF(B57="","",E57-H57)</f>
        <v>407963.927743565</v>
      </c>
      <c r="J57" s="59">
        <f>IF(B57="","",IF(OR(inp_Tipo="Arrendamiento Puro",par_BaseIVAFin="Sobre renta",B57="Opción de compra"),F57,G57)*$C$14)</f>
        <v>5409.25245834629</v>
      </c>
      <c r="K57" s="59">
        <f>IF(B57="","",F57+J57)</f>
        <v>39217.0803230106</v>
      </c>
      <c r="L57" s="59">
        <f>IF(B57="","",F57-IF(A57=$C$38,$C$30,0))</f>
        <v>33807.8278646643</v>
      </c>
      <c r="M57" s="78">
        <f>IF(B57="","",$C$37*(1+$C$13)^(-C57))</f>
        <v>0.829527616466522</v>
      </c>
      <c r="N57" s="59">
        <f>IF(B57="","",L57*M57)</f>
        <v>28044.5268664855</v>
      </c>
      <c r="O57" s="59">
        <f>IF(B57="","",IF(B57="Básico",F57,0)-IF(A57=$C$38,$C$30,0))</f>
        <v>33807.8278646643</v>
      </c>
      <c r="P57" s="77">
        <f>IF(B57="",$C$31,D57)</f>
        <v>46631.0</v>
      </c>
      <c r="Q57" s="59">
        <f>IF(B57="",0,L57)</f>
        <v>33807.8278646643</v>
      </c>
      <c r="R57" s="59">
        <f>IF(B57="",0,-F57)</f>
        <v>-33807.8278646643</v>
      </c>
      <c r="S57" s="59">
        <f>IF(B57="","",O57*M57)</f>
        <v>28044.5268664855</v>
      </c>
    </row>
    <row r="58">
      <c r="A58" s="7" t="n">
        <v>13</v>
      </c>
      <c r="B58" s="7" t="str">
        <f>IF(A58&gt;$C$38,"",IF(A58&lt;=$C$5,"Básico",IF($C$6&gt;0,"Sucesivo","Opción de compra")))</f>
        <v>Básico</v>
      </c>
      <c r="C58" s="7">
        <f>IF(B58="","",IF(B58="Opción de compra",$C$5,A58-$C$7))</f>
        <v>12</v>
      </c>
      <c r="D58" s="77">
        <f>IF(B58="","",EDATE($C$33,C58))</f>
        <v>46661.0</v>
      </c>
      <c r="E58" s="59">
        <f>IF(B58="","",I57)</f>
        <v>407963.927743565</v>
      </c>
      <c r="F58" s="59">
        <f>IF(B58="","",IF(B58="Básico",$C$24,IF(B58="Sucesivo",$C$25,$C$26)))</f>
        <v>33807.8278646643</v>
      </c>
      <c r="G58" s="59">
        <f>IF(B58="","",IF(B58="Opción de compra",0,(E58-$C$7*F58)*IF(B58="Sucesivo",$C$11,$C$9)))</f>
        <v>5300.54474828443</v>
      </c>
      <c r="H58" s="59">
        <f>IF(B58="","",F58-G58)</f>
        <v>28507.2831163799</v>
      </c>
      <c r="I58" s="59">
        <f>IF(B58="","",E58-H58)</f>
        <v>379456.644627185</v>
      </c>
      <c r="J58" s="59">
        <f>IF(B58="","",IF(OR(inp_Tipo="Arrendamiento Puro",par_BaseIVAFin="Sobre renta",B58="Opción de compra"),F58,G58)*$C$14)</f>
        <v>5409.25245834629</v>
      </c>
      <c r="K58" s="59">
        <f>IF(B58="","",F58+J58)</f>
        <v>39217.0803230106</v>
      </c>
      <c r="L58" s="59">
        <f>IF(B58="","",F58-IF(A58=$C$38,$C$30,0))</f>
        <v>33807.8278646643</v>
      </c>
      <c r="M58" s="78">
        <f>IF(B58="","",$C$37*(1+$C$13)^(-C58))</f>
        <v>0.815594543023209</v>
      </c>
      <c r="N58" s="59">
        <f>IF(B58="","",L58*M58)</f>
        <v>27573.4799178882</v>
      </c>
      <c r="O58" s="59">
        <f>IF(B58="","",IF(B58="Básico",F58,0)-IF(A58=$C$38,$C$30,0))</f>
        <v>33807.8278646643</v>
      </c>
      <c r="P58" s="77">
        <f>IF(B58="",$C$31,D58)</f>
        <v>46661.0</v>
      </c>
      <c r="Q58" s="59">
        <f>IF(B58="",0,L58)</f>
        <v>33807.8278646643</v>
      </c>
      <c r="R58" s="59">
        <f>IF(B58="",0,-F58)</f>
        <v>-33807.8278646643</v>
      </c>
      <c r="S58" s="59">
        <f>IF(B58="","",O58*M58)</f>
        <v>27573.4799178882</v>
      </c>
    </row>
    <row r="59">
      <c r="A59" s="7" t="n">
        <v>14</v>
      </c>
      <c r="B59" s="7" t="str">
        <f>IF(A59&gt;$C$38,"",IF(A59&lt;=$C$5,"Básico",IF($C$6&gt;0,"Sucesivo","Opción de compra")))</f>
        <v>Básico</v>
      </c>
      <c r="C59" s="7">
        <f>IF(B59="","",IF(B59="Opción de compra",$C$5,A59-$C$7))</f>
        <v>13</v>
      </c>
      <c r="D59" s="77">
        <f>IF(B59="","",EDATE($C$33,C59))</f>
        <v>46692.0</v>
      </c>
      <c r="E59" s="59">
        <f>IF(B59="","",I58)</f>
        <v>379456.644627185</v>
      </c>
      <c r="F59" s="59">
        <f>IF(B59="","",IF(B59="Básico",$C$24,IF(B59="Sucesivo",$C$25,$C$26)))</f>
        <v>33807.8278646643</v>
      </c>
      <c r="G59" s="59">
        <f>IF(B59="","",IF(B59="Opción de compra",0,(E59-$C$7*F59)*IF(B59="Sucesivo",$C$11,$C$9)))</f>
        <v>4896.69157080238</v>
      </c>
      <c r="H59" s="59">
        <f>IF(B59="","",F59-G59)</f>
        <v>28911.136293862</v>
      </c>
      <c r="I59" s="59">
        <f>IF(B59="","",E59-H59)</f>
        <v>350545.508333323</v>
      </c>
      <c r="J59" s="59">
        <f>IF(B59="","",IF(OR(inp_Tipo="Arrendamiento Puro",par_BaseIVAFin="Sobre renta",B59="Opción de compra"),F59,G59)*$C$14)</f>
        <v>5409.25245834629</v>
      </c>
      <c r="K59" s="59">
        <f>IF(B59="","",F59+J59)</f>
        <v>39217.0803230106</v>
      </c>
      <c r="L59" s="59">
        <f>IF(B59="","",F59-IF(A59=$C$38,$C$30,0))</f>
        <v>33807.8278646643</v>
      </c>
      <c r="M59" s="78">
        <f>IF(B59="","",$C$37*(1+$C$13)^(-C59))</f>
        <v>0.8018954949839</v>
      </c>
      <c r="N59" s="59">
        <f>IF(B59="","",L59*M59)</f>
        <v>27110.3448598655</v>
      </c>
      <c r="O59" s="59">
        <f>IF(B59="","",IF(B59="Básico",F59,0)-IF(A59=$C$38,$C$30,0))</f>
        <v>33807.8278646643</v>
      </c>
      <c r="P59" s="77">
        <f>IF(B59="",$C$31,D59)</f>
        <v>46692.0</v>
      </c>
      <c r="Q59" s="59">
        <f>IF(B59="",0,L59)</f>
        <v>33807.8278646643</v>
      </c>
      <c r="R59" s="59">
        <f>IF(B59="",0,-F59)</f>
        <v>-33807.8278646643</v>
      </c>
      <c r="S59" s="59">
        <f>IF(B59="","",O59*M59)</f>
        <v>27110.3448598655</v>
      </c>
    </row>
    <row r="60">
      <c r="A60" s="7" t="n">
        <v>15</v>
      </c>
      <c r="B60" s="7" t="str">
        <f>IF(A60&gt;$C$38,"",IF(A60&lt;=$C$5,"Básico",IF($C$6&gt;0,"Sucesivo","Opción de compra")))</f>
        <v>Básico</v>
      </c>
      <c r="C60" s="7">
        <f>IF(B60="","",IF(B60="Opción de compra",$C$5,A60-$C$7))</f>
        <v>14</v>
      </c>
      <c r="D60" s="77">
        <f>IF(B60="","",EDATE($C$33,C60))</f>
        <v>46722.0</v>
      </c>
      <c r="E60" s="59">
        <f>IF(B60="","",I59)</f>
        <v>350545.508333323</v>
      </c>
      <c r="F60" s="59">
        <f>IF(B60="","",IF(B60="Básico",$C$24,IF(B60="Sucesivo",$C$25,$C$26)))</f>
        <v>33807.8278646643</v>
      </c>
      <c r="G60" s="59">
        <f>IF(B60="","",IF(B60="Opción de compra",0,(E60-$C$7*F60)*IF(B60="Sucesivo",$C$11,$C$9)))</f>
        <v>4487.11713997267</v>
      </c>
      <c r="H60" s="59">
        <f>IF(B60="","",F60-G60)</f>
        <v>29320.7107246917</v>
      </c>
      <c r="I60" s="59">
        <f>IF(B60="","",E60-H60)</f>
        <v>321224.797608632</v>
      </c>
      <c r="J60" s="59">
        <f>IF(B60="","",IF(OR(inp_Tipo="Arrendamiento Puro",par_BaseIVAFin="Sobre renta",B60="Opción de compra"),F60,G60)*$C$14)</f>
        <v>5409.25245834629</v>
      </c>
      <c r="K60" s="59">
        <f>IF(B60="","",F60+J60)</f>
        <v>39217.0803230106</v>
      </c>
      <c r="L60" s="59">
        <f>IF(B60="","",F60-IF(A60=$C$38,$C$30,0))</f>
        <v>33807.8278646643</v>
      </c>
      <c r="M60" s="78">
        <f>IF(B60="","",$C$37*(1+$C$13)^(-C60))</f>
        <v>0.78842654156549</v>
      </c>
      <c r="N60" s="59">
        <f>IF(B60="","",L60*M60)</f>
        <v>26654.9888011787</v>
      </c>
      <c r="O60" s="59">
        <f>IF(B60="","",IF(B60="Básico",F60,0)-IF(A60=$C$38,$C$30,0))</f>
        <v>33807.8278646643</v>
      </c>
      <c r="P60" s="77">
        <f>IF(B60="",$C$31,D60)</f>
        <v>46722.0</v>
      </c>
      <c r="Q60" s="59">
        <f>IF(B60="",0,L60)</f>
        <v>33807.8278646643</v>
      </c>
      <c r="R60" s="59">
        <f>IF(B60="",0,-F60)</f>
        <v>-33807.8278646643</v>
      </c>
      <c r="S60" s="59">
        <f>IF(B60="","",O60*M60)</f>
        <v>26654.9888011787</v>
      </c>
    </row>
    <row r="61">
      <c r="A61" s="7" t="n">
        <v>16</v>
      </c>
      <c r="B61" s="7" t="str">
        <f>IF(A61&gt;$C$38,"",IF(A61&lt;=$C$5,"Básico",IF($C$6&gt;0,"Sucesivo","Opción de compra")))</f>
        <v>Básico</v>
      </c>
      <c r="C61" s="7">
        <f>IF(B61="","",IF(B61="Opción de compra",$C$5,A61-$C$7))</f>
        <v>15</v>
      </c>
      <c r="D61" s="77">
        <f>IF(B61="","",EDATE($C$33,C61))</f>
        <v>46753.0</v>
      </c>
      <c r="E61" s="59">
        <f>IF(B61="","",I60)</f>
        <v>321224.797608632</v>
      </c>
      <c r="F61" s="59">
        <f>IF(B61="","",IF(B61="Básico",$C$24,IF(B61="Sucesivo",$C$25,$C$26)))</f>
        <v>33807.8278646643</v>
      </c>
      <c r="G61" s="59">
        <f>IF(B61="","",IF(B61="Opción de compra",0,(E61-$C$7*F61)*IF(B61="Sucesivo",$C$11,$C$9)))</f>
        <v>4071.74040470621</v>
      </c>
      <c r="H61" s="59">
        <f>IF(B61="","",F61-G61)</f>
        <v>29736.0874599581</v>
      </c>
      <c r="I61" s="59">
        <f>IF(B61="","",E61-H61)</f>
        <v>291488.710148674</v>
      </c>
      <c r="J61" s="59">
        <f>IF(B61="","",IF(OR(inp_Tipo="Arrendamiento Puro",par_BaseIVAFin="Sobre renta",B61="Opción de compra"),F61,G61)*$C$14)</f>
        <v>5409.25245834629</v>
      </c>
      <c r="K61" s="59">
        <f>IF(B61="","",F61+J61)</f>
        <v>39217.0803230106</v>
      </c>
      <c r="L61" s="59">
        <f>IF(B61="","",F61-IF(A61=$C$38,$C$30,0))</f>
        <v>33807.8278646643</v>
      </c>
      <c r="M61" s="78">
        <f>IF(B61="","",$C$37*(1+$C$13)^(-C61))</f>
        <v>0.775183818007856</v>
      </c>
      <c r="N61" s="59">
        <f>IF(B61="","",L61*M61)</f>
        <v>26207.2810826829</v>
      </c>
      <c r="O61" s="59">
        <f>IF(B61="","",IF(B61="Básico",F61,0)-IF(A61=$C$38,$C$30,0))</f>
        <v>33807.8278646643</v>
      </c>
      <c r="P61" s="77">
        <f>IF(B61="",$C$31,D61)</f>
        <v>46753.0</v>
      </c>
      <c r="Q61" s="59">
        <f>IF(B61="",0,L61)</f>
        <v>33807.8278646643</v>
      </c>
      <c r="R61" s="59">
        <f>IF(B61="",0,-F61)</f>
        <v>-33807.8278646643</v>
      </c>
      <c r="S61" s="59">
        <f>IF(B61="","",O61*M61)</f>
        <v>26207.2810826829</v>
      </c>
    </row>
    <row r="62">
      <c r="A62" s="7" t="n">
        <v>17</v>
      </c>
      <c r="B62" s="7" t="str">
        <f>IF(A62&gt;$C$38,"",IF(A62&lt;=$C$5,"Básico",IF($C$6&gt;0,"Sucesivo","Opción de compra")))</f>
        <v>Básico</v>
      </c>
      <c r="C62" s="7">
        <f>IF(B62="","",IF(B62="Opción de compra",$C$5,A62-$C$7))</f>
        <v>16</v>
      </c>
      <c r="D62" s="77">
        <f>IF(B62="","",EDATE($C$33,C62))</f>
        <v>46784.0</v>
      </c>
      <c r="E62" s="59">
        <f>IF(B62="","",I61)</f>
        <v>291488.710148674</v>
      </c>
      <c r="F62" s="59">
        <f>IF(B62="","",IF(B62="Básico",$C$24,IF(B62="Sucesivo",$C$25,$C$26)))</f>
        <v>33807.8278646643</v>
      </c>
      <c r="G62" s="59">
        <f>IF(B62="","",IF(B62="Opción de compra",0,(E62-$C$7*F62)*IF(B62="Sucesivo",$C$11,$C$9)))</f>
        <v>3650.47916569013</v>
      </c>
      <c r="H62" s="59">
        <f>IF(B62="","",F62-G62)</f>
        <v>30157.3486989742</v>
      </c>
      <c r="I62" s="59">
        <f>IF(B62="","",E62-H62)</f>
        <v>261331.361449699</v>
      </c>
      <c r="J62" s="59">
        <f>IF(B62="","",IF(OR(inp_Tipo="Arrendamiento Puro",par_BaseIVAFin="Sobre renta",B62="Opción de compra"),F62,G62)*$C$14)</f>
        <v>5409.25245834629</v>
      </c>
      <c r="K62" s="59">
        <f>IF(B62="","",F62+J62)</f>
        <v>39217.0803230106</v>
      </c>
      <c r="L62" s="59">
        <f>IF(B62="","",F62-IF(A62=$C$38,$C$30,0))</f>
        <v>33807.8278646643</v>
      </c>
      <c r="M62" s="78">
        <f>IF(B62="","",$C$37*(1+$C$13)^(-C62))</f>
        <v>0.762163524464913</v>
      </c>
      <c r="N62" s="59">
        <f>IF(B62="","",L62*M62)</f>
        <v>25767.0932398357</v>
      </c>
      <c r="O62" s="59">
        <f>IF(B62="","",IF(B62="Básico",F62,0)-IF(A62=$C$38,$C$30,0))</f>
        <v>33807.8278646643</v>
      </c>
      <c r="P62" s="77">
        <f>IF(B62="",$C$31,D62)</f>
        <v>46784.0</v>
      </c>
      <c r="Q62" s="59">
        <f>IF(B62="",0,L62)</f>
        <v>33807.8278646643</v>
      </c>
      <c r="R62" s="59">
        <f>IF(B62="",0,-F62)</f>
        <v>-33807.8278646643</v>
      </c>
      <c r="S62" s="59">
        <f>IF(B62="","",O62*M62)</f>
        <v>25767.0932398357</v>
      </c>
    </row>
    <row r="63">
      <c r="A63" s="7" t="n">
        <v>18</v>
      </c>
      <c r="B63" s="7" t="str">
        <f>IF(A63&gt;$C$38,"",IF(A63&lt;=$C$5,"Básico",IF($C$6&gt;0,"Sucesivo","Opción de compra")))</f>
        <v>Básico</v>
      </c>
      <c r="C63" s="7">
        <f>IF(B63="","",IF(B63="Opción de compra",$C$5,A63-$C$7))</f>
        <v>17</v>
      </c>
      <c r="D63" s="77">
        <f>IF(B63="","",EDATE($C$33,C63))</f>
        <v>46813.0</v>
      </c>
      <c r="E63" s="59">
        <f>IF(B63="","",I62)</f>
        <v>261331.361449699</v>
      </c>
      <c r="F63" s="59">
        <f>IF(B63="","",IF(B63="Básico",$C$24,IF(B63="Sucesivo",$C$25,$C$26)))</f>
        <v>33807.8278646643</v>
      </c>
      <c r="G63" s="59">
        <f>IF(B63="","",IF(B63="Opción de compra",0,(E63-$C$7*F63)*IF(B63="Sucesivo",$C$11,$C$9)))</f>
        <v>3223.25005912133</v>
      </c>
      <c r="H63" s="59">
        <f>IF(B63="","",F63-G63)</f>
        <v>30584.577805543</v>
      </c>
      <c r="I63" s="59">
        <f>IF(B63="","",E63-H63)</f>
        <v>230746.783644156</v>
      </c>
      <c r="J63" s="59">
        <f>IF(B63="","",IF(OR(inp_Tipo="Arrendamiento Puro",par_BaseIVAFin="Sobre renta",B63="Opción de compra"),F63,G63)*$C$14)</f>
        <v>5409.25245834629</v>
      </c>
      <c r="K63" s="59">
        <f>IF(B63="","",F63+J63)</f>
        <v>39217.0803230106</v>
      </c>
      <c r="L63" s="59">
        <f>IF(B63="","",F63-IF(A63=$C$38,$C$30,0))</f>
        <v>33807.8278646643</v>
      </c>
      <c r="M63" s="78">
        <f>IF(B63="","",$C$37*(1+$C$13)^(-C63))</f>
        <v>0.749361924914294</v>
      </c>
      <c r="N63" s="59">
        <f>IF(B63="","",L63*M63)</f>
        <v>25334.298965836</v>
      </c>
      <c r="O63" s="59">
        <f>IF(B63="","",IF(B63="Básico",F63,0)-IF(A63=$C$38,$C$30,0))</f>
        <v>33807.8278646643</v>
      </c>
      <c r="P63" s="77">
        <f>IF(B63="",$C$31,D63)</f>
        <v>46813.0</v>
      </c>
      <c r="Q63" s="59">
        <f>IF(B63="",0,L63)</f>
        <v>33807.8278646643</v>
      </c>
      <c r="R63" s="59">
        <f>IF(B63="",0,-F63)</f>
        <v>-33807.8278646643</v>
      </c>
      <c r="S63" s="59">
        <f>IF(B63="","",O63*M63)</f>
        <v>25334.298965836</v>
      </c>
    </row>
    <row r="64">
      <c r="A64" s="7" t="n">
        <v>19</v>
      </c>
      <c r="B64" s="7" t="str">
        <f>IF(A64&gt;$C$38,"",IF(A64&lt;=$C$5,"Básico",IF($C$6&gt;0,"Sucesivo","Opción de compra")))</f>
        <v>Básico</v>
      </c>
      <c r="C64" s="7">
        <f>IF(B64="","",IF(B64="Opción de compra",$C$5,A64-$C$7))</f>
        <v>18</v>
      </c>
      <c r="D64" s="77">
        <f>IF(B64="","",EDATE($C$33,C64))</f>
        <v>46844.0</v>
      </c>
      <c r="E64" s="59">
        <f>IF(B64="","",I63)</f>
        <v>230746.783644156</v>
      </c>
      <c r="F64" s="59">
        <f>IF(B64="","",IF(B64="Básico",$C$24,IF(B64="Sucesivo",$C$25,$C$26)))</f>
        <v>33807.8278646643</v>
      </c>
      <c r="G64" s="59">
        <f>IF(B64="","",IF(B64="Opción de compra",0,(E64-$C$7*F64)*IF(B64="Sucesivo",$C$11,$C$9)))</f>
        <v>2789.96854020947</v>
      </c>
      <c r="H64" s="59">
        <f>IF(B64="","",F64-G64)</f>
        <v>31017.8593244549</v>
      </c>
      <c r="I64" s="59">
        <f>IF(B64="","",E64-H64)</f>
        <v>199728.924319702</v>
      </c>
      <c r="J64" s="59">
        <f>IF(B64="","",IF(OR(inp_Tipo="Arrendamiento Puro",par_BaseIVAFin="Sobre renta",B64="Opción de compra"),F64,G64)*$C$14)</f>
        <v>5409.25245834629</v>
      </c>
      <c r="K64" s="59">
        <f>IF(B64="","",F64+J64)</f>
        <v>39217.0803230106</v>
      </c>
      <c r="L64" s="59">
        <f>IF(B64="","",F64-IF(A64=$C$38,$C$30,0))</f>
        <v>33807.8278646643</v>
      </c>
      <c r="M64" s="78">
        <f>IF(B64="","",$C$37*(1+$C$13)^(-C64))</f>
        <v>0.736775346085336</v>
      </c>
      <c r="N64" s="59">
        <f>IF(B64="","",L64*M64)</f>
        <v>24908.7740753815</v>
      </c>
      <c r="O64" s="59">
        <f>IF(B64="","",IF(B64="Básico",F64,0)-IF(A64=$C$38,$C$30,0))</f>
        <v>33807.8278646643</v>
      </c>
      <c r="P64" s="77">
        <f>IF(B64="",$C$31,D64)</f>
        <v>46844.0</v>
      </c>
      <c r="Q64" s="59">
        <f>IF(B64="",0,L64)</f>
        <v>33807.8278646643</v>
      </c>
      <c r="R64" s="59">
        <f>IF(B64="",0,-F64)</f>
        <v>-33807.8278646643</v>
      </c>
      <c r="S64" s="59">
        <f>IF(B64="","",O64*M64)</f>
        <v>24908.7740753815</v>
      </c>
    </row>
    <row r="65">
      <c r="A65" s="7" t="n">
        <v>20</v>
      </c>
      <c r="B65" s="7" t="str">
        <f>IF(A65&gt;$C$38,"",IF(A65&lt;=$C$5,"Básico",IF($C$6&gt;0,"Sucesivo","Opción de compra")))</f>
        <v>Básico</v>
      </c>
      <c r="C65" s="7">
        <f>IF(B65="","",IF(B65="Opción de compra",$C$5,A65-$C$7))</f>
        <v>19</v>
      </c>
      <c r="D65" s="77">
        <f>IF(B65="","",EDATE($C$33,C65))</f>
        <v>46874.0</v>
      </c>
      <c r="E65" s="59">
        <f>IF(B65="","",I64)</f>
        <v>199728.924319702</v>
      </c>
      <c r="F65" s="59">
        <f>IF(B65="","",IF(B65="Básico",$C$24,IF(B65="Sucesivo",$C$25,$C$26)))</f>
        <v>33807.8278646643</v>
      </c>
      <c r="G65" s="59">
        <f>IF(B65="","",IF(B65="Opción de compra",0,(E65-$C$7*F65)*IF(B65="Sucesivo",$C$11,$C$9)))</f>
        <v>2350.54886644636</v>
      </c>
      <c r="H65" s="59">
        <f>IF(B65="","",F65-G65)</f>
        <v>31457.278998218</v>
      </c>
      <c r="I65" s="59">
        <f>IF(B65="","",E65-H65)</f>
        <v>168271.645321484</v>
      </c>
      <c r="J65" s="59">
        <f>IF(B65="","",IF(OR(inp_Tipo="Arrendamiento Puro",par_BaseIVAFin="Sobre renta",B65="Opción de compra"),F65,G65)*$C$14)</f>
        <v>5409.25245834629</v>
      </c>
      <c r="K65" s="59">
        <f>IF(B65="","",F65+J65)</f>
        <v>39217.0803230106</v>
      </c>
      <c r="L65" s="59">
        <f>IF(B65="","",F65-IF(A65=$C$38,$C$30,0))</f>
        <v>33807.8278646643</v>
      </c>
      <c r="M65" s="78">
        <f>IF(B65="","",$C$37*(1+$C$13)^(-C65))</f>
        <v>0.724400176405083</v>
      </c>
      <c r="N65" s="59">
        <f>IF(B65="","",L65*M65)</f>
        <v>24490.3964690355</v>
      </c>
      <c r="O65" s="59">
        <f>IF(B65="","",IF(B65="Básico",F65,0)-IF(A65=$C$38,$C$30,0))</f>
        <v>33807.8278646643</v>
      </c>
      <c r="P65" s="77">
        <f>IF(B65="",$C$31,D65)</f>
        <v>46874.0</v>
      </c>
      <c r="Q65" s="59">
        <f>IF(B65="",0,L65)</f>
        <v>33807.8278646643</v>
      </c>
      <c r="R65" s="59">
        <f>IF(B65="",0,-F65)</f>
        <v>-33807.8278646643</v>
      </c>
      <c r="S65" s="59">
        <f>IF(B65="","",O65*M65)</f>
        <v>24490.3964690355</v>
      </c>
    </row>
    <row r="66">
      <c r="A66" s="7" t="n">
        <v>21</v>
      </c>
      <c r="B66" s="7" t="str">
        <f>IF(A66&gt;$C$38,"",IF(A66&lt;=$C$5,"Básico",IF($C$6&gt;0,"Sucesivo","Opción de compra")))</f>
        <v>Básico</v>
      </c>
      <c r="C66" s="7">
        <f>IF(B66="","",IF(B66="Opción de compra",$C$5,A66-$C$7))</f>
        <v>20</v>
      </c>
      <c r="D66" s="77">
        <f>IF(B66="","",EDATE($C$33,C66))</f>
        <v>46905.0</v>
      </c>
      <c r="E66" s="59">
        <f>IF(B66="","",I65)</f>
        <v>168271.645321484</v>
      </c>
      <c r="F66" s="59">
        <f>IF(B66="","",IF(B66="Básico",$C$24,IF(B66="Sucesivo",$C$25,$C$26)))</f>
        <v>33807.8278646643</v>
      </c>
      <c r="G66" s="59">
        <f>IF(B66="","",IF(B66="Opción de compra",0,(E66-$C$7*F66)*IF(B66="Sucesivo",$C$11,$C$9)))</f>
        <v>1904.90408063827</v>
      </c>
      <c r="H66" s="59">
        <f>IF(B66="","",F66-G66)</f>
        <v>31902.9237840261</v>
      </c>
      <c r="I66" s="59">
        <f>IF(B66="","",E66-H66)</f>
        <v>136368.721537457</v>
      </c>
      <c r="J66" s="59">
        <f>IF(B66="","",IF(OR(inp_Tipo="Arrendamiento Puro",par_BaseIVAFin="Sobre renta",B66="Opción de compra"),F66,G66)*$C$14)</f>
        <v>5409.25245834629</v>
      </c>
      <c r="K66" s="59">
        <f>IF(B66="","",F66+J66)</f>
        <v>39217.0803230106</v>
      </c>
      <c r="L66" s="59">
        <f>IF(B66="","",F66-IF(A66=$C$38,$C$30,0))</f>
        <v>33807.8278646643</v>
      </c>
      <c r="M66" s="78">
        <f>IF(B66="","",$C$37*(1+$C$13)^(-C66))</f>
        <v>0.712232864961982</v>
      </c>
      <c r="N66" s="59">
        <f>IF(B66="","",L66*M66)</f>
        <v>24079.0460981914</v>
      </c>
      <c r="O66" s="59">
        <f>IF(B66="","",IF(B66="Básico",F66,0)-IF(A66=$C$38,$C$30,0))</f>
        <v>33807.8278646643</v>
      </c>
      <c r="P66" s="77">
        <f>IF(B66="",$C$31,D66)</f>
        <v>46905.0</v>
      </c>
      <c r="Q66" s="59">
        <f>IF(B66="",0,L66)</f>
        <v>33807.8278646643</v>
      </c>
      <c r="R66" s="59">
        <f>IF(B66="",0,-F66)</f>
        <v>-33807.8278646643</v>
      </c>
      <c r="S66" s="59">
        <f>IF(B66="","",O66*M66)</f>
        <v>24079.0460981914</v>
      </c>
    </row>
    <row r="67">
      <c r="A67" s="7" t="n">
        <v>22</v>
      </c>
      <c r="B67" s="7" t="str">
        <f>IF(A67&gt;$C$38,"",IF(A67&lt;=$C$5,"Básico",IF($C$6&gt;0,"Sucesivo","Opción de compra")))</f>
        <v>Básico</v>
      </c>
      <c r="C67" s="7">
        <f>IF(B67="","",IF(B67="Opción de compra",$C$5,A67-$C$7))</f>
        <v>21</v>
      </c>
      <c r="D67" s="77">
        <f>IF(B67="","",EDATE($C$33,C67))</f>
        <v>46935.0</v>
      </c>
      <c r="E67" s="59">
        <f>IF(B67="","",I66)</f>
        <v>136368.721537457</v>
      </c>
      <c r="F67" s="59">
        <f>IF(B67="","",IF(B67="Básico",$C$24,IF(B67="Sucesivo",$C$25,$C$26)))</f>
        <v>33807.8278646643</v>
      </c>
      <c r="G67" s="59">
        <f>IF(B67="","",IF(B67="Opción de compra",0,(E67-$C$7*F67)*IF(B67="Sucesivo",$C$11,$C$9)))</f>
        <v>1452.9459936979</v>
      </c>
      <c r="H67" s="59">
        <f>IF(B67="","",F67-G67)</f>
        <v>32354.8818709664</v>
      </c>
      <c r="I67" s="59">
        <f>IF(B67="","",E67-H67)</f>
        <v>104013.839666491</v>
      </c>
      <c r="J67" s="59">
        <f>IF(B67="","",IF(OR(inp_Tipo="Arrendamiento Puro",par_BaseIVAFin="Sobre renta",B67="Opción de compra"),F67,G67)*$C$14)</f>
        <v>5409.25245834629</v>
      </c>
      <c r="K67" s="59">
        <f>IF(B67="","",F67+J67)</f>
        <v>39217.0803230106</v>
      </c>
      <c r="L67" s="59">
        <f>IF(B67="","",F67-IF(A67=$C$38,$C$30,0))</f>
        <v>33807.8278646643</v>
      </c>
      <c r="M67" s="78">
        <f>IF(B67="","",$C$37*(1+$C$13)^(-C67))</f>
        <v>0.700269920486996</v>
      </c>
      <c r="N67" s="59">
        <f>IF(B67="","",L67*M67)</f>
        <v>23674.6049306266</v>
      </c>
      <c r="O67" s="59">
        <f>IF(B67="","",IF(B67="Básico",F67,0)-IF(A67=$C$38,$C$30,0))</f>
        <v>33807.8278646643</v>
      </c>
      <c r="P67" s="77">
        <f>IF(B67="",$C$31,D67)</f>
        <v>46935.0</v>
      </c>
      <c r="Q67" s="59">
        <f>IF(B67="",0,L67)</f>
        <v>33807.8278646643</v>
      </c>
      <c r="R67" s="59">
        <f>IF(B67="",0,-F67)</f>
        <v>-33807.8278646643</v>
      </c>
      <c r="S67" s="59">
        <f>IF(B67="","",O67*M67)</f>
        <v>23674.6049306266</v>
      </c>
    </row>
    <row r="68">
      <c r="A68" s="7" t="n">
        <v>23</v>
      </c>
      <c r="B68" s="7" t="str">
        <f>IF(A68&gt;$C$38,"",IF(A68&lt;=$C$5,"Básico",IF($C$6&gt;0,"Sucesivo","Opción de compra")))</f>
        <v>Básico</v>
      </c>
      <c r="C68" s="7">
        <f>IF(B68="","",IF(B68="Opción de compra",$C$5,A68-$C$7))</f>
        <v>22</v>
      </c>
      <c r="D68" s="77">
        <f>IF(B68="","",EDATE($C$33,C68))</f>
        <v>46966.0</v>
      </c>
      <c r="E68" s="59">
        <f>IF(B68="","",I67)</f>
        <v>104013.839666491</v>
      </c>
      <c r="F68" s="59">
        <f>IF(B68="","",IF(B68="Básico",$C$24,IF(B68="Sucesivo",$C$25,$C$26)))</f>
        <v>33807.8278646643</v>
      </c>
      <c r="G68" s="59">
        <f>IF(B68="","",IF(B68="Opción de compra",0,(E68-$C$7*F68)*IF(B68="Sucesivo",$C$11,$C$9)))</f>
        <v>994.585167192545</v>
      </c>
      <c r="H68" s="59">
        <f>IF(B68="","",F68-G68)</f>
        <v>32813.2426974718</v>
      </c>
      <c r="I68" s="59">
        <f>IF(B68="","",E68-H68)</f>
        <v>71200.5969690192</v>
      </c>
      <c r="J68" s="59">
        <f>IF(B68="","",IF(OR(inp_Tipo="Arrendamiento Puro",par_BaseIVAFin="Sobre renta",B68="Opción de compra"),F68,G68)*$C$14)</f>
        <v>5409.25245834629</v>
      </c>
      <c r="K68" s="59">
        <f>IF(B68="","",F68+J68)</f>
        <v>39217.0803230106</v>
      </c>
      <c r="L68" s="59">
        <f>IF(B68="","",F68-IF(A68=$C$38,$C$30,0))</f>
        <v>33807.8278646643</v>
      </c>
      <c r="M68" s="78">
        <f>IF(B68="","",$C$37*(1+$C$13)^(-C68))</f>
        <v>0.688507910351819</v>
      </c>
      <c r="N68" s="59">
        <f>IF(B68="","",L68*M68)</f>
        <v>23276.9569166341</v>
      </c>
      <c r="O68" s="59">
        <f>IF(B68="","",IF(B68="Básico",F68,0)-IF(A68=$C$38,$C$30,0))</f>
        <v>33807.8278646643</v>
      </c>
      <c r="P68" s="77">
        <f>IF(B68="",$C$31,D68)</f>
        <v>46966.0</v>
      </c>
      <c r="Q68" s="59">
        <f>IF(B68="",0,L68)</f>
        <v>33807.8278646643</v>
      </c>
      <c r="R68" s="59">
        <f>IF(B68="",0,-F68)</f>
        <v>-33807.8278646643</v>
      </c>
      <c r="S68" s="59">
        <f>IF(B68="","",O68*M68)</f>
        <v>23276.9569166341</v>
      </c>
    </row>
    <row r="69">
      <c r="A69" s="7" t="n">
        <v>24</v>
      </c>
      <c r="B69" s="7" t="str">
        <f>IF(A69&gt;$C$38,"",IF(A69&lt;=$C$5,"Básico",IF($C$6&gt;0,"Sucesivo","Opción de compra")))</f>
        <v>Básico</v>
      </c>
      <c r="C69" s="7">
        <f>IF(B69="","",IF(B69="Opción de compra",$C$5,A69-$C$7))</f>
        <v>23</v>
      </c>
      <c r="D69" s="77">
        <f>IF(B69="","",EDATE($C$33,C69))</f>
        <v>46997.0</v>
      </c>
      <c r="E69" s="59">
        <f>IF(B69="","",I68)</f>
        <v>71200.5969690192</v>
      </c>
      <c r="F69" s="59">
        <f>IF(B69="","",IF(B69="Básico",$C$24,IF(B69="Sucesivo",$C$25,$C$26)))</f>
        <v>33807.8278646643</v>
      </c>
      <c r="G69" s="59">
        <f>IF(B69="","",IF(B69="Opción de compra",0,(E69-$C$7*F69)*IF(B69="Sucesivo",$C$11,$C$9)))</f>
        <v>529.730895645028</v>
      </c>
      <c r="H69" s="59">
        <f>IF(B69="","",F69-G69)</f>
        <v>33278.0969690193</v>
      </c>
      <c r="I69" s="59">
        <f>IF(B69="","",E69-H69)</f>
        <v>37922.4999999999</v>
      </c>
      <c r="J69" s="59">
        <f>IF(B69="","",IF(OR(inp_Tipo="Arrendamiento Puro",par_BaseIVAFin="Sobre renta",B69="Opción de compra"),F69,G69)*$C$14)</f>
        <v>5409.25245834629</v>
      </c>
      <c r="K69" s="59">
        <f>IF(B69="","",F69+J69)</f>
        <v>39217.0803230106</v>
      </c>
      <c r="L69" s="59">
        <f>IF(B69="","",F69-IF(A69=$C$38,$C$30,0))</f>
        <v>33807.8278646643</v>
      </c>
      <c r="M69" s="78">
        <f>IF(B69="","",$C$37*(1+$C$13)^(-C69))</f>
        <v>0.676943459583927</v>
      </c>
      <c r="N69" s="59">
        <f>IF(B69="","",L69*M69)</f>
        <v>22885.9879557238</v>
      </c>
      <c r="O69" s="59">
        <f>IF(B69="","",IF(B69="Básico",F69,0)-IF(A69=$C$38,$C$30,0))</f>
        <v>33807.8278646643</v>
      </c>
      <c r="P69" s="77">
        <f>IF(B69="",$C$31,D69)</f>
        <v>46997.0</v>
      </c>
      <c r="Q69" s="59">
        <f>IF(B69="",0,L69)</f>
        <v>33807.8278646643</v>
      </c>
      <c r="R69" s="59">
        <f>IF(B69="",0,-F69)</f>
        <v>-33807.8278646643</v>
      </c>
      <c r="S69" s="59">
        <f>IF(B69="","",O69*M69)</f>
        <v>22885.9879557238</v>
      </c>
    </row>
    <row r="70">
      <c r="A70" s="7" t="n">
        <v>25</v>
      </c>
      <c r="B70" s="7" t="str">
        <f>IF(A70&gt;$C$38,"",IF(A70&lt;=$C$5,"Básico",IF($C$6&gt;0,"Sucesivo","Opción de compra")))</f>
        <v>Sucesivo</v>
      </c>
      <c r="C70" s="7">
        <f>IF(B70="","",IF(B70="Opción de compra",$C$5,A70-$C$7))</f>
        <v>24</v>
      </c>
      <c r="D70" s="77">
        <f>IF(B70="","",EDATE($C$33,C70))</f>
        <v>47027.0</v>
      </c>
      <c r="E70" s="59">
        <f>IF(B70="","",I69)</f>
        <v>37922.4999999999</v>
      </c>
      <c r="F70" s="59">
        <f>IF(B70="","",IF(B70="Básico",$C$24,IF(B70="Sucesivo",$C$25,$C$26)))</f>
        <v>37922.5</v>
      </c>
      <c r="G70" s="59">
        <f>IF(B70="","",IF(B70="Opción de compra",0,(E70-$C$7*F70)*IF(B70="Sucesivo",$C$11,$C$9)))</f>
        <v>0</v>
      </c>
      <c r="H70" s="59">
        <f>IF(B70="","",F70-G70)</f>
        <v>37922.5</v>
      </c>
      <c r="I70" s="59">
        <f>IF(B70="","",E70-H70)</f>
        <v>0</v>
      </c>
      <c r="J70" s="59">
        <f>IF(B70="","",IF(OR(inp_Tipo="Arrendamiento Puro",par_BaseIVAFin="Sobre renta",B70="Opción de compra"),F70,G70)*$C$14)</f>
        <v>6067.6</v>
      </c>
      <c r="K70" s="59">
        <f>IF(B70="","",F70+J70)</f>
        <v>43990.1</v>
      </c>
      <c r="L70" s="59">
        <f>IF(B70="","",F70-IF(A70=$C$38,$C$30,0))</f>
        <v>-1294.58032301063</v>
      </c>
      <c r="M70" s="78">
        <f>IF(B70="","",$C$37*(1+$C$13)^(-C70))</f>
        <v>0.665573249898167</v>
      </c>
      <c r="N70" s="59">
        <f>IF(B70="","",L70*M70)</f>
        <v>-861.638032840405</v>
      </c>
      <c r="O70" s="59">
        <f>IF(B70="","",IF(B70="Básico",F70,0)-IF(A70=$C$38,$C$30,0))</f>
        <v>-39217.0803230106</v>
      </c>
      <c r="P70" s="77">
        <f>IF(B70="",$C$31,D70)</f>
        <v>47027.0</v>
      </c>
      <c r="Q70" s="59">
        <f>IF(B70="",0,L70)</f>
        <v>-1294.58032301063</v>
      </c>
      <c r="R70" s="59">
        <f>IF(B70="",0,-F70)</f>
        <v>-37922.5</v>
      </c>
      <c r="S70" s="59">
        <f>IF(B70="","",O70*M70)</f>
        <v>-26101.8396021036</v>
      </c>
    </row>
    <row r="71">
      <c r="A71" s="7" t="n">
        <v>26</v>
      </c>
      <c r="B71" s="7" t="str">
        <f>IF(A71&gt;$C$38,"",IF(A71&lt;=$C$5,"Básico",IF($C$6&gt;0,"Sucesivo","Opción de compra")))</f>
        <v/>
      </c>
      <c r="C71" s="7" t="str">
        <f>IF(B71="","",IF(B71="Opción de compra",$C$5,A71-$C$7))</f>
        <v/>
      </c>
      <c r="D71" s="77" t="str">
        <f>IF(B71="","",EDATE($C$33,C71))</f>
        <v/>
      </c>
      <c r="E71" s="59" t="str">
        <f>IF(B71="","",I70)</f>
        <v/>
      </c>
      <c r="F71" s="59" t="str">
        <f>IF(B71="","",IF(B71="Básico",$C$24,IF(B71="Sucesivo",$C$25,$C$26)))</f>
        <v/>
      </c>
      <c r="G71" s="59" t="str">
        <f>IF(B71="","",IF(B71="Opción de compra",0,(E71-$C$7*F71)*IF(B71="Sucesivo",$C$11,$C$9)))</f>
        <v/>
      </c>
      <c r="H71" s="59" t="str">
        <f>IF(B71="","",F71-G71)</f>
        <v/>
      </c>
      <c r="I71" s="59" t="str">
        <f>IF(B71="","",E71-H71)</f>
        <v/>
      </c>
      <c r="J71" s="59" t="str">
        <f>IF(B71="","",IF(OR(inp_Tipo="Arrendamiento Puro",par_BaseIVAFin="Sobre renta",B71="Opción de compra"),F71,G71)*$C$14)</f>
        <v/>
      </c>
      <c r="K71" s="59" t="str">
        <f>IF(B71="","",F71+J71)</f>
        <v/>
      </c>
      <c r="L71" s="59" t="str">
        <f>IF(B71="","",F71-IF(A71=$C$38,$C$30,0))</f>
        <v/>
      </c>
      <c r="M71" s="78" t="str">
        <f>IF(B71="","",$C$37*(1+$C$13)^(-C71))</f>
        <v/>
      </c>
      <c r="N71" s="59" t="str">
        <f>IF(B71="","",L71*M71)</f>
        <v/>
      </c>
      <c r="O71" s="59" t="str">
        <f>IF(B71="","",IF(B71="Básico",F71,0)-IF(A71=$C$38,$C$30,0))</f>
        <v/>
      </c>
      <c r="P71" s="77">
        <f>IF(B71="",$C$31,D71)</f>
        <v>46295.0</v>
      </c>
      <c r="Q71" s="59">
        <f>IF(B71="",0,L71)</f>
        <v>0</v>
      </c>
      <c r="R71" s="59">
        <f>IF(B71="",0,-F71)</f>
        <v>0</v>
      </c>
      <c r="S71" s="59" t="str">
        <f>IF(B71="","",O71*M71)</f>
        <v/>
      </c>
    </row>
    <row r="72">
      <c r="A72" s="7" t="n">
        <v>27</v>
      </c>
      <c r="B72" s="7" t="str">
        <f>IF(A72&gt;$C$38,"",IF(A72&lt;=$C$5,"Básico",IF($C$6&gt;0,"Sucesivo","Opción de compra")))</f>
        <v/>
      </c>
      <c r="C72" s="7" t="str">
        <f>IF(B72="","",IF(B72="Opción de compra",$C$5,A72-$C$7))</f>
        <v/>
      </c>
      <c r="D72" s="77" t="str">
        <f>IF(B72="","",EDATE($C$33,C72))</f>
        <v/>
      </c>
      <c r="E72" s="59" t="str">
        <f>IF(B72="","",I71)</f>
        <v/>
      </c>
      <c r="F72" s="59" t="str">
        <f>IF(B72="","",IF(B72="Básico",$C$24,IF(B72="Sucesivo",$C$25,$C$26)))</f>
        <v/>
      </c>
      <c r="G72" s="59" t="str">
        <f>IF(B72="","",IF(B72="Opción de compra",0,(E72-$C$7*F72)*IF(B72="Sucesivo",$C$11,$C$9)))</f>
        <v/>
      </c>
      <c r="H72" s="59" t="str">
        <f>IF(B72="","",F72-G72)</f>
        <v/>
      </c>
      <c r="I72" s="59" t="str">
        <f>IF(B72="","",E72-H72)</f>
        <v/>
      </c>
      <c r="J72" s="59" t="str">
        <f>IF(B72="","",IF(OR(inp_Tipo="Arrendamiento Puro",par_BaseIVAFin="Sobre renta",B72="Opción de compra"),F72,G72)*$C$14)</f>
        <v/>
      </c>
      <c r="K72" s="59" t="str">
        <f>IF(B72="","",F72+J72)</f>
        <v/>
      </c>
      <c r="L72" s="59" t="str">
        <f>IF(B72="","",F72-IF(A72=$C$38,$C$30,0))</f>
        <v/>
      </c>
      <c r="M72" s="78" t="str">
        <f>IF(B72="","",$C$37*(1+$C$13)^(-C72))</f>
        <v/>
      </c>
      <c r="N72" s="59" t="str">
        <f>IF(B72="","",L72*M72)</f>
        <v/>
      </c>
      <c r="O72" s="59" t="str">
        <f>IF(B72="","",IF(B72="Básico",F72,0)-IF(A72=$C$38,$C$30,0))</f>
        <v/>
      </c>
      <c r="P72" s="77">
        <f>IF(B72="",$C$31,D72)</f>
        <v>46295.0</v>
      </c>
      <c r="Q72" s="59">
        <f>IF(B72="",0,L72)</f>
        <v>0</v>
      </c>
      <c r="R72" s="59">
        <f>IF(B72="",0,-F72)</f>
        <v>0</v>
      </c>
      <c r="S72" s="59" t="str">
        <f>IF(B72="","",O72*M72)</f>
        <v/>
      </c>
    </row>
    <row r="73">
      <c r="A73" s="7" t="n">
        <v>28</v>
      </c>
      <c r="B73" s="7" t="str">
        <f>IF(A73&gt;$C$38,"",IF(A73&lt;=$C$5,"Básico",IF($C$6&gt;0,"Sucesivo","Opción de compra")))</f>
        <v/>
      </c>
      <c r="C73" s="7" t="str">
        <f>IF(B73="","",IF(B73="Opción de compra",$C$5,A73-$C$7))</f>
        <v/>
      </c>
      <c r="D73" s="77" t="str">
        <f>IF(B73="","",EDATE($C$33,C73))</f>
        <v/>
      </c>
      <c r="E73" s="59" t="str">
        <f>IF(B73="","",I72)</f>
        <v/>
      </c>
      <c r="F73" s="59" t="str">
        <f>IF(B73="","",IF(B73="Básico",$C$24,IF(B73="Sucesivo",$C$25,$C$26)))</f>
        <v/>
      </c>
      <c r="G73" s="59" t="str">
        <f>IF(B73="","",IF(B73="Opción de compra",0,(E73-$C$7*F73)*IF(B73="Sucesivo",$C$11,$C$9)))</f>
        <v/>
      </c>
      <c r="H73" s="59" t="str">
        <f>IF(B73="","",F73-G73)</f>
        <v/>
      </c>
      <c r="I73" s="59" t="str">
        <f>IF(B73="","",E73-H73)</f>
        <v/>
      </c>
      <c r="J73" s="59" t="str">
        <f>IF(B73="","",IF(OR(inp_Tipo="Arrendamiento Puro",par_BaseIVAFin="Sobre renta",B73="Opción de compra"),F73,G73)*$C$14)</f>
        <v/>
      </c>
      <c r="K73" s="59" t="str">
        <f>IF(B73="","",F73+J73)</f>
        <v/>
      </c>
      <c r="L73" s="59" t="str">
        <f>IF(B73="","",F73-IF(A73=$C$38,$C$30,0))</f>
        <v/>
      </c>
      <c r="M73" s="78" t="str">
        <f>IF(B73="","",$C$37*(1+$C$13)^(-C73))</f>
        <v/>
      </c>
      <c r="N73" s="59" t="str">
        <f>IF(B73="","",L73*M73)</f>
        <v/>
      </c>
      <c r="O73" s="59" t="str">
        <f>IF(B73="","",IF(B73="Básico",F73,0)-IF(A73=$C$38,$C$30,0))</f>
        <v/>
      </c>
      <c r="P73" s="77">
        <f>IF(B73="",$C$31,D73)</f>
        <v>46295.0</v>
      </c>
      <c r="Q73" s="59">
        <f>IF(B73="",0,L73)</f>
        <v>0</v>
      </c>
      <c r="R73" s="59">
        <f>IF(B73="",0,-F73)</f>
        <v>0</v>
      </c>
      <c r="S73" s="59" t="str">
        <f>IF(B73="","",O73*M73)</f>
        <v/>
      </c>
    </row>
    <row r="74">
      <c r="A74" s="7" t="n">
        <v>29</v>
      </c>
      <c r="B74" s="7" t="str">
        <f>IF(A74&gt;$C$38,"",IF(A74&lt;=$C$5,"Básico",IF($C$6&gt;0,"Sucesivo","Opción de compra")))</f>
        <v/>
      </c>
      <c r="C74" s="7" t="str">
        <f>IF(B74="","",IF(B74="Opción de compra",$C$5,A74-$C$7))</f>
        <v/>
      </c>
      <c r="D74" s="77" t="str">
        <f>IF(B74="","",EDATE($C$33,C74))</f>
        <v/>
      </c>
      <c r="E74" s="59" t="str">
        <f>IF(B74="","",I73)</f>
        <v/>
      </c>
      <c r="F74" s="59" t="str">
        <f>IF(B74="","",IF(B74="Básico",$C$24,IF(B74="Sucesivo",$C$25,$C$26)))</f>
        <v/>
      </c>
      <c r="G74" s="59" t="str">
        <f>IF(B74="","",IF(B74="Opción de compra",0,(E74-$C$7*F74)*IF(B74="Sucesivo",$C$11,$C$9)))</f>
        <v/>
      </c>
      <c r="H74" s="59" t="str">
        <f>IF(B74="","",F74-G74)</f>
        <v/>
      </c>
      <c r="I74" s="59" t="str">
        <f>IF(B74="","",E74-H74)</f>
        <v/>
      </c>
      <c r="J74" s="59" t="str">
        <f>IF(B74="","",IF(OR(inp_Tipo="Arrendamiento Puro",par_BaseIVAFin="Sobre renta",B74="Opción de compra"),F74,G74)*$C$14)</f>
        <v/>
      </c>
      <c r="K74" s="59" t="str">
        <f>IF(B74="","",F74+J74)</f>
        <v/>
      </c>
      <c r="L74" s="59" t="str">
        <f>IF(B74="","",F74-IF(A74=$C$38,$C$30,0))</f>
        <v/>
      </c>
      <c r="M74" s="78" t="str">
        <f>IF(B74="","",$C$37*(1+$C$13)^(-C74))</f>
        <v/>
      </c>
      <c r="N74" s="59" t="str">
        <f>IF(B74="","",L74*M74)</f>
        <v/>
      </c>
      <c r="O74" s="59" t="str">
        <f>IF(B74="","",IF(B74="Básico",F74,0)-IF(A74=$C$38,$C$30,0))</f>
        <v/>
      </c>
      <c r="P74" s="77">
        <f>IF(B74="",$C$31,D74)</f>
        <v>46295.0</v>
      </c>
      <c r="Q74" s="59">
        <f>IF(B74="",0,L74)</f>
        <v>0</v>
      </c>
      <c r="R74" s="59">
        <f>IF(B74="",0,-F74)</f>
        <v>0</v>
      </c>
      <c r="S74" s="59" t="str">
        <f>IF(B74="","",O74*M74)</f>
        <v/>
      </c>
    </row>
    <row r="75">
      <c r="A75" s="7" t="n">
        <v>30</v>
      </c>
      <c r="B75" s="7" t="str">
        <f>IF(A75&gt;$C$38,"",IF(A75&lt;=$C$5,"Básico",IF($C$6&gt;0,"Sucesivo","Opción de compra")))</f>
        <v/>
      </c>
      <c r="C75" s="7" t="str">
        <f>IF(B75="","",IF(B75="Opción de compra",$C$5,A75-$C$7))</f>
        <v/>
      </c>
      <c r="D75" s="77" t="str">
        <f>IF(B75="","",EDATE($C$33,C75))</f>
        <v/>
      </c>
      <c r="E75" s="59" t="str">
        <f>IF(B75="","",I74)</f>
        <v/>
      </c>
      <c r="F75" s="59" t="str">
        <f>IF(B75="","",IF(B75="Básico",$C$24,IF(B75="Sucesivo",$C$25,$C$26)))</f>
        <v/>
      </c>
      <c r="G75" s="59" t="str">
        <f>IF(B75="","",IF(B75="Opción de compra",0,(E75-$C$7*F75)*IF(B75="Sucesivo",$C$11,$C$9)))</f>
        <v/>
      </c>
      <c r="H75" s="59" t="str">
        <f>IF(B75="","",F75-G75)</f>
        <v/>
      </c>
      <c r="I75" s="59" t="str">
        <f>IF(B75="","",E75-H75)</f>
        <v/>
      </c>
      <c r="J75" s="59" t="str">
        <f>IF(B75="","",IF(OR(inp_Tipo="Arrendamiento Puro",par_BaseIVAFin="Sobre renta",B75="Opción de compra"),F75,G75)*$C$14)</f>
        <v/>
      </c>
      <c r="K75" s="59" t="str">
        <f>IF(B75="","",F75+J75)</f>
        <v/>
      </c>
      <c r="L75" s="59" t="str">
        <f>IF(B75="","",F75-IF(A75=$C$38,$C$30,0))</f>
        <v/>
      </c>
      <c r="M75" s="78" t="str">
        <f>IF(B75="","",$C$37*(1+$C$13)^(-C75))</f>
        <v/>
      </c>
      <c r="N75" s="59" t="str">
        <f>IF(B75="","",L75*M75)</f>
        <v/>
      </c>
      <c r="O75" s="59" t="str">
        <f>IF(B75="","",IF(B75="Básico",F75,0)-IF(A75=$C$38,$C$30,0))</f>
        <v/>
      </c>
      <c r="P75" s="77">
        <f>IF(B75="",$C$31,D75)</f>
        <v>46295.0</v>
      </c>
      <c r="Q75" s="59">
        <f>IF(B75="",0,L75)</f>
        <v>0</v>
      </c>
      <c r="R75" s="59">
        <f>IF(B75="",0,-F75)</f>
        <v>0</v>
      </c>
      <c r="S75" s="59" t="str">
        <f>IF(B75="","",O75*M75)</f>
        <v/>
      </c>
    </row>
    <row r="76">
      <c r="A76" s="7" t="n">
        <v>31</v>
      </c>
      <c r="B76" s="7" t="str">
        <f>IF(A76&gt;$C$38,"",IF(A76&lt;=$C$5,"Básico",IF($C$6&gt;0,"Sucesivo","Opción de compra")))</f>
        <v/>
      </c>
      <c r="C76" s="7" t="str">
        <f>IF(B76="","",IF(B76="Opción de compra",$C$5,A76-$C$7))</f>
        <v/>
      </c>
      <c r="D76" s="77" t="str">
        <f>IF(B76="","",EDATE($C$33,C76))</f>
        <v/>
      </c>
      <c r="E76" s="59" t="str">
        <f>IF(B76="","",I75)</f>
        <v/>
      </c>
      <c r="F76" s="59" t="str">
        <f>IF(B76="","",IF(B76="Básico",$C$24,IF(B76="Sucesivo",$C$25,$C$26)))</f>
        <v/>
      </c>
      <c r="G76" s="59" t="str">
        <f>IF(B76="","",IF(B76="Opción de compra",0,(E76-$C$7*F76)*IF(B76="Sucesivo",$C$11,$C$9)))</f>
        <v/>
      </c>
      <c r="H76" s="59" t="str">
        <f>IF(B76="","",F76-G76)</f>
        <v/>
      </c>
      <c r="I76" s="59" t="str">
        <f>IF(B76="","",E76-H76)</f>
        <v/>
      </c>
      <c r="J76" s="59" t="str">
        <f>IF(B76="","",IF(OR(inp_Tipo="Arrendamiento Puro",par_BaseIVAFin="Sobre renta",B76="Opción de compra"),F76,G76)*$C$14)</f>
        <v/>
      </c>
      <c r="K76" s="59" t="str">
        <f>IF(B76="","",F76+J76)</f>
        <v/>
      </c>
      <c r="L76" s="59" t="str">
        <f>IF(B76="","",F76-IF(A76=$C$38,$C$30,0))</f>
        <v/>
      </c>
      <c r="M76" s="78" t="str">
        <f>IF(B76="","",$C$37*(1+$C$13)^(-C76))</f>
        <v/>
      </c>
      <c r="N76" s="59" t="str">
        <f>IF(B76="","",L76*M76)</f>
        <v/>
      </c>
      <c r="O76" s="59" t="str">
        <f>IF(B76="","",IF(B76="Básico",F76,0)-IF(A76=$C$38,$C$30,0))</f>
        <v/>
      </c>
      <c r="P76" s="77">
        <f>IF(B76="",$C$31,D76)</f>
        <v>46295.0</v>
      </c>
      <c r="Q76" s="59">
        <f>IF(B76="",0,L76)</f>
        <v>0</v>
      </c>
      <c r="R76" s="59">
        <f>IF(B76="",0,-F76)</f>
        <v>0</v>
      </c>
      <c r="S76" s="59" t="str">
        <f>IF(B76="","",O76*M76)</f>
        <v/>
      </c>
    </row>
    <row r="77">
      <c r="A77" s="7" t="n">
        <v>32</v>
      </c>
      <c r="B77" s="7" t="str">
        <f>IF(A77&gt;$C$38,"",IF(A77&lt;=$C$5,"Básico",IF($C$6&gt;0,"Sucesivo","Opción de compra")))</f>
        <v/>
      </c>
      <c r="C77" s="7" t="str">
        <f>IF(B77="","",IF(B77="Opción de compra",$C$5,A77-$C$7))</f>
        <v/>
      </c>
      <c r="D77" s="77" t="str">
        <f>IF(B77="","",EDATE($C$33,C77))</f>
        <v/>
      </c>
      <c r="E77" s="59" t="str">
        <f>IF(B77="","",I76)</f>
        <v/>
      </c>
      <c r="F77" s="59" t="str">
        <f>IF(B77="","",IF(B77="Básico",$C$24,IF(B77="Sucesivo",$C$25,$C$26)))</f>
        <v/>
      </c>
      <c r="G77" s="59" t="str">
        <f>IF(B77="","",IF(B77="Opción de compra",0,(E77-$C$7*F77)*IF(B77="Sucesivo",$C$11,$C$9)))</f>
        <v/>
      </c>
      <c r="H77" s="59" t="str">
        <f>IF(B77="","",F77-G77)</f>
        <v/>
      </c>
      <c r="I77" s="59" t="str">
        <f>IF(B77="","",E77-H77)</f>
        <v/>
      </c>
      <c r="J77" s="59" t="str">
        <f>IF(B77="","",IF(OR(inp_Tipo="Arrendamiento Puro",par_BaseIVAFin="Sobre renta",B77="Opción de compra"),F77,G77)*$C$14)</f>
        <v/>
      </c>
      <c r="K77" s="59" t="str">
        <f>IF(B77="","",F77+J77)</f>
        <v/>
      </c>
      <c r="L77" s="59" t="str">
        <f>IF(B77="","",F77-IF(A77=$C$38,$C$30,0))</f>
        <v/>
      </c>
      <c r="M77" s="78" t="str">
        <f>IF(B77="","",$C$37*(1+$C$13)^(-C77))</f>
        <v/>
      </c>
      <c r="N77" s="59" t="str">
        <f>IF(B77="","",L77*M77)</f>
        <v/>
      </c>
      <c r="O77" s="59" t="str">
        <f>IF(B77="","",IF(B77="Básico",F77,0)-IF(A77=$C$38,$C$30,0))</f>
        <v/>
      </c>
      <c r="P77" s="77">
        <f>IF(B77="",$C$31,D77)</f>
        <v>46295.0</v>
      </c>
      <c r="Q77" s="59">
        <f>IF(B77="",0,L77)</f>
        <v>0</v>
      </c>
      <c r="R77" s="59">
        <f>IF(B77="",0,-F77)</f>
        <v>0</v>
      </c>
      <c r="S77" s="59" t="str">
        <f>IF(B77="","",O77*M77)</f>
        <v/>
      </c>
    </row>
    <row r="78">
      <c r="A78" s="7" t="n">
        <v>33</v>
      </c>
      <c r="B78" s="7" t="str">
        <f>IF(A78&gt;$C$38,"",IF(A78&lt;=$C$5,"Básico",IF($C$6&gt;0,"Sucesivo","Opción de compra")))</f>
        <v/>
      </c>
      <c r="C78" s="7" t="str">
        <f>IF(B78="","",IF(B78="Opción de compra",$C$5,A78-$C$7))</f>
        <v/>
      </c>
      <c r="D78" s="77" t="str">
        <f>IF(B78="","",EDATE($C$33,C78))</f>
        <v/>
      </c>
      <c r="E78" s="59" t="str">
        <f>IF(B78="","",I77)</f>
        <v/>
      </c>
      <c r="F78" s="59" t="str">
        <f>IF(B78="","",IF(B78="Básico",$C$24,IF(B78="Sucesivo",$C$25,$C$26)))</f>
        <v/>
      </c>
      <c r="G78" s="59" t="str">
        <f>IF(B78="","",IF(B78="Opción de compra",0,(E78-$C$7*F78)*IF(B78="Sucesivo",$C$11,$C$9)))</f>
        <v/>
      </c>
      <c r="H78" s="59" t="str">
        <f>IF(B78="","",F78-G78)</f>
        <v/>
      </c>
      <c r="I78" s="59" t="str">
        <f>IF(B78="","",E78-H78)</f>
        <v/>
      </c>
      <c r="J78" s="59" t="str">
        <f>IF(B78="","",IF(OR(inp_Tipo="Arrendamiento Puro",par_BaseIVAFin="Sobre renta",B78="Opción de compra"),F78,G78)*$C$14)</f>
        <v/>
      </c>
      <c r="K78" s="59" t="str">
        <f>IF(B78="","",F78+J78)</f>
        <v/>
      </c>
      <c r="L78" s="59" t="str">
        <f>IF(B78="","",F78-IF(A78=$C$38,$C$30,0))</f>
        <v/>
      </c>
      <c r="M78" s="78" t="str">
        <f>IF(B78="","",$C$37*(1+$C$13)^(-C78))</f>
        <v/>
      </c>
      <c r="N78" s="59" t="str">
        <f>IF(B78="","",L78*M78)</f>
        <v/>
      </c>
      <c r="O78" s="59" t="str">
        <f>IF(B78="","",IF(B78="Básico",F78,0)-IF(A78=$C$38,$C$30,0))</f>
        <v/>
      </c>
      <c r="P78" s="77">
        <f>IF(B78="",$C$31,D78)</f>
        <v>46295.0</v>
      </c>
      <c r="Q78" s="59">
        <f>IF(B78="",0,L78)</f>
        <v>0</v>
      </c>
      <c r="R78" s="59">
        <f>IF(B78="",0,-F78)</f>
        <v>0</v>
      </c>
      <c r="S78" s="59" t="str">
        <f>IF(B78="","",O78*M78)</f>
        <v/>
      </c>
    </row>
    <row r="79">
      <c r="A79" s="7" t="n">
        <v>34</v>
      </c>
      <c r="B79" s="7" t="str">
        <f>IF(A79&gt;$C$38,"",IF(A79&lt;=$C$5,"Básico",IF($C$6&gt;0,"Sucesivo","Opción de compra")))</f>
        <v/>
      </c>
      <c r="C79" s="7" t="str">
        <f>IF(B79="","",IF(B79="Opción de compra",$C$5,A79-$C$7))</f>
        <v/>
      </c>
      <c r="D79" s="77" t="str">
        <f>IF(B79="","",EDATE($C$33,C79))</f>
        <v/>
      </c>
      <c r="E79" s="59" t="str">
        <f>IF(B79="","",I78)</f>
        <v/>
      </c>
      <c r="F79" s="59" t="str">
        <f>IF(B79="","",IF(B79="Básico",$C$24,IF(B79="Sucesivo",$C$25,$C$26)))</f>
        <v/>
      </c>
      <c r="G79" s="59" t="str">
        <f>IF(B79="","",IF(B79="Opción de compra",0,(E79-$C$7*F79)*IF(B79="Sucesivo",$C$11,$C$9)))</f>
        <v/>
      </c>
      <c r="H79" s="59" t="str">
        <f>IF(B79="","",F79-G79)</f>
        <v/>
      </c>
      <c r="I79" s="59" t="str">
        <f>IF(B79="","",E79-H79)</f>
        <v/>
      </c>
      <c r="J79" s="59" t="str">
        <f>IF(B79="","",IF(OR(inp_Tipo="Arrendamiento Puro",par_BaseIVAFin="Sobre renta",B79="Opción de compra"),F79,G79)*$C$14)</f>
        <v/>
      </c>
      <c r="K79" s="59" t="str">
        <f>IF(B79="","",F79+J79)</f>
        <v/>
      </c>
      <c r="L79" s="59" t="str">
        <f>IF(B79="","",F79-IF(A79=$C$38,$C$30,0))</f>
        <v/>
      </c>
      <c r="M79" s="78" t="str">
        <f>IF(B79="","",$C$37*(1+$C$13)^(-C79))</f>
        <v/>
      </c>
      <c r="N79" s="59" t="str">
        <f>IF(B79="","",L79*M79)</f>
        <v/>
      </c>
      <c r="O79" s="59" t="str">
        <f>IF(B79="","",IF(B79="Básico",F79,0)-IF(A79=$C$38,$C$30,0))</f>
        <v/>
      </c>
      <c r="P79" s="77">
        <f>IF(B79="",$C$31,D79)</f>
        <v>46295.0</v>
      </c>
      <c r="Q79" s="59">
        <f>IF(B79="",0,L79)</f>
        <v>0</v>
      </c>
      <c r="R79" s="59">
        <f>IF(B79="",0,-F79)</f>
        <v>0</v>
      </c>
      <c r="S79" s="59" t="str">
        <f>IF(B79="","",O79*M79)</f>
        <v/>
      </c>
    </row>
    <row r="80">
      <c r="A80" s="7" t="n">
        <v>35</v>
      </c>
      <c r="B80" s="7" t="str">
        <f>IF(A80&gt;$C$38,"",IF(A80&lt;=$C$5,"Básico",IF($C$6&gt;0,"Sucesivo","Opción de compra")))</f>
        <v/>
      </c>
      <c r="C80" s="7" t="str">
        <f>IF(B80="","",IF(B80="Opción de compra",$C$5,A80-$C$7))</f>
        <v/>
      </c>
      <c r="D80" s="77" t="str">
        <f>IF(B80="","",EDATE($C$33,C80))</f>
        <v/>
      </c>
      <c r="E80" s="59" t="str">
        <f>IF(B80="","",I79)</f>
        <v/>
      </c>
      <c r="F80" s="59" t="str">
        <f>IF(B80="","",IF(B80="Básico",$C$24,IF(B80="Sucesivo",$C$25,$C$26)))</f>
        <v/>
      </c>
      <c r="G80" s="59" t="str">
        <f>IF(B80="","",IF(B80="Opción de compra",0,(E80-$C$7*F80)*IF(B80="Sucesivo",$C$11,$C$9)))</f>
        <v/>
      </c>
      <c r="H80" s="59" t="str">
        <f>IF(B80="","",F80-G80)</f>
        <v/>
      </c>
      <c r="I80" s="59" t="str">
        <f>IF(B80="","",E80-H80)</f>
        <v/>
      </c>
      <c r="J80" s="59" t="str">
        <f>IF(B80="","",IF(OR(inp_Tipo="Arrendamiento Puro",par_BaseIVAFin="Sobre renta",B80="Opción de compra"),F80,G80)*$C$14)</f>
        <v/>
      </c>
      <c r="K80" s="59" t="str">
        <f>IF(B80="","",F80+J80)</f>
        <v/>
      </c>
      <c r="L80" s="59" t="str">
        <f>IF(B80="","",F80-IF(A80=$C$38,$C$30,0))</f>
        <v/>
      </c>
      <c r="M80" s="78" t="str">
        <f>IF(B80="","",$C$37*(1+$C$13)^(-C80))</f>
        <v/>
      </c>
      <c r="N80" s="59" t="str">
        <f>IF(B80="","",L80*M80)</f>
        <v/>
      </c>
      <c r="O80" s="59" t="str">
        <f>IF(B80="","",IF(B80="Básico",F80,0)-IF(A80=$C$38,$C$30,0))</f>
        <v/>
      </c>
      <c r="P80" s="77">
        <f>IF(B80="",$C$31,D80)</f>
        <v>46295.0</v>
      </c>
      <c r="Q80" s="59">
        <f>IF(B80="",0,L80)</f>
        <v>0</v>
      </c>
      <c r="R80" s="59">
        <f>IF(B80="",0,-F80)</f>
        <v>0</v>
      </c>
      <c r="S80" s="59" t="str">
        <f>IF(B80="","",O80*M80)</f>
        <v/>
      </c>
    </row>
    <row r="81">
      <c r="A81" s="7" t="n">
        <v>36</v>
      </c>
      <c r="B81" s="7" t="str">
        <f>IF(A81&gt;$C$38,"",IF(A81&lt;=$C$5,"Básico",IF($C$6&gt;0,"Sucesivo","Opción de compra")))</f>
        <v/>
      </c>
      <c r="C81" s="7" t="str">
        <f>IF(B81="","",IF(B81="Opción de compra",$C$5,A81-$C$7))</f>
        <v/>
      </c>
      <c r="D81" s="77" t="str">
        <f>IF(B81="","",EDATE($C$33,C81))</f>
        <v/>
      </c>
      <c r="E81" s="59" t="str">
        <f>IF(B81="","",I80)</f>
        <v/>
      </c>
      <c r="F81" s="59" t="str">
        <f>IF(B81="","",IF(B81="Básico",$C$24,IF(B81="Sucesivo",$C$25,$C$26)))</f>
        <v/>
      </c>
      <c r="G81" s="59" t="str">
        <f>IF(B81="","",IF(B81="Opción de compra",0,(E81-$C$7*F81)*IF(B81="Sucesivo",$C$11,$C$9)))</f>
        <v/>
      </c>
      <c r="H81" s="59" t="str">
        <f>IF(B81="","",F81-G81)</f>
        <v/>
      </c>
      <c r="I81" s="59" t="str">
        <f>IF(B81="","",E81-H81)</f>
        <v/>
      </c>
      <c r="J81" s="59" t="str">
        <f>IF(B81="","",IF(OR(inp_Tipo="Arrendamiento Puro",par_BaseIVAFin="Sobre renta",B81="Opción de compra"),F81,G81)*$C$14)</f>
        <v/>
      </c>
      <c r="K81" s="59" t="str">
        <f>IF(B81="","",F81+J81)</f>
        <v/>
      </c>
      <c r="L81" s="59" t="str">
        <f>IF(B81="","",F81-IF(A81=$C$38,$C$30,0))</f>
        <v/>
      </c>
      <c r="M81" s="78" t="str">
        <f>IF(B81="","",$C$37*(1+$C$13)^(-C81))</f>
        <v/>
      </c>
      <c r="N81" s="59" t="str">
        <f>IF(B81="","",L81*M81)</f>
        <v/>
      </c>
      <c r="O81" s="59" t="str">
        <f>IF(B81="","",IF(B81="Básico",F81,0)-IF(A81=$C$38,$C$30,0))</f>
        <v/>
      </c>
      <c r="P81" s="77">
        <f>IF(B81="",$C$31,D81)</f>
        <v>46295.0</v>
      </c>
      <c r="Q81" s="59">
        <f>IF(B81="",0,L81)</f>
        <v>0</v>
      </c>
      <c r="R81" s="59">
        <f>IF(B81="",0,-F81)</f>
        <v>0</v>
      </c>
      <c r="S81" s="59" t="str">
        <f>IF(B81="","",O81*M81)</f>
        <v/>
      </c>
    </row>
    <row r="82">
      <c r="A82" s="7" t="n">
        <v>37</v>
      </c>
      <c r="B82" s="7" t="str">
        <f>IF(A82&gt;$C$38,"",IF(A82&lt;=$C$5,"Básico",IF($C$6&gt;0,"Sucesivo","Opción de compra")))</f>
        <v/>
      </c>
      <c r="C82" s="7" t="str">
        <f>IF(B82="","",IF(B82="Opción de compra",$C$5,A82-$C$7))</f>
        <v/>
      </c>
      <c r="D82" s="77" t="str">
        <f>IF(B82="","",EDATE($C$33,C82))</f>
        <v/>
      </c>
      <c r="E82" s="59" t="str">
        <f>IF(B82="","",I81)</f>
        <v/>
      </c>
      <c r="F82" s="59" t="str">
        <f>IF(B82="","",IF(B82="Básico",$C$24,IF(B82="Sucesivo",$C$25,$C$26)))</f>
        <v/>
      </c>
      <c r="G82" s="59" t="str">
        <f>IF(B82="","",IF(B82="Opción de compra",0,(E82-$C$7*F82)*IF(B82="Sucesivo",$C$11,$C$9)))</f>
        <v/>
      </c>
      <c r="H82" s="59" t="str">
        <f>IF(B82="","",F82-G82)</f>
        <v/>
      </c>
      <c r="I82" s="59" t="str">
        <f>IF(B82="","",E82-H82)</f>
        <v/>
      </c>
      <c r="J82" s="59" t="str">
        <f>IF(B82="","",IF(OR(inp_Tipo="Arrendamiento Puro",par_BaseIVAFin="Sobre renta",B82="Opción de compra"),F82,G82)*$C$14)</f>
        <v/>
      </c>
      <c r="K82" s="59" t="str">
        <f>IF(B82="","",F82+J82)</f>
        <v/>
      </c>
      <c r="L82" s="59" t="str">
        <f>IF(B82="","",F82-IF(A82=$C$38,$C$30,0))</f>
        <v/>
      </c>
      <c r="M82" s="78" t="str">
        <f>IF(B82="","",$C$37*(1+$C$13)^(-C82))</f>
        <v/>
      </c>
      <c r="N82" s="59" t="str">
        <f>IF(B82="","",L82*M82)</f>
        <v/>
      </c>
      <c r="O82" s="59" t="str">
        <f>IF(B82="","",IF(B82="Básico",F82,0)-IF(A82=$C$38,$C$30,0))</f>
        <v/>
      </c>
      <c r="P82" s="77">
        <f>IF(B82="",$C$31,D82)</f>
        <v>46295.0</v>
      </c>
      <c r="Q82" s="59">
        <f>IF(B82="",0,L82)</f>
        <v>0</v>
      </c>
      <c r="R82" s="59">
        <f>IF(B82="",0,-F82)</f>
        <v>0</v>
      </c>
      <c r="S82" s="59" t="str">
        <f>IF(B82="","",O82*M82)</f>
        <v/>
      </c>
    </row>
    <row r="83">
      <c r="A83" s="7" t="n">
        <v>38</v>
      </c>
      <c r="B83" s="7" t="str">
        <f>IF(A83&gt;$C$38,"",IF(A83&lt;=$C$5,"Básico",IF($C$6&gt;0,"Sucesivo","Opción de compra")))</f>
        <v/>
      </c>
      <c r="C83" s="7" t="str">
        <f>IF(B83="","",IF(B83="Opción de compra",$C$5,A83-$C$7))</f>
        <v/>
      </c>
      <c r="D83" s="77" t="str">
        <f>IF(B83="","",EDATE($C$33,C83))</f>
        <v/>
      </c>
      <c r="E83" s="59" t="str">
        <f>IF(B83="","",I82)</f>
        <v/>
      </c>
      <c r="F83" s="59" t="str">
        <f>IF(B83="","",IF(B83="Básico",$C$24,IF(B83="Sucesivo",$C$25,$C$26)))</f>
        <v/>
      </c>
      <c r="G83" s="59" t="str">
        <f>IF(B83="","",IF(B83="Opción de compra",0,(E83-$C$7*F83)*IF(B83="Sucesivo",$C$11,$C$9)))</f>
        <v/>
      </c>
      <c r="H83" s="59" t="str">
        <f>IF(B83="","",F83-G83)</f>
        <v/>
      </c>
      <c r="I83" s="59" t="str">
        <f>IF(B83="","",E83-H83)</f>
        <v/>
      </c>
      <c r="J83" s="59" t="str">
        <f>IF(B83="","",IF(OR(inp_Tipo="Arrendamiento Puro",par_BaseIVAFin="Sobre renta",B83="Opción de compra"),F83,G83)*$C$14)</f>
        <v/>
      </c>
      <c r="K83" s="59" t="str">
        <f>IF(B83="","",F83+J83)</f>
        <v/>
      </c>
      <c r="L83" s="59" t="str">
        <f>IF(B83="","",F83-IF(A83=$C$38,$C$30,0))</f>
        <v/>
      </c>
      <c r="M83" s="78" t="str">
        <f>IF(B83="","",$C$37*(1+$C$13)^(-C83))</f>
        <v/>
      </c>
      <c r="N83" s="59" t="str">
        <f>IF(B83="","",L83*M83)</f>
        <v/>
      </c>
      <c r="O83" s="59" t="str">
        <f>IF(B83="","",IF(B83="Básico",F83,0)-IF(A83=$C$38,$C$30,0))</f>
        <v/>
      </c>
      <c r="P83" s="77">
        <f>IF(B83="",$C$31,D83)</f>
        <v>46295.0</v>
      </c>
      <c r="Q83" s="59">
        <f>IF(B83="",0,L83)</f>
        <v>0</v>
      </c>
      <c r="R83" s="59">
        <f>IF(B83="",0,-F83)</f>
        <v>0</v>
      </c>
      <c r="S83" s="59" t="str">
        <f>IF(B83="","",O83*M83)</f>
        <v/>
      </c>
    </row>
    <row r="84">
      <c r="A84" s="7" t="n">
        <v>39</v>
      </c>
      <c r="B84" s="7" t="str">
        <f>IF(A84&gt;$C$38,"",IF(A84&lt;=$C$5,"Básico",IF($C$6&gt;0,"Sucesivo","Opción de compra")))</f>
        <v/>
      </c>
      <c r="C84" s="7" t="str">
        <f>IF(B84="","",IF(B84="Opción de compra",$C$5,A84-$C$7))</f>
        <v/>
      </c>
      <c r="D84" s="77" t="str">
        <f>IF(B84="","",EDATE($C$33,C84))</f>
        <v/>
      </c>
      <c r="E84" s="59" t="str">
        <f>IF(B84="","",I83)</f>
        <v/>
      </c>
      <c r="F84" s="59" t="str">
        <f>IF(B84="","",IF(B84="Básico",$C$24,IF(B84="Sucesivo",$C$25,$C$26)))</f>
        <v/>
      </c>
      <c r="G84" s="59" t="str">
        <f>IF(B84="","",IF(B84="Opción de compra",0,(E84-$C$7*F84)*IF(B84="Sucesivo",$C$11,$C$9)))</f>
        <v/>
      </c>
      <c r="H84" s="59" t="str">
        <f>IF(B84="","",F84-G84)</f>
        <v/>
      </c>
      <c r="I84" s="59" t="str">
        <f>IF(B84="","",E84-H84)</f>
        <v/>
      </c>
      <c r="J84" s="59" t="str">
        <f>IF(B84="","",IF(OR(inp_Tipo="Arrendamiento Puro",par_BaseIVAFin="Sobre renta",B84="Opción de compra"),F84,G84)*$C$14)</f>
        <v/>
      </c>
      <c r="K84" s="59" t="str">
        <f>IF(B84="","",F84+J84)</f>
        <v/>
      </c>
      <c r="L84" s="59" t="str">
        <f>IF(B84="","",F84-IF(A84=$C$38,$C$30,0))</f>
        <v/>
      </c>
      <c r="M84" s="78" t="str">
        <f>IF(B84="","",$C$37*(1+$C$13)^(-C84))</f>
        <v/>
      </c>
      <c r="N84" s="59" t="str">
        <f>IF(B84="","",L84*M84)</f>
        <v/>
      </c>
      <c r="O84" s="59" t="str">
        <f>IF(B84="","",IF(B84="Básico",F84,0)-IF(A84=$C$38,$C$30,0))</f>
        <v/>
      </c>
      <c r="P84" s="77">
        <f>IF(B84="",$C$31,D84)</f>
        <v>46295.0</v>
      </c>
      <c r="Q84" s="59">
        <f>IF(B84="",0,L84)</f>
        <v>0</v>
      </c>
      <c r="R84" s="59">
        <f>IF(B84="",0,-F84)</f>
        <v>0</v>
      </c>
      <c r="S84" s="59" t="str">
        <f>IF(B84="","",O84*M84)</f>
        <v/>
      </c>
    </row>
    <row r="85">
      <c r="A85" s="7" t="n">
        <v>40</v>
      </c>
      <c r="B85" s="7" t="str">
        <f>IF(A85&gt;$C$38,"",IF(A85&lt;=$C$5,"Básico",IF($C$6&gt;0,"Sucesivo","Opción de compra")))</f>
        <v/>
      </c>
      <c r="C85" s="7" t="str">
        <f>IF(B85="","",IF(B85="Opción de compra",$C$5,A85-$C$7))</f>
        <v/>
      </c>
      <c r="D85" s="77" t="str">
        <f>IF(B85="","",EDATE($C$33,C85))</f>
        <v/>
      </c>
      <c r="E85" s="59" t="str">
        <f>IF(B85="","",I84)</f>
        <v/>
      </c>
      <c r="F85" s="59" t="str">
        <f>IF(B85="","",IF(B85="Básico",$C$24,IF(B85="Sucesivo",$C$25,$C$26)))</f>
        <v/>
      </c>
      <c r="G85" s="59" t="str">
        <f>IF(B85="","",IF(B85="Opción de compra",0,(E85-$C$7*F85)*IF(B85="Sucesivo",$C$11,$C$9)))</f>
        <v/>
      </c>
      <c r="H85" s="59" t="str">
        <f>IF(B85="","",F85-G85)</f>
        <v/>
      </c>
      <c r="I85" s="59" t="str">
        <f>IF(B85="","",E85-H85)</f>
        <v/>
      </c>
      <c r="J85" s="59" t="str">
        <f>IF(B85="","",IF(OR(inp_Tipo="Arrendamiento Puro",par_BaseIVAFin="Sobre renta",B85="Opción de compra"),F85,G85)*$C$14)</f>
        <v/>
      </c>
      <c r="K85" s="59" t="str">
        <f>IF(B85="","",F85+J85)</f>
        <v/>
      </c>
      <c r="L85" s="59" t="str">
        <f>IF(B85="","",F85-IF(A85=$C$38,$C$30,0))</f>
        <v/>
      </c>
      <c r="M85" s="78" t="str">
        <f>IF(B85="","",$C$37*(1+$C$13)^(-C85))</f>
        <v/>
      </c>
      <c r="N85" s="59" t="str">
        <f>IF(B85="","",L85*M85)</f>
        <v/>
      </c>
      <c r="O85" s="59" t="str">
        <f>IF(B85="","",IF(B85="Básico",F85,0)-IF(A85=$C$38,$C$30,0))</f>
        <v/>
      </c>
      <c r="P85" s="77">
        <f>IF(B85="",$C$31,D85)</f>
        <v>46295.0</v>
      </c>
      <c r="Q85" s="59">
        <f>IF(B85="",0,L85)</f>
        <v>0</v>
      </c>
      <c r="R85" s="59">
        <f>IF(B85="",0,-F85)</f>
        <v>0</v>
      </c>
      <c r="S85" s="59" t="str">
        <f>IF(B85="","",O85*M85)</f>
        <v/>
      </c>
    </row>
    <row r="86">
      <c r="A86" s="7" t="n">
        <v>41</v>
      </c>
      <c r="B86" s="7" t="str">
        <f>IF(A86&gt;$C$38,"",IF(A86&lt;=$C$5,"Básico",IF($C$6&gt;0,"Sucesivo","Opción de compra")))</f>
        <v/>
      </c>
      <c r="C86" s="7" t="str">
        <f>IF(B86="","",IF(B86="Opción de compra",$C$5,A86-$C$7))</f>
        <v/>
      </c>
      <c r="D86" s="77" t="str">
        <f>IF(B86="","",EDATE($C$33,C86))</f>
        <v/>
      </c>
      <c r="E86" s="59" t="str">
        <f>IF(B86="","",I85)</f>
        <v/>
      </c>
      <c r="F86" s="59" t="str">
        <f>IF(B86="","",IF(B86="Básico",$C$24,IF(B86="Sucesivo",$C$25,$C$26)))</f>
        <v/>
      </c>
      <c r="G86" s="59" t="str">
        <f>IF(B86="","",IF(B86="Opción de compra",0,(E86-$C$7*F86)*IF(B86="Sucesivo",$C$11,$C$9)))</f>
        <v/>
      </c>
      <c r="H86" s="59" t="str">
        <f>IF(B86="","",F86-G86)</f>
        <v/>
      </c>
      <c r="I86" s="59" t="str">
        <f>IF(B86="","",E86-H86)</f>
        <v/>
      </c>
      <c r="J86" s="59" t="str">
        <f>IF(B86="","",IF(OR(inp_Tipo="Arrendamiento Puro",par_BaseIVAFin="Sobre renta",B86="Opción de compra"),F86,G86)*$C$14)</f>
        <v/>
      </c>
      <c r="K86" s="59" t="str">
        <f>IF(B86="","",F86+J86)</f>
        <v/>
      </c>
      <c r="L86" s="59" t="str">
        <f>IF(B86="","",F86-IF(A86=$C$38,$C$30,0))</f>
        <v/>
      </c>
      <c r="M86" s="78" t="str">
        <f>IF(B86="","",$C$37*(1+$C$13)^(-C86))</f>
        <v/>
      </c>
      <c r="N86" s="59" t="str">
        <f>IF(B86="","",L86*M86)</f>
        <v/>
      </c>
      <c r="O86" s="59" t="str">
        <f>IF(B86="","",IF(B86="Básico",F86,0)-IF(A86=$C$38,$C$30,0))</f>
        <v/>
      </c>
      <c r="P86" s="77">
        <f>IF(B86="",$C$31,D86)</f>
        <v>46295.0</v>
      </c>
      <c r="Q86" s="59">
        <f>IF(B86="",0,L86)</f>
        <v>0</v>
      </c>
      <c r="R86" s="59">
        <f>IF(B86="",0,-F86)</f>
        <v>0</v>
      </c>
      <c r="S86" s="59" t="str">
        <f>IF(B86="","",O86*M86)</f>
        <v/>
      </c>
    </row>
    <row r="87">
      <c r="A87" s="7" t="n">
        <v>42</v>
      </c>
      <c r="B87" s="7" t="str">
        <f>IF(A87&gt;$C$38,"",IF(A87&lt;=$C$5,"Básico",IF($C$6&gt;0,"Sucesivo","Opción de compra")))</f>
        <v/>
      </c>
      <c r="C87" s="7" t="str">
        <f>IF(B87="","",IF(B87="Opción de compra",$C$5,A87-$C$7))</f>
        <v/>
      </c>
      <c r="D87" s="77" t="str">
        <f>IF(B87="","",EDATE($C$33,C87))</f>
        <v/>
      </c>
      <c r="E87" s="59" t="str">
        <f>IF(B87="","",I86)</f>
        <v/>
      </c>
      <c r="F87" s="59" t="str">
        <f>IF(B87="","",IF(B87="Básico",$C$24,IF(B87="Sucesivo",$C$25,$C$26)))</f>
        <v/>
      </c>
      <c r="G87" s="59" t="str">
        <f>IF(B87="","",IF(B87="Opción de compra",0,(E87-$C$7*F87)*IF(B87="Sucesivo",$C$11,$C$9)))</f>
        <v/>
      </c>
      <c r="H87" s="59" t="str">
        <f>IF(B87="","",F87-G87)</f>
        <v/>
      </c>
      <c r="I87" s="59" t="str">
        <f>IF(B87="","",E87-H87)</f>
        <v/>
      </c>
      <c r="J87" s="59" t="str">
        <f>IF(B87="","",IF(OR(inp_Tipo="Arrendamiento Puro",par_BaseIVAFin="Sobre renta",B87="Opción de compra"),F87,G87)*$C$14)</f>
        <v/>
      </c>
      <c r="K87" s="59" t="str">
        <f>IF(B87="","",F87+J87)</f>
        <v/>
      </c>
      <c r="L87" s="59" t="str">
        <f>IF(B87="","",F87-IF(A87=$C$38,$C$30,0))</f>
        <v/>
      </c>
      <c r="M87" s="78" t="str">
        <f>IF(B87="","",$C$37*(1+$C$13)^(-C87))</f>
        <v/>
      </c>
      <c r="N87" s="59" t="str">
        <f>IF(B87="","",L87*M87)</f>
        <v/>
      </c>
      <c r="O87" s="59" t="str">
        <f>IF(B87="","",IF(B87="Básico",F87,0)-IF(A87=$C$38,$C$30,0))</f>
        <v/>
      </c>
      <c r="P87" s="77">
        <f>IF(B87="",$C$31,D87)</f>
        <v>46295.0</v>
      </c>
      <c r="Q87" s="59">
        <f>IF(B87="",0,L87)</f>
        <v>0</v>
      </c>
      <c r="R87" s="59">
        <f>IF(B87="",0,-F87)</f>
        <v>0</v>
      </c>
      <c r="S87" s="59" t="str">
        <f>IF(B87="","",O87*M87)</f>
        <v/>
      </c>
    </row>
    <row r="88">
      <c r="A88" s="7" t="n">
        <v>43</v>
      </c>
      <c r="B88" s="7" t="str">
        <f>IF(A88&gt;$C$38,"",IF(A88&lt;=$C$5,"Básico",IF($C$6&gt;0,"Sucesivo","Opción de compra")))</f>
        <v/>
      </c>
      <c r="C88" s="7" t="str">
        <f>IF(B88="","",IF(B88="Opción de compra",$C$5,A88-$C$7))</f>
        <v/>
      </c>
      <c r="D88" s="77" t="str">
        <f>IF(B88="","",EDATE($C$33,C88))</f>
        <v/>
      </c>
      <c r="E88" s="59" t="str">
        <f>IF(B88="","",I87)</f>
        <v/>
      </c>
      <c r="F88" s="59" t="str">
        <f>IF(B88="","",IF(B88="Básico",$C$24,IF(B88="Sucesivo",$C$25,$C$26)))</f>
        <v/>
      </c>
      <c r="G88" s="59" t="str">
        <f>IF(B88="","",IF(B88="Opción de compra",0,(E88-$C$7*F88)*IF(B88="Sucesivo",$C$11,$C$9)))</f>
        <v/>
      </c>
      <c r="H88" s="59" t="str">
        <f>IF(B88="","",F88-G88)</f>
        <v/>
      </c>
      <c r="I88" s="59" t="str">
        <f>IF(B88="","",E88-H88)</f>
        <v/>
      </c>
      <c r="J88" s="59" t="str">
        <f>IF(B88="","",IF(OR(inp_Tipo="Arrendamiento Puro",par_BaseIVAFin="Sobre renta",B88="Opción de compra"),F88,G88)*$C$14)</f>
        <v/>
      </c>
      <c r="K88" s="59" t="str">
        <f>IF(B88="","",F88+J88)</f>
        <v/>
      </c>
      <c r="L88" s="59" t="str">
        <f>IF(B88="","",F88-IF(A88=$C$38,$C$30,0))</f>
        <v/>
      </c>
      <c r="M88" s="78" t="str">
        <f>IF(B88="","",$C$37*(1+$C$13)^(-C88))</f>
        <v/>
      </c>
      <c r="N88" s="59" t="str">
        <f>IF(B88="","",L88*M88)</f>
        <v/>
      </c>
      <c r="O88" s="59" t="str">
        <f>IF(B88="","",IF(B88="Básico",F88,0)-IF(A88=$C$38,$C$30,0))</f>
        <v/>
      </c>
      <c r="P88" s="77">
        <f>IF(B88="",$C$31,D88)</f>
        <v>46295.0</v>
      </c>
      <c r="Q88" s="59">
        <f>IF(B88="",0,L88)</f>
        <v>0</v>
      </c>
      <c r="R88" s="59">
        <f>IF(B88="",0,-F88)</f>
        <v>0</v>
      </c>
      <c r="S88" s="59" t="str">
        <f>IF(B88="","",O88*M88)</f>
        <v/>
      </c>
    </row>
    <row r="89">
      <c r="A89" s="7" t="n">
        <v>44</v>
      </c>
      <c r="B89" s="7" t="str">
        <f>IF(A89&gt;$C$38,"",IF(A89&lt;=$C$5,"Básico",IF($C$6&gt;0,"Sucesivo","Opción de compra")))</f>
        <v/>
      </c>
      <c r="C89" s="7" t="str">
        <f>IF(B89="","",IF(B89="Opción de compra",$C$5,A89-$C$7))</f>
        <v/>
      </c>
      <c r="D89" s="77" t="str">
        <f>IF(B89="","",EDATE($C$33,C89))</f>
        <v/>
      </c>
      <c r="E89" s="59" t="str">
        <f>IF(B89="","",I88)</f>
        <v/>
      </c>
      <c r="F89" s="59" t="str">
        <f>IF(B89="","",IF(B89="Básico",$C$24,IF(B89="Sucesivo",$C$25,$C$26)))</f>
        <v/>
      </c>
      <c r="G89" s="59" t="str">
        <f>IF(B89="","",IF(B89="Opción de compra",0,(E89-$C$7*F89)*IF(B89="Sucesivo",$C$11,$C$9)))</f>
        <v/>
      </c>
      <c r="H89" s="59" t="str">
        <f>IF(B89="","",F89-G89)</f>
        <v/>
      </c>
      <c r="I89" s="59" t="str">
        <f>IF(B89="","",E89-H89)</f>
        <v/>
      </c>
      <c r="J89" s="59" t="str">
        <f>IF(B89="","",IF(OR(inp_Tipo="Arrendamiento Puro",par_BaseIVAFin="Sobre renta",B89="Opción de compra"),F89,G89)*$C$14)</f>
        <v/>
      </c>
      <c r="K89" s="59" t="str">
        <f>IF(B89="","",F89+J89)</f>
        <v/>
      </c>
      <c r="L89" s="59" t="str">
        <f>IF(B89="","",F89-IF(A89=$C$38,$C$30,0))</f>
        <v/>
      </c>
      <c r="M89" s="78" t="str">
        <f>IF(B89="","",$C$37*(1+$C$13)^(-C89))</f>
        <v/>
      </c>
      <c r="N89" s="59" t="str">
        <f>IF(B89="","",L89*M89)</f>
        <v/>
      </c>
      <c r="O89" s="59" t="str">
        <f>IF(B89="","",IF(B89="Básico",F89,0)-IF(A89=$C$38,$C$30,0))</f>
        <v/>
      </c>
      <c r="P89" s="77">
        <f>IF(B89="",$C$31,D89)</f>
        <v>46295.0</v>
      </c>
      <c r="Q89" s="59">
        <f>IF(B89="",0,L89)</f>
        <v>0</v>
      </c>
      <c r="R89" s="59">
        <f>IF(B89="",0,-F89)</f>
        <v>0</v>
      </c>
      <c r="S89" s="59" t="str">
        <f>IF(B89="","",O89*M89)</f>
        <v/>
      </c>
    </row>
    <row r="90">
      <c r="A90" s="7" t="n">
        <v>45</v>
      </c>
      <c r="B90" s="7" t="str">
        <f>IF(A90&gt;$C$38,"",IF(A90&lt;=$C$5,"Básico",IF($C$6&gt;0,"Sucesivo","Opción de compra")))</f>
        <v/>
      </c>
      <c r="C90" s="7" t="str">
        <f>IF(B90="","",IF(B90="Opción de compra",$C$5,A90-$C$7))</f>
        <v/>
      </c>
      <c r="D90" s="77" t="str">
        <f>IF(B90="","",EDATE($C$33,C90))</f>
        <v/>
      </c>
      <c r="E90" s="59" t="str">
        <f>IF(B90="","",I89)</f>
        <v/>
      </c>
      <c r="F90" s="59" t="str">
        <f>IF(B90="","",IF(B90="Básico",$C$24,IF(B90="Sucesivo",$C$25,$C$26)))</f>
        <v/>
      </c>
      <c r="G90" s="59" t="str">
        <f>IF(B90="","",IF(B90="Opción de compra",0,(E90-$C$7*F90)*IF(B90="Sucesivo",$C$11,$C$9)))</f>
        <v/>
      </c>
      <c r="H90" s="59" t="str">
        <f>IF(B90="","",F90-G90)</f>
        <v/>
      </c>
      <c r="I90" s="59" t="str">
        <f>IF(B90="","",E90-H90)</f>
        <v/>
      </c>
      <c r="J90" s="59" t="str">
        <f>IF(B90="","",IF(OR(inp_Tipo="Arrendamiento Puro",par_BaseIVAFin="Sobre renta",B90="Opción de compra"),F90,G90)*$C$14)</f>
        <v/>
      </c>
      <c r="K90" s="59" t="str">
        <f>IF(B90="","",F90+J90)</f>
        <v/>
      </c>
      <c r="L90" s="59" t="str">
        <f>IF(B90="","",F90-IF(A90=$C$38,$C$30,0))</f>
        <v/>
      </c>
      <c r="M90" s="78" t="str">
        <f>IF(B90="","",$C$37*(1+$C$13)^(-C90))</f>
        <v/>
      </c>
      <c r="N90" s="59" t="str">
        <f>IF(B90="","",L90*M90)</f>
        <v/>
      </c>
      <c r="O90" s="59" t="str">
        <f>IF(B90="","",IF(B90="Básico",F90,0)-IF(A90=$C$38,$C$30,0))</f>
        <v/>
      </c>
      <c r="P90" s="77">
        <f>IF(B90="",$C$31,D90)</f>
        <v>46295.0</v>
      </c>
      <c r="Q90" s="59">
        <f>IF(B90="",0,L90)</f>
        <v>0</v>
      </c>
      <c r="R90" s="59">
        <f>IF(B90="",0,-F90)</f>
        <v>0</v>
      </c>
      <c r="S90" s="59" t="str">
        <f>IF(B90="","",O90*M90)</f>
        <v/>
      </c>
    </row>
    <row r="91">
      <c r="A91" s="7" t="n">
        <v>46</v>
      </c>
      <c r="B91" s="7" t="str">
        <f>IF(A91&gt;$C$38,"",IF(A91&lt;=$C$5,"Básico",IF($C$6&gt;0,"Sucesivo","Opción de compra")))</f>
        <v/>
      </c>
      <c r="C91" s="7" t="str">
        <f>IF(B91="","",IF(B91="Opción de compra",$C$5,A91-$C$7))</f>
        <v/>
      </c>
      <c r="D91" s="77" t="str">
        <f>IF(B91="","",EDATE($C$33,C91))</f>
        <v/>
      </c>
      <c r="E91" s="59" t="str">
        <f>IF(B91="","",I90)</f>
        <v/>
      </c>
      <c r="F91" s="59" t="str">
        <f>IF(B91="","",IF(B91="Básico",$C$24,IF(B91="Sucesivo",$C$25,$C$26)))</f>
        <v/>
      </c>
      <c r="G91" s="59" t="str">
        <f>IF(B91="","",IF(B91="Opción de compra",0,(E91-$C$7*F91)*IF(B91="Sucesivo",$C$11,$C$9)))</f>
        <v/>
      </c>
      <c r="H91" s="59" t="str">
        <f>IF(B91="","",F91-G91)</f>
        <v/>
      </c>
      <c r="I91" s="59" t="str">
        <f>IF(B91="","",E91-H91)</f>
        <v/>
      </c>
      <c r="J91" s="59" t="str">
        <f>IF(B91="","",IF(OR(inp_Tipo="Arrendamiento Puro",par_BaseIVAFin="Sobre renta",B91="Opción de compra"),F91,G91)*$C$14)</f>
        <v/>
      </c>
      <c r="K91" s="59" t="str">
        <f>IF(B91="","",F91+J91)</f>
        <v/>
      </c>
      <c r="L91" s="59" t="str">
        <f>IF(B91="","",F91-IF(A91=$C$38,$C$30,0))</f>
        <v/>
      </c>
      <c r="M91" s="78" t="str">
        <f>IF(B91="","",$C$37*(1+$C$13)^(-C91))</f>
        <v/>
      </c>
      <c r="N91" s="59" t="str">
        <f>IF(B91="","",L91*M91)</f>
        <v/>
      </c>
      <c r="O91" s="59" t="str">
        <f>IF(B91="","",IF(B91="Básico",F91,0)-IF(A91=$C$38,$C$30,0))</f>
        <v/>
      </c>
      <c r="P91" s="77">
        <f>IF(B91="",$C$31,D91)</f>
        <v>46295.0</v>
      </c>
      <c r="Q91" s="59">
        <f>IF(B91="",0,L91)</f>
        <v>0</v>
      </c>
      <c r="R91" s="59">
        <f>IF(B91="",0,-F91)</f>
        <v>0</v>
      </c>
      <c r="S91" s="59" t="str">
        <f>IF(B91="","",O91*M91)</f>
        <v/>
      </c>
    </row>
    <row r="92">
      <c r="A92" s="7" t="n">
        <v>47</v>
      </c>
      <c r="B92" s="7" t="str">
        <f>IF(A92&gt;$C$38,"",IF(A92&lt;=$C$5,"Básico",IF($C$6&gt;0,"Sucesivo","Opción de compra")))</f>
        <v/>
      </c>
      <c r="C92" s="7" t="str">
        <f>IF(B92="","",IF(B92="Opción de compra",$C$5,A92-$C$7))</f>
        <v/>
      </c>
      <c r="D92" s="77" t="str">
        <f>IF(B92="","",EDATE($C$33,C92))</f>
        <v/>
      </c>
      <c r="E92" s="59" t="str">
        <f>IF(B92="","",I91)</f>
        <v/>
      </c>
      <c r="F92" s="59" t="str">
        <f>IF(B92="","",IF(B92="Básico",$C$24,IF(B92="Sucesivo",$C$25,$C$26)))</f>
        <v/>
      </c>
      <c r="G92" s="59" t="str">
        <f>IF(B92="","",IF(B92="Opción de compra",0,(E92-$C$7*F92)*IF(B92="Sucesivo",$C$11,$C$9)))</f>
        <v/>
      </c>
      <c r="H92" s="59" t="str">
        <f>IF(B92="","",F92-G92)</f>
        <v/>
      </c>
      <c r="I92" s="59" t="str">
        <f>IF(B92="","",E92-H92)</f>
        <v/>
      </c>
      <c r="J92" s="59" t="str">
        <f>IF(B92="","",IF(OR(inp_Tipo="Arrendamiento Puro",par_BaseIVAFin="Sobre renta",B92="Opción de compra"),F92,G92)*$C$14)</f>
        <v/>
      </c>
      <c r="K92" s="59" t="str">
        <f>IF(B92="","",F92+J92)</f>
        <v/>
      </c>
      <c r="L92" s="59" t="str">
        <f>IF(B92="","",F92-IF(A92=$C$38,$C$30,0))</f>
        <v/>
      </c>
      <c r="M92" s="78" t="str">
        <f>IF(B92="","",$C$37*(1+$C$13)^(-C92))</f>
        <v/>
      </c>
      <c r="N92" s="59" t="str">
        <f>IF(B92="","",L92*M92)</f>
        <v/>
      </c>
      <c r="O92" s="59" t="str">
        <f>IF(B92="","",IF(B92="Básico",F92,0)-IF(A92=$C$38,$C$30,0))</f>
        <v/>
      </c>
      <c r="P92" s="77">
        <f>IF(B92="",$C$31,D92)</f>
        <v>46295.0</v>
      </c>
      <c r="Q92" s="59">
        <f>IF(B92="",0,L92)</f>
        <v>0</v>
      </c>
      <c r="R92" s="59">
        <f>IF(B92="",0,-F92)</f>
        <v>0</v>
      </c>
      <c r="S92" s="59" t="str">
        <f>IF(B92="","",O92*M92)</f>
        <v/>
      </c>
    </row>
    <row r="93">
      <c r="A93" s="7" t="n">
        <v>48</v>
      </c>
      <c r="B93" s="7" t="str">
        <f>IF(A93&gt;$C$38,"",IF(A93&lt;=$C$5,"Básico",IF($C$6&gt;0,"Sucesivo","Opción de compra")))</f>
        <v/>
      </c>
      <c r="C93" s="7" t="str">
        <f>IF(B93="","",IF(B93="Opción de compra",$C$5,A93-$C$7))</f>
        <v/>
      </c>
      <c r="D93" s="77" t="str">
        <f>IF(B93="","",EDATE($C$33,C93))</f>
        <v/>
      </c>
      <c r="E93" s="59" t="str">
        <f>IF(B93="","",I92)</f>
        <v/>
      </c>
      <c r="F93" s="59" t="str">
        <f>IF(B93="","",IF(B93="Básico",$C$24,IF(B93="Sucesivo",$C$25,$C$26)))</f>
        <v/>
      </c>
      <c r="G93" s="59" t="str">
        <f>IF(B93="","",IF(B93="Opción de compra",0,(E93-$C$7*F93)*IF(B93="Sucesivo",$C$11,$C$9)))</f>
        <v/>
      </c>
      <c r="H93" s="59" t="str">
        <f>IF(B93="","",F93-G93)</f>
        <v/>
      </c>
      <c r="I93" s="59" t="str">
        <f>IF(B93="","",E93-H93)</f>
        <v/>
      </c>
      <c r="J93" s="59" t="str">
        <f>IF(B93="","",IF(OR(inp_Tipo="Arrendamiento Puro",par_BaseIVAFin="Sobre renta",B93="Opción de compra"),F93,G93)*$C$14)</f>
        <v/>
      </c>
      <c r="K93" s="59" t="str">
        <f>IF(B93="","",F93+J93)</f>
        <v/>
      </c>
      <c r="L93" s="59" t="str">
        <f>IF(B93="","",F93-IF(A93=$C$38,$C$30,0))</f>
        <v/>
      </c>
      <c r="M93" s="78" t="str">
        <f>IF(B93="","",$C$37*(1+$C$13)^(-C93))</f>
        <v/>
      </c>
      <c r="N93" s="59" t="str">
        <f>IF(B93="","",L93*M93)</f>
        <v/>
      </c>
      <c r="O93" s="59" t="str">
        <f>IF(B93="","",IF(B93="Básico",F93,0)-IF(A93=$C$38,$C$30,0))</f>
        <v/>
      </c>
      <c r="P93" s="77">
        <f>IF(B93="",$C$31,D93)</f>
        <v>46295.0</v>
      </c>
      <c r="Q93" s="59">
        <f>IF(B93="",0,L93)</f>
        <v>0</v>
      </c>
      <c r="R93" s="59">
        <f>IF(B93="",0,-F93)</f>
        <v>0</v>
      </c>
      <c r="S93" s="59" t="str">
        <f>IF(B93="","",O93*M93)</f>
        <v/>
      </c>
    </row>
    <row r="94">
      <c r="A94" s="7" t="n">
        <v>49</v>
      </c>
      <c r="B94" s="7" t="str">
        <f>IF(A94&gt;$C$38,"",IF(A94&lt;=$C$5,"Básico",IF($C$6&gt;0,"Sucesivo","Opción de compra")))</f>
        <v/>
      </c>
      <c r="C94" s="7" t="str">
        <f>IF(B94="","",IF(B94="Opción de compra",$C$5,A94-$C$7))</f>
        <v/>
      </c>
      <c r="D94" s="77" t="str">
        <f>IF(B94="","",EDATE($C$33,C94))</f>
        <v/>
      </c>
      <c r="E94" s="59" t="str">
        <f>IF(B94="","",I93)</f>
        <v/>
      </c>
      <c r="F94" s="59" t="str">
        <f>IF(B94="","",IF(B94="Básico",$C$24,IF(B94="Sucesivo",$C$25,$C$26)))</f>
        <v/>
      </c>
      <c r="G94" s="59" t="str">
        <f>IF(B94="","",IF(B94="Opción de compra",0,(E94-$C$7*F94)*IF(B94="Sucesivo",$C$11,$C$9)))</f>
        <v/>
      </c>
      <c r="H94" s="59" t="str">
        <f>IF(B94="","",F94-G94)</f>
        <v/>
      </c>
      <c r="I94" s="59" t="str">
        <f>IF(B94="","",E94-H94)</f>
        <v/>
      </c>
      <c r="J94" s="59" t="str">
        <f>IF(B94="","",IF(OR(inp_Tipo="Arrendamiento Puro",par_BaseIVAFin="Sobre renta",B94="Opción de compra"),F94,G94)*$C$14)</f>
        <v/>
      </c>
      <c r="K94" s="59" t="str">
        <f>IF(B94="","",F94+J94)</f>
        <v/>
      </c>
      <c r="L94" s="59" t="str">
        <f>IF(B94="","",F94-IF(A94=$C$38,$C$30,0))</f>
        <v/>
      </c>
      <c r="M94" s="78" t="str">
        <f>IF(B94="","",$C$37*(1+$C$13)^(-C94))</f>
        <v/>
      </c>
      <c r="N94" s="59" t="str">
        <f>IF(B94="","",L94*M94)</f>
        <v/>
      </c>
      <c r="O94" s="59" t="str">
        <f>IF(B94="","",IF(B94="Básico",F94,0)-IF(A94=$C$38,$C$30,0))</f>
        <v/>
      </c>
      <c r="P94" s="77">
        <f>IF(B94="",$C$31,D94)</f>
        <v>46295.0</v>
      </c>
      <c r="Q94" s="59">
        <f>IF(B94="",0,L94)</f>
        <v>0</v>
      </c>
      <c r="R94" s="59">
        <f>IF(B94="",0,-F94)</f>
        <v>0</v>
      </c>
      <c r="S94" s="59" t="str">
        <f>IF(B94="","",O94*M94)</f>
        <v/>
      </c>
    </row>
    <row r="95">
      <c r="A95" s="7" t="n">
        <v>50</v>
      </c>
      <c r="B95" s="7" t="str">
        <f>IF(A95&gt;$C$38,"",IF(A95&lt;=$C$5,"Básico",IF($C$6&gt;0,"Sucesivo","Opción de compra")))</f>
        <v/>
      </c>
      <c r="C95" s="7" t="str">
        <f>IF(B95="","",IF(B95="Opción de compra",$C$5,A95-$C$7))</f>
        <v/>
      </c>
      <c r="D95" s="77" t="str">
        <f>IF(B95="","",EDATE($C$33,C95))</f>
        <v/>
      </c>
      <c r="E95" s="59" t="str">
        <f>IF(B95="","",I94)</f>
        <v/>
      </c>
      <c r="F95" s="59" t="str">
        <f>IF(B95="","",IF(B95="Básico",$C$24,IF(B95="Sucesivo",$C$25,$C$26)))</f>
        <v/>
      </c>
      <c r="G95" s="59" t="str">
        <f>IF(B95="","",IF(B95="Opción de compra",0,(E95-$C$7*F95)*IF(B95="Sucesivo",$C$11,$C$9)))</f>
        <v/>
      </c>
      <c r="H95" s="59" t="str">
        <f>IF(B95="","",F95-G95)</f>
        <v/>
      </c>
      <c r="I95" s="59" t="str">
        <f>IF(B95="","",E95-H95)</f>
        <v/>
      </c>
      <c r="J95" s="59" t="str">
        <f>IF(B95="","",IF(OR(inp_Tipo="Arrendamiento Puro",par_BaseIVAFin="Sobre renta",B95="Opción de compra"),F95,G95)*$C$14)</f>
        <v/>
      </c>
      <c r="K95" s="59" t="str">
        <f>IF(B95="","",F95+J95)</f>
        <v/>
      </c>
      <c r="L95" s="59" t="str">
        <f>IF(B95="","",F95-IF(A95=$C$38,$C$30,0))</f>
        <v/>
      </c>
      <c r="M95" s="78" t="str">
        <f>IF(B95="","",$C$37*(1+$C$13)^(-C95))</f>
        <v/>
      </c>
      <c r="N95" s="59" t="str">
        <f>IF(B95="","",L95*M95)</f>
        <v/>
      </c>
      <c r="O95" s="59" t="str">
        <f>IF(B95="","",IF(B95="Básico",F95,0)-IF(A95=$C$38,$C$30,0))</f>
        <v/>
      </c>
      <c r="P95" s="77">
        <f>IF(B95="",$C$31,D95)</f>
        <v>46295.0</v>
      </c>
      <c r="Q95" s="59">
        <f>IF(B95="",0,L95)</f>
        <v>0</v>
      </c>
      <c r="R95" s="59">
        <f>IF(B95="",0,-F95)</f>
        <v>0</v>
      </c>
      <c r="S95" s="59" t="str">
        <f>IF(B95="","",O95*M95)</f>
        <v/>
      </c>
    </row>
    <row r="96">
      <c r="A96" s="7" t="n">
        <v>51</v>
      </c>
      <c r="B96" s="7" t="str">
        <f>IF(A96&gt;$C$38,"",IF(A96&lt;=$C$5,"Básico",IF($C$6&gt;0,"Sucesivo","Opción de compra")))</f>
        <v/>
      </c>
      <c r="C96" s="7" t="str">
        <f>IF(B96="","",IF(B96="Opción de compra",$C$5,A96-$C$7))</f>
        <v/>
      </c>
      <c r="D96" s="77" t="str">
        <f>IF(B96="","",EDATE($C$33,C96))</f>
        <v/>
      </c>
      <c r="E96" s="59" t="str">
        <f>IF(B96="","",I95)</f>
        <v/>
      </c>
      <c r="F96" s="59" t="str">
        <f>IF(B96="","",IF(B96="Básico",$C$24,IF(B96="Sucesivo",$C$25,$C$26)))</f>
        <v/>
      </c>
      <c r="G96" s="59" t="str">
        <f>IF(B96="","",IF(B96="Opción de compra",0,(E96-$C$7*F96)*IF(B96="Sucesivo",$C$11,$C$9)))</f>
        <v/>
      </c>
      <c r="H96" s="59" t="str">
        <f>IF(B96="","",F96-G96)</f>
        <v/>
      </c>
      <c r="I96" s="59" t="str">
        <f>IF(B96="","",E96-H96)</f>
        <v/>
      </c>
      <c r="J96" s="59" t="str">
        <f>IF(B96="","",IF(OR(inp_Tipo="Arrendamiento Puro",par_BaseIVAFin="Sobre renta",B96="Opción de compra"),F96,G96)*$C$14)</f>
        <v/>
      </c>
      <c r="K96" s="59" t="str">
        <f>IF(B96="","",F96+J96)</f>
        <v/>
      </c>
      <c r="L96" s="59" t="str">
        <f>IF(B96="","",F96-IF(A96=$C$38,$C$30,0))</f>
        <v/>
      </c>
      <c r="M96" s="78" t="str">
        <f>IF(B96="","",$C$37*(1+$C$13)^(-C96))</f>
        <v/>
      </c>
      <c r="N96" s="59" t="str">
        <f>IF(B96="","",L96*M96)</f>
        <v/>
      </c>
      <c r="O96" s="59" t="str">
        <f>IF(B96="","",IF(B96="Básico",F96,0)-IF(A96=$C$38,$C$30,0))</f>
        <v/>
      </c>
      <c r="P96" s="77">
        <f>IF(B96="",$C$31,D96)</f>
        <v>46295.0</v>
      </c>
      <c r="Q96" s="59">
        <f>IF(B96="",0,L96)</f>
        <v>0</v>
      </c>
      <c r="R96" s="59">
        <f>IF(B96="",0,-F96)</f>
        <v>0</v>
      </c>
      <c r="S96" s="59" t="str">
        <f>IF(B96="","",O96*M96)</f>
        <v/>
      </c>
    </row>
    <row r="97">
      <c r="A97" s="7" t="n">
        <v>52</v>
      </c>
      <c r="B97" s="7" t="str">
        <f>IF(A97&gt;$C$38,"",IF(A97&lt;=$C$5,"Básico",IF($C$6&gt;0,"Sucesivo","Opción de compra")))</f>
        <v/>
      </c>
      <c r="C97" s="7" t="str">
        <f>IF(B97="","",IF(B97="Opción de compra",$C$5,A97-$C$7))</f>
        <v/>
      </c>
      <c r="D97" s="77" t="str">
        <f>IF(B97="","",EDATE($C$33,C97))</f>
        <v/>
      </c>
      <c r="E97" s="59" t="str">
        <f>IF(B97="","",I96)</f>
        <v/>
      </c>
      <c r="F97" s="59" t="str">
        <f>IF(B97="","",IF(B97="Básico",$C$24,IF(B97="Sucesivo",$C$25,$C$26)))</f>
        <v/>
      </c>
      <c r="G97" s="59" t="str">
        <f>IF(B97="","",IF(B97="Opción de compra",0,(E97-$C$7*F97)*IF(B97="Sucesivo",$C$11,$C$9)))</f>
        <v/>
      </c>
      <c r="H97" s="59" t="str">
        <f>IF(B97="","",F97-G97)</f>
        <v/>
      </c>
      <c r="I97" s="59" t="str">
        <f>IF(B97="","",E97-H97)</f>
        <v/>
      </c>
      <c r="J97" s="59" t="str">
        <f>IF(B97="","",IF(OR(inp_Tipo="Arrendamiento Puro",par_BaseIVAFin="Sobre renta",B97="Opción de compra"),F97,G97)*$C$14)</f>
        <v/>
      </c>
      <c r="K97" s="59" t="str">
        <f>IF(B97="","",F97+J97)</f>
        <v/>
      </c>
      <c r="L97" s="59" t="str">
        <f>IF(B97="","",F97-IF(A97=$C$38,$C$30,0))</f>
        <v/>
      </c>
      <c r="M97" s="78" t="str">
        <f>IF(B97="","",$C$37*(1+$C$13)^(-C97))</f>
        <v/>
      </c>
      <c r="N97" s="59" t="str">
        <f>IF(B97="","",L97*M97)</f>
        <v/>
      </c>
      <c r="O97" s="59" t="str">
        <f>IF(B97="","",IF(B97="Básico",F97,0)-IF(A97=$C$38,$C$30,0))</f>
        <v/>
      </c>
      <c r="P97" s="77">
        <f>IF(B97="",$C$31,D97)</f>
        <v>46295.0</v>
      </c>
      <c r="Q97" s="59">
        <f>IF(B97="",0,L97)</f>
        <v>0</v>
      </c>
      <c r="R97" s="59">
        <f>IF(B97="",0,-F97)</f>
        <v>0</v>
      </c>
      <c r="S97" s="59" t="str">
        <f>IF(B97="","",O97*M97)</f>
        <v/>
      </c>
    </row>
    <row r="98">
      <c r="A98" s="7" t="n">
        <v>53</v>
      </c>
      <c r="B98" s="7" t="str">
        <f>IF(A98&gt;$C$38,"",IF(A98&lt;=$C$5,"Básico",IF($C$6&gt;0,"Sucesivo","Opción de compra")))</f>
        <v/>
      </c>
      <c r="C98" s="7" t="str">
        <f>IF(B98="","",IF(B98="Opción de compra",$C$5,A98-$C$7))</f>
        <v/>
      </c>
      <c r="D98" s="77" t="str">
        <f>IF(B98="","",EDATE($C$33,C98))</f>
        <v/>
      </c>
      <c r="E98" s="59" t="str">
        <f>IF(B98="","",I97)</f>
        <v/>
      </c>
      <c r="F98" s="59" t="str">
        <f>IF(B98="","",IF(B98="Básico",$C$24,IF(B98="Sucesivo",$C$25,$C$26)))</f>
        <v/>
      </c>
      <c r="G98" s="59" t="str">
        <f>IF(B98="","",IF(B98="Opción de compra",0,(E98-$C$7*F98)*IF(B98="Sucesivo",$C$11,$C$9)))</f>
        <v/>
      </c>
      <c r="H98" s="59" t="str">
        <f>IF(B98="","",F98-G98)</f>
        <v/>
      </c>
      <c r="I98" s="59" t="str">
        <f>IF(B98="","",E98-H98)</f>
        <v/>
      </c>
      <c r="J98" s="59" t="str">
        <f>IF(B98="","",IF(OR(inp_Tipo="Arrendamiento Puro",par_BaseIVAFin="Sobre renta",B98="Opción de compra"),F98,G98)*$C$14)</f>
        <v/>
      </c>
      <c r="K98" s="59" t="str">
        <f>IF(B98="","",F98+J98)</f>
        <v/>
      </c>
      <c r="L98" s="59" t="str">
        <f>IF(B98="","",F98-IF(A98=$C$38,$C$30,0))</f>
        <v/>
      </c>
      <c r="M98" s="78" t="str">
        <f>IF(B98="","",$C$37*(1+$C$13)^(-C98))</f>
        <v/>
      </c>
      <c r="N98" s="59" t="str">
        <f>IF(B98="","",L98*M98)</f>
        <v/>
      </c>
      <c r="O98" s="59" t="str">
        <f>IF(B98="","",IF(B98="Básico",F98,0)-IF(A98=$C$38,$C$30,0))</f>
        <v/>
      </c>
      <c r="P98" s="77">
        <f>IF(B98="",$C$31,D98)</f>
        <v>46295.0</v>
      </c>
      <c r="Q98" s="59">
        <f>IF(B98="",0,L98)</f>
        <v>0</v>
      </c>
      <c r="R98" s="59">
        <f>IF(B98="",0,-F98)</f>
        <v>0</v>
      </c>
      <c r="S98" s="59" t="str">
        <f>IF(B98="","",O98*M98)</f>
        <v/>
      </c>
    </row>
    <row r="99">
      <c r="A99" s="7" t="n">
        <v>54</v>
      </c>
      <c r="B99" s="7" t="str">
        <f>IF(A99&gt;$C$38,"",IF(A99&lt;=$C$5,"Básico",IF($C$6&gt;0,"Sucesivo","Opción de compra")))</f>
        <v/>
      </c>
      <c r="C99" s="7" t="str">
        <f>IF(B99="","",IF(B99="Opción de compra",$C$5,A99-$C$7))</f>
        <v/>
      </c>
      <c r="D99" s="77" t="str">
        <f>IF(B99="","",EDATE($C$33,C99))</f>
        <v/>
      </c>
      <c r="E99" s="59" t="str">
        <f>IF(B99="","",I98)</f>
        <v/>
      </c>
      <c r="F99" s="59" t="str">
        <f>IF(B99="","",IF(B99="Básico",$C$24,IF(B99="Sucesivo",$C$25,$C$26)))</f>
        <v/>
      </c>
      <c r="G99" s="59" t="str">
        <f>IF(B99="","",IF(B99="Opción de compra",0,(E99-$C$7*F99)*IF(B99="Sucesivo",$C$11,$C$9)))</f>
        <v/>
      </c>
      <c r="H99" s="59" t="str">
        <f>IF(B99="","",F99-G99)</f>
        <v/>
      </c>
      <c r="I99" s="59" t="str">
        <f>IF(B99="","",E99-H99)</f>
        <v/>
      </c>
      <c r="J99" s="59" t="str">
        <f>IF(B99="","",IF(OR(inp_Tipo="Arrendamiento Puro",par_BaseIVAFin="Sobre renta",B99="Opción de compra"),F99,G99)*$C$14)</f>
        <v/>
      </c>
      <c r="K99" s="59" t="str">
        <f>IF(B99="","",F99+J99)</f>
        <v/>
      </c>
      <c r="L99" s="59" t="str">
        <f>IF(B99="","",F99-IF(A99=$C$38,$C$30,0))</f>
        <v/>
      </c>
      <c r="M99" s="78" t="str">
        <f>IF(B99="","",$C$37*(1+$C$13)^(-C99))</f>
        <v/>
      </c>
      <c r="N99" s="59" t="str">
        <f>IF(B99="","",L99*M99)</f>
        <v/>
      </c>
      <c r="O99" s="59" t="str">
        <f>IF(B99="","",IF(B99="Básico",F99,0)-IF(A99=$C$38,$C$30,0))</f>
        <v/>
      </c>
      <c r="P99" s="77">
        <f>IF(B99="",$C$31,D99)</f>
        <v>46295.0</v>
      </c>
      <c r="Q99" s="59">
        <f>IF(B99="",0,L99)</f>
        <v>0</v>
      </c>
      <c r="R99" s="59">
        <f>IF(B99="",0,-F99)</f>
        <v>0</v>
      </c>
      <c r="S99" s="59" t="str">
        <f>IF(B99="","",O99*M99)</f>
        <v/>
      </c>
    </row>
    <row r="100">
      <c r="A100" s="7" t="n">
        <v>55</v>
      </c>
      <c r="B100" s="7" t="str">
        <f>IF(A100&gt;$C$38,"",IF(A100&lt;=$C$5,"Básico",IF($C$6&gt;0,"Sucesivo","Opción de compra")))</f>
        <v/>
      </c>
      <c r="C100" s="7" t="str">
        <f>IF(B100="","",IF(B100="Opción de compra",$C$5,A100-$C$7))</f>
        <v/>
      </c>
      <c r="D100" s="77" t="str">
        <f>IF(B100="","",EDATE($C$33,C100))</f>
        <v/>
      </c>
      <c r="E100" s="59" t="str">
        <f>IF(B100="","",I99)</f>
        <v/>
      </c>
      <c r="F100" s="59" t="str">
        <f>IF(B100="","",IF(B100="Básico",$C$24,IF(B100="Sucesivo",$C$25,$C$26)))</f>
        <v/>
      </c>
      <c r="G100" s="59" t="str">
        <f>IF(B100="","",IF(B100="Opción de compra",0,(E100-$C$7*F100)*IF(B100="Sucesivo",$C$11,$C$9)))</f>
        <v/>
      </c>
      <c r="H100" s="59" t="str">
        <f>IF(B100="","",F100-G100)</f>
        <v/>
      </c>
      <c r="I100" s="59" t="str">
        <f>IF(B100="","",E100-H100)</f>
        <v/>
      </c>
      <c r="J100" s="59" t="str">
        <f>IF(B100="","",IF(OR(inp_Tipo="Arrendamiento Puro",par_BaseIVAFin="Sobre renta",B100="Opción de compra"),F100,G100)*$C$14)</f>
        <v/>
      </c>
      <c r="K100" s="59" t="str">
        <f>IF(B100="","",F100+J100)</f>
        <v/>
      </c>
      <c r="L100" s="59" t="str">
        <f>IF(B100="","",F100-IF(A100=$C$38,$C$30,0))</f>
        <v/>
      </c>
      <c r="M100" s="78" t="str">
        <f>IF(B100="","",$C$37*(1+$C$13)^(-C100))</f>
        <v/>
      </c>
      <c r="N100" s="59" t="str">
        <f>IF(B100="","",L100*M100)</f>
        <v/>
      </c>
      <c r="O100" s="59" t="str">
        <f>IF(B100="","",IF(B100="Básico",F100,0)-IF(A100=$C$38,$C$30,0))</f>
        <v/>
      </c>
      <c r="P100" s="77">
        <f>IF(B100="",$C$31,D100)</f>
        <v>46295.0</v>
      </c>
      <c r="Q100" s="59">
        <f>IF(B100="",0,L100)</f>
        <v>0</v>
      </c>
      <c r="R100" s="59">
        <f>IF(B100="",0,-F100)</f>
        <v>0</v>
      </c>
      <c r="S100" s="59" t="str">
        <f>IF(B100="","",O100*M100)</f>
        <v/>
      </c>
    </row>
    <row r="101">
      <c r="A101" s="7" t="n">
        <v>56</v>
      </c>
      <c r="B101" s="7" t="str">
        <f>IF(A101&gt;$C$38,"",IF(A101&lt;=$C$5,"Básico",IF($C$6&gt;0,"Sucesivo","Opción de compra")))</f>
        <v/>
      </c>
      <c r="C101" s="7" t="str">
        <f>IF(B101="","",IF(B101="Opción de compra",$C$5,A101-$C$7))</f>
        <v/>
      </c>
      <c r="D101" s="77" t="str">
        <f>IF(B101="","",EDATE($C$33,C101))</f>
        <v/>
      </c>
      <c r="E101" s="59" t="str">
        <f>IF(B101="","",I100)</f>
        <v/>
      </c>
      <c r="F101" s="59" t="str">
        <f>IF(B101="","",IF(B101="Básico",$C$24,IF(B101="Sucesivo",$C$25,$C$26)))</f>
        <v/>
      </c>
      <c r="G101" s="59" t="str">
        <f>IF(B101="","",IF(B101="Opción de compra",0,(E101-$C$7*F101)*IF(B101="Sucesivo",$C$11,$C$9)))</f>
        <v/>
      </c>
      <c r="H101" s="59" t="str">
        <f>IF(B101="","",F101-G101)</f>
        <v/>
      </c>
      <c r="I101" s="59" t="str">
        <f>IF(B101="","",E101-H101)</f>
        <v/>
      </c>
      <c r="J101" s="59" t="str">
        <f>IF(B101="","",IF(OR(inp_Tipo="Arrendamiento Puro",par_BaseIVAFin="Sobre renta",B101="Opción de compra"),F101,G101)*$C$14)</f>
        <v/>
      </c>
      <c r="K101" s="59" t="str">
        <f>IF(B101="","",F101+J101)</f>
        <v/>
      </c>
      <c r="L101" s="59" t="str">
        <f>IF(B101="","",F101-IF(A101=$C$38,$C$30,0))</f>
        <v/>
      </c>
      <c r="M101" s="78" t="str">
        <f>IF(B101="","",$C$37*(1+$C$13)^(-C101))</f>
        <v/>
      </c>
      <c r="N101" s="59" t="str">
        <f>IF(B101="","",L101*M101)</f>
        <v/>
      </c>
      <c r="O101" s="59" t="str">
        <f>IF(B101="","",IF(B101="Básico",F101,0)-IF(A101=$C$38,$C$30,0))</f>
        <v/>
      </c>
      <c r="P101" s="77">
        <f>IF(B101="",$C$31,D101)</f>
        <v>46295.0</v>
      </c>
      <c r="Q101" s="59">
        <f>IF(B101="",0,L101)</f>
        <v>0</v>
      </c>
      <c r="R101" s="59">
        <f>IF(B101="",0,-F101)</f>
        <v>0</v>
      </c>
      <c r="S101" s="59" t="str">
        <f>IF(B101="","",O101*M101)</f>
        <v/>
      </c>
    </row>
    <row r="102">
      <c r="A102" s="7" t="n">
        <v>57</v>
      </c>
      <c r="B102" s="7" t="str">
        <f>IF(A102&gt;$C$38,"",IF(A102&lt;=$C$5,"Básico",IF($C$6&gt;0,"Sucesivo","Opción de compra")))</f>
        <v/>
      </c>
      <c r="C102" s="7" t="str">
        <f>IF(B102="","",IF(B102="Opción de compra",$C$5,A102-$C$7))</f>
        <v/>
      </c>
      <c r="D102" s="77" t="str">
        <f>IF(B102="","",EDATE($C$33,C102))</f>
        <v/>
      </c>
      <c r="E102" s="59" t="str">
        <f>IF(B102="","",I101)</f>
        <v/>
      </c>
      <c r="F102" s="59" t="str">
        <f>IF(B102="","",IF(B102="Básico",$C$24,IF(B102="Sucesivo",$C$25,$C$26)))</f>
        <v/>
      </c>
      <c r="G102" s="59" t="str">
        <f>IF(B102="","",IF(B102="Opción de compra",0,(E102-$C$7*F102)*IF(B102="Sucesivo",$C$11,$C$9)))</f>
        <v/>
      </c>
      <c r="H102" s="59" t="str">
        <f>IF(B102="","",F102-G102)</f>
        <v/>
      </c>
      <c r="I102" s="59" t="str">
        <f>IF(B102="","",E102-H102)</f>
        <v/>
      </c>
      <c r="J102" s="59" t="str">
        <f>IF(B102="","",IF(OR(inp_Tipo="Arrendamiento Puro",par_BaseIVAFin="Sobre renta",B102="Opción de compra"),F102,G102)*$C$14)</f>
        <v/>
      </c>
      <c r="K102" s="59" t="str">
        <f>IF(B102="","",F102+J102)</f>
        <v/>
      </c>
      <c r="L102" s="59" t="str">
        <f>IF(B102="","",F102-IF(A102=$C$38,$C$30,0))</f>
        <v/>
      </c>
      <c r="M102" s="78" t="str">
        <f>IF(B102="","",$C$37*(1+$C$13)^(-C102))</f>
        <v/>
      </c>
      <c r="N102" s="59" t="str">
        <f>IF(B102="","",L102*M102)</f>
        <v/>
      </c>
      <c r="O102" s="59" t="str">
        <f>IF(B102="","",IF(B102="Básico",F102,0)-IF(A102=$C$38,$C$30,0))</f>
        <v/>
      </c>
      <c r="P102" s="77">
        <f>IF(B102="",$C$31,D102)</f>
        <v>46295.0</v>
      </c>
      <c r="Q102" s="59">
        <f>IF(B102="",0,L102)</f>
        <v>0</v>
      </c>
      <c r="R102" s="59">
        <f>IF(B102="",0,-F102)</f>
        <v>0</v>
      </c>
      <c r="S102" s="59" t="str">
        <f>IF(B102="","",O102*M102)</f>
        <v/>
      </c>
    </row>
    <row r="103">
      <c r="A103" s="7" t="n">
        <v>58</v>
      </c>
      <c r="B103" s="7" t="str">
        <f>IF(A103&gt;$C$38,"",IF(A103&lt;=$C$5,"Básico",IF($C$6&gt;0,"Sucesivo","Opción de compra")))</f>
        <v/>
      </c>
      <c r="C103" s="7" t="str">
        <f>IF(B103="","",IF(B103="Opción de compra",$C$5,A103-$C$7))</f>
        <v/>
      </c>
      <c r="D103" s="77" t="str">
        <f>IF(B103="","",EDATE($C$33,C103))</f>
        <v/>
      </c>
      <c r="E103" s="59" t="str">
        <f>IF(B103="","",I102)</f>
        <v/>
      </c>
      <c r="F103" s="59" t="str">
        <f>IF(B103="","",IF(B103="Básico",$C$24,IF(B103="Sucesivo",$C$25,$C$26)))</f>
        <v/>
      </c>
      <c r="G103" s="59" t="str">
        <f>IF(B103="","",IF(B103="Opción de compra",0,(E103-$C$7*F103)*IF(B103="Sucesivo",$C$11,$C$9)))</f>
        <v/>
      </c>
      <c r="H103" s="59" t="str">
        <f>IF(B103="","",F103-G103)</f>
        <v/>
      </c>
      <c r="I103" s="59" t="str">
        <f>IF(B103="","",E103-H103)</f>
        <v/>
      </c>
      <c r="J103" s="59" t="str">
        <f>IF(B103="","",IF(OR(inp_Tipo="Arrendamiento Puro",par_BaseIVAFin="Sobre renta",B103="Opción de compra"),F103,G103)*$C$14)</f>
        <v/>
      </c>
      <c r="K103" s="59" t="str">
        <f>IF(B103="","",F103+J103)</f>
        <v/>
      </c>
      <c r="L103" s="59" t="str">
        <f>IF(B103="","",F103-IF(A103=$C$38,$C$30,0))</f>
        <v/>
      </c>
      <c r="M103" s="78" t="str">
        <f>IF(B103="","",$C$37*(1+$C$13)^(-C103))</f>
        <v/>
      </c>
      <c r="N103" s="59" t="str">
        <f>IF(B103="","",L103*M103)</f>
        <v/>
      </c>
      <c r="O103" s="59" t="str">
        <f>IF(B103="","",IF(B103="Básico",F103,0)-IF(A103=$C$38,$C$30,0))</f>
        <v/>
      </c>
      <c r="P103" s="77">
        <f>IF(B103="",$C$31,D103)</f>
        <v>46295.0</v>
      </c>
      <c r="Q103" s="59">
        <f>IF(B103="",0,L103)</f>
        <v>0</v>
      </c>
      <c r="R103" s="59">
        <f>IF(B103="",0,-F103)</f>
        <v>0</v>
      </c>
      <c r="S103" s="59" t="str">
        <f>IF(B103="","",O103*M103)</f>
        <v/>
      </c>
    </row>
    <row r="104">
      <c r="A104" s="7" t="n">
        <v>59</v>
      </c>
      <c r="B104" s="7" t="str">
        <f>IF(A104&gt;$C$38,"",IF(A104&lt;=$C$5,"Básico",IF($C$6&gt;0,"Sucesivo","Opción de compra")))</f>
        <v/>
      </c>
      <c r="C104" s="7" t="str">
        <f>IF(B104="","",IF(B104="Opción de compra",$C$5,A104-$C$7))</f>
        <v/>
      </c>
      <c r="D104" s="77" t="str">
        <f>IF(B104="","",EDATE($C$33,C104))</f>
        <v/>
      </c>
      <c r="E104" s="59" t="str">
        <f>IF(B104="","",I103)</f>
        <v/>
      </c>
      <c r="F104" s="59" t="str">
        <f>IF(B104="","",IF(B104="Básico",$C$24,IF(B104="Sucesivo",$C$25,$C$26)))</f>
        <v/>
      </c>
      <c r="G104" s="59" t="str">
        <f>IF(B104="","",IF(B104="Opción de compra",0,(E104-$C$7*F104)*IF(B104="Sucesivo",$C$11,$C$9)))</f>
        <v/>
      </c>
      <c r="H104" s="59" t="str">
        <f>IF(B104="","",F104-G104)</f>
        <v/>
      </c>
      <c r="I104" s="59" t="str">
        <f>IF(B104="","",E104-H104)</f>
        <v/>
      </c>
      <c r="J104" s="59" t="str">
        <f>IF(B104="","",IF(OR(inp_Tipo="Arrendamiento Puro",par_BaseIVAFin="Sobre renta",B104="Opción de compra"),F104,G104)*$C$14)</f>
        <v/>
      </c>
      <c r="K104" s="59" t="str">
        <f>IF(B104="","",F104+J104)</f>
        <v/>
      </c>
      <c r="L104" s="59" t="str">
        <f>IF(B104="","",F104-IF(A104=$C$38,$C$30,0))</f>
        <v/>
      </c>
      <c r="M104" s="78" t="str">
        <f>IF(B104="","",$C$37*(1+$C$13)^(-C104))</f>
        <v/>
      </c>
      <c r="N104" s="59" t="str">
        <f>IF(B104="","",L104*M104)</f>
        <v/>
      </c>
      <c r="O104" s="59" t="str">
        <f>IF(B104="","",IF(B104="Básico",F104,0)-IF(A104=$C$38,$C$30,0))</f>
        <v/>
      </c>
      <c r="P104" s="77">
        <f>IF(B104="",$C$31,D104)</f>
        <v>46295.0</v>
      </c>
      <c r="Q104" s="59">
        <f>IF(B104="",0,L104)</f>
        <v>0</v>
      </c>
      <c r="R104" s="59">
        <f>IF(B104="",0,-F104)</f>
        <v>0</v>
      </c>
      <c r="S104" s="59" t="str">
        <f>IF(B104="","",O104*M104)</f>
        <v/>
      </c>
    </row>
    <row r="105">
      <c r="A105" s="7" t="n">
        <v>60</v>
      </c>
      <c r="B105" s="7" t="str">
        <f>IF(A105&gt;$C$38,"",IF(A105&lt;=$C$5,"Básico",IF($C$6&gt;0,"Sucesivo","Opción de compra")))</f>
        <v/>
      </c>
      <c r="C105" s="7" t="str">
        <f>IF(B105="","",IF(B105="Opción de compra",$C$5,A105-$C$7))</f>
        <v/>
      </c>
      <c r="D105" s="77" t="str">
        <f>IF(B105="","",EDATE($C$33,C105))</f>
        <v/>
      </c>
      <c r="E105" s="59" t="str">
        <f>IF(B105="","",I104)</f>
        <v/>
      </c>
      <c r="F105" s="59" t="str">
        <f>IF(B105="","",IF(B105="Básico",$C$24,IF(B105="Sucesivo",$C$25,$C$26)))</f>
        <v/>
      </c>
      <c r="G105" s="59" t="str">
        <f>IF(B105="","",IF(B105="Opción de compra",0,(E105-$C$7*F105)*IF(B105="Sucesivo",$C$11,$C$9)))</f>
        <v/>
      </c>
      <c r="H105" s="59" t="str">
        <f>IF(B105="","",F105-G105)</f>
        <v/>
      </c>
      <c r="I105" s="59" t="str">
        <f>IF(B105="","",E105-H105)</f>
        <v/>
      </c>
      <c r="J105" s="59" t="str">
        <f>IF(B105="","",IF(OR(inp_Tipo="Arrendamiento Puro",par_BaseIVAFin="Sobre renta",B105="Opción de compra"),F105,G105)*$C$14)</f>
        <v/>
      </c>
      <c r="K105" s="59" t="str">
        <f>IF(B105="","",F105+J105)</f>
        <v/>
      </c>
      <c r="L105" s="59" t="str">
        <f>IF(B105="","",F105-IF(A105=$C$38,$C$30,0))</f>
        <v/>
      </c>
      <c r="M105" s="78" t="str">
        <f>IF(B105="","",$C$37*(1+$C$13)^(-C105))</f>
        <v/>
      </c>
      <c r="N105" s="59" t="str">
        <f>IF(B105="","",L105*M105)</f>
        <v/>
      </c>
      <c r="O105" s="59" t="str">
        <f>IF(B105="","",IF(B105="Básico",F105,0)-IF(A105=$C$38,$C$30,0))</f>
        <v/>
      </c>
      <c r="P105" s="77">
        <f>IF(B105="",$C$31,D105)</f>
        <v>46295.0</v>
      </c>
      <c r="Q105" s="59">
        <f>IF(B105="",0,L105)</f>
        <v>0</v>
      </c>
      <c r="R105" s="59">
        <f>IF(B105="",0,-F105)</f>
        <v>0</v>
      </c>
      <c r="S105" s="59" t="str">
        <f>IF(B105="","",O105*M105)</f>
        <v/>
      </c>
    </row>
    <row r="106">
      <c r="A106" s="7" t="n">
        <v>61</v>
      </c>
      <c r="B106" s="7" t="str">
        <f>IF(A106&gt;$C$38,"",IF(A106&lt;=$C$5,"Básico",IF($C$6&gt;0,"Sucesivo","Opción de compra")))</f>
        <v/>
      </c>
      <c r="C106" s="7" t="str">
        <f>IF(B106="","",IF(B106="Opción de compra",$C$5,A106-$C$7))</f>
        <v/>
      </c>
      <c r="D106" s="77" t="str">
        <f>IF(B106="","",EDATE($C$33,C106))</f>
        <v/>
      </c>
      <c r="E106" s="59" t="str">
        <f>IF(B106="","",I105)</f>
        <v/>
      </c>
      <c r="F106" s="59" t="str">
        <f>IF(B106="","",IF(B106="Básico",$C$24,IF(B106="Sucesivo",$C$25,$C$26)))</f>
        <v/>
      </c>
      <c r="G106" s="59" t="str">
        <f>IF(B106="","",IF(B106="Opción de compra",0,(E106-$C$7*F106)*IF(B106="Sucesivo",$C$11,$C$9)))</f>
        <v/>
      </c>
      <c r="H106" s="59" t="str">
        <f>IF(B106="","",F106-G106)</f>
        <v/>
      </c>
      <c r="I106" s="59" t="str">
        <f>IF(B106="","",E106-H106)</f>
        <v/>
      </c>
      <c r="J106" s="59" t="str">
        <f>IF(B106="","",IF(OR(inp_Tipo="Arrendamiento Puro",par_BaseIVAFin="Sobre renta",B106="Opción de compra"),F106,G106)*$C$14)</f>
        <v/>
      </c>
      <c r="K106" s="59" t="str">
        <f>IF(B106="","",F106+J106)</f>
        <v/>
      </c>
      <c r="L106" s="59" t="str">
        <f>IF(B106="","",F106-IF(A106=$C$38,$C$30,0))</f>
        <v/>
      </c>
      <c r="M106" s="78" t="str">
        <f>IF(B106="","",$C$37*(1+$C$13)^(-C106))</f>
        <v/>
      </c>
      <c r="N106" s="59" t="str">
        <f>IF(B106="","",L106*M106)</f>
        <v/>
      </c>
      <c r="O106" s="59" t="str">
        <f>IF(B106="","",IF(B106="Básico",F106,0)-IF(A106=$C$38,$C$30,0))</f>
        <v/>
      </c>
      <c r="P106" s="77">
        <f>IF(B106="",$C$31,D106)</f>
        <v>46295.0</v>
      </c>
      <c r="Q106" s="59">
        <f>IF(B106="",0,L106)</f>
        <v>0</v>
      </c>
      <c r="R106" s="59">
        <f>IF(B106="",0,-F106)</f>
        <v>0</v>
      </c>
      <c r="S106" s="59" t="str">
        <f>IF(B106="","",O106*M106)</f>
        <v/>
      </c>
    </row>
    <row r="107">
      <c r="A107" s="7" t="n">
        <v>62</v>
      </c>
      <c r="B107" s="7" t="str">
        <f>IF(A107&gt;$C$38,"",IF(A107&lt;=$C$5,"Básico",IF($C$6&gt;0,"Sucesivo","Opción de compra")))</f>
        <v/>
      </c>
      <c r="C107" s="7" t="str">
        <f>IF(B107="","",IF(B107="Opción de compra",$C$5,A107-$C$7))</f>
        <v/>
      </c>
      <c r="D107" s="77" t="str">
        <f>IF(B107="","",EDATE($C$33,C107))</f>
        <v/>
      </c>
      <c r="E107" s="59" t="str">
        <f>IF(B107="","",I106)</f>
        <v/>
      </c>
      <c r="F107" s="59" t="str">
        <f>IF(B107="","",IF(B107="Básico",$C$24,IF(B107="Sucesivo",$C$25,$C$26)))</f>
        <v/>
      </c>
      <c r="G107" s="59" t="str">
        <f>IF(B107="","",IF(B107="Opción de compra",0,(E107-$C$7*F107)*IF(B107="Sucesivo",$C$11,$C$9)))</f>
        <v/>
      </c>
      <c r="H107" s="59" t="str">
        <f>IF(B107="","",F107-G107)</f>
        <v/>
      </c>
      <c r="I107" s="59" t="str">
        <f>IF(B107="","",E107-H107)</f>
        <v/>
      </c>
      <c r="J107" s="59" t="str">
        <f>IF(B107="","",IF(OR(inp_Tipo="Arrendamiento Puro",par_BaseIVAFin="Sobre renta",B107="Opción de compra"),F107,G107)*$C$14)</f>
        <v/>
      </c>
      <c r="K107" s="59" t="str">
        <f>IF(B107="","",F107+J107)</f>
        <v/>
      </c>
      <c r="L107" s="59" t="str">
        <f>IF(B107="","",F107-IF(A107=$C$38,$C$30,0))</f>
        <v/>
      </c>
      <c r="M107" s="78" t="str">
        <f>IF(B107="","",$C$37*(1+$C$13)^(-C107))</f>
        <v/>
      </c>
      <c r="N107" s="59" t="str">
        <f>IF(B107="","",L107*M107)</f>
        <v/>
      </c>
      <c r="O107" s="59" t="str">
        <f>IF(B107="","",IF(B107="Básico",F107,0)-IF(A107=$C$38,$C$30,0))</f>
        <v/>
      </c>
      <c r="P107" s="77">
        <f>IF(B107="",$C$31,D107)</f>
        <v>46295.0</v>
      </c>
      <c r="Q107" s="59">
        <f>IF(B107="",0,L107)</f>
        <v>0</v>
      </c>
      <c r="R107" s="59">
        <f>IF(B107="",0,-F107)</f>
        <v>0</v>
      </c>
      <c r="S107" s="59" t="str">
        <f>IF(B107="","",O107*M107)</f>
        <v/>
      </c>
    </row>
    <row r="108">
      <c r="A108" s="7" t="n">
        <v>63</v>
      </c>
      <c r="B108" s="7" t="str">
        <f>IF(A108&gt;$C$38,"",IF(A108&lt;=$C$5,"Básico",IF($C$6&gt;0,"Sucesivo","Opción de compra")))</f>
        <v/>
      </c>
      <c r="C108" s="7" t="str">
        <f>IF(B108="","",IF(B108="Opción de compra",$C$5,A108-$C$7))</f>
        <v/>
      </c>
      <c r="D108" s="77" t="str">
        <f>IF(B108="","",EDATE($C$33,C108))</f>
        <v/>
      </c>
      <c r="E108" s="59" t="str">
        <f>IF(B108="","",I107)</f>
        <v/>
      </c>
      <c r="F108" s="59" t="str">
        <f>IF(B108="","",IF(B108="Básico",$C$24,IF(B108="Sucesivo",$C$25,$C$26)))</f>
        <v/>
      </c>
      <c r="G108" s="59" t="str">
        <f>IF(B108="","",IF(B108="Opción de compra",0,(E108-$C$7*F108)*IF(B108="Sucesivo",$C$11,$C$9)))</f>
        <v/>
      </c>
      <c r="H108" s="59" t="str">
        <f>IF(B108="","",F108-G108)</f>
        <v/>
      </c>
      <c r="I108" s="59" t="str">
        <f>IF(B108="","",E108-H108)</f>
        <v/>
      </c>
      <c r="J108" s="59" t="str">
        <f>IF(B108="","",IF(OR(inp_Tipo="Arrendamiento Puro",par_BaseIVAFin="Sobre renta",B108="Opción de compra"),F108,G108)*$C$14)</f>
        <v/>
      </c>
      <c r="K108" s="59" t="str">
        <f>IF(B108="","",F108+J108)</f>
        <v/>
      </c>
      <c r="L108" s="59" t="str">
        <f>IF(B108="","",F108-IF(A108=$C$38,$C$30,0))</f>
        <v/>
      </c>
      <c r="M108" s="78" t="str">
        <f>IF(B108="","",$C$37*(1+$C$13)^(-C108))</f>
        <v/>
      </c>
      <c r="N108" s="59" t="str">
        <f>IF(B108="","",L108*M108)</f>
        <v/>
      </c>
      <c r="O108" s="59" t="str">
        <f>IF(B108="","",IF(B108="Básico",F108,0)-IF(A108=$C$38,$C$30,0))</f>
        <v/>
      </c>
      <c r="P108" s="77">
        <f>IF(B108="",$C$31,D108)</f>
        <v>46295.0</v>
      </c>
      <c r="Q108" s="59">
        <f>IF(B108="",0,L108)</f>
        <v>0</v>
      </c>
      <c r="R108" s="59">
        <f>IF(B108="",0,-F108)</f>
        <v>0</v>
      </c>
      <c r="S108" s="59" t="str">
        <f>IF(B108="","",O108*M108)</f>
        <v/>
      </c>
    </row>
    <row r="109">
      <c r="A109" s="7" t="n">
        <v>64</v>
      </c>
      <c r="B109" s="7" t="str">
        <f>IF(A109&gt;$C$38,"",IF(A109&lt;=$C$5,"Básico",IF($C$6&gt;0,"Sucesivo","Opción de compra")))</f>
        <v/>
      </c>
      <c r="C109" s="7" t="str">
        <f>IF(B109="","",IF(B109="Opción de compra",$C$5,A109-$C$7))</f>
        <v/>
      </c>
      <c r="D109" s="77" t="str">
        <f>IF(B109="","",EDATE($C$33,C109))</f>
        <v/>
      </c>
      <c r="E109" s="59" t="str">
        <f>IF(B109="","",I108)</f>
        <v/>
      </c>
      <c r="F109" s="59" t="str">
        <f>IF(B109="","",IF(B109="Básico",$C$24,IF(B109="Sucesivo",$C$25,$C$26)))</f>
        <v/>
      </c>
      <c r="G109" s="59" t="str">
        <f>IF(B109="","",IF(B109="Opción de compra",0,(E109-$C$7*F109)*IF(B109="Sucesivo",$C$11,$C$9)))</f>
        <v/>
      </c>
      <c r="H109" s="59" t="str">
        <f>IF(B109="","",F109-G109)</f>
        <v/>
      </c>
      <c r="I109" s="59" t="str">
        <f>IF(B109="","",E109-H109)</f>
        <v/>
      </c>
      <c r="J109" s="59" t="str">
        <f>IF(B109="","",IF(OR(inp_Tipo="Arrendamiento Puro",par_BaseIVAFin="Sobre renta",B109="Opción de compra"),F109,G109)*$C$14)</f>
        <v/>
      </c>
      <c r="K109" s="59" t="str">
        <f>IF(B109="","",F109+J109)</f>
        <v/>
      </c>
      <c r="L109" s="59" t="str">
        <f>IF(B109="","",F109-IF(A109=$C$38,$C$30,0))</f>
        <v/>
      </c>
      <c r="M109" s="78" t="str">
        <f>IF(B109="","",$C$37*(1+$C$13)^(-C109))</f>
        <v/>
      </c>
      <c r="N109" s="59" t="str">
        <f>IF(B109="","",L109*M109)</f>
        <v/>
      </c>
      <c r="O109" s="59" t="str">
        <f>IF(B109="","",IF(B109="Básico",F109,0)-IF(A109=$C$38,$C$30,0))</f>
        <v/>
      </c>
      <c r="P109" s="77">
        <f>IF(B109="",$C$31,D109)</f>
        <v>46295.0</v>
      </c>
      <c r="Q109" s="59">
        <f>IF(B109="",0,L109)</f>
        <v>0</v>
      </c>
      <c r="R109" s="59">
        <f>IF(B109="",0,-F109)</f>
        <v>0</v>
      </c>
      <c r="S109" s="59" t="str">
        <f>IF(B109="","",O109*M109)</f>
        <v/>
      </c>
    </row>
    <row r="110">
      <c r="A110" s="7" t="n">
        <v>65</v>
      </c>
      <c r="B110" s="7" t="str">
        <f>IF(A110&gt;$C$38,"",IF(A110&lt;=$C$5,"Básico",IF($C$6&gt;0,"Sucesivo","Opción de compra")))</f>
        <v/>
      </c>
      <c r="C110" s="7" t="str">
        <f>IF(B110="","",IF(B110="Opción de compra",$C$5,A110-$C$7))</f>
        <v/>
      </c>
      <c r="D110" s="77" t="str">
        <f>IF(B110="","",EDATE($C$33,C110))</f>
        <v/>
      </c>
      <c r="E110" s="59" t="str">
        <f>IF(B110="","",I109)</f>
        <v/>
      </c>
      <c r="F110" s="59" t="str">
        <f>IF(B110="","",IF(B110="Básico",$C$24,IF(B110="Sucesivo",$C$25,$C$26)))</f>
        <v/>
      </c>
      <c r="G110" s="59" t="str">
        <f>IF(B110="","",IF(B110="Opción de compra",0,(E110-$C$7*F110)*IF(B110="Sucesivo",$C$11,$C$9)))</f>
        <v/>
      </c>
      <c r="H110" s="59" t="str">
        <f>IF(B110="","",F110-G110)</f>
        <v/>
      </c>
      <c r="I110" s="59" t="str">
        <f>IF(B110="","",E110-H110)</f>
        <v/>
      </c>
      <c r="J110" s="59" t="str">
        <f>IF(B110="","",IF(OR(inp_Tipo="Arrendamiento Puro",par_BaseIVAFin="Sobre renta",B110="Opción de compra"),F110,G110)*$C$14)</f>
        <v/>
      </c>
      <c r="K110" s="59" t="str">
        <f>IF(B110="","",F110+J110)</f>
        <v/>
      </c>
      <c r="L110" s="59" t="str">
        <f>IF(B110="","",F110-IF(A110=$C$38,$C$30,0))</f>
        <v/>
      </c>
      <c r="M110" s="78" t="str">
        <f>IF(B110="","",$C$37*(1+$C$13)^(-C110))</f>
        <v/>
      </c>
      <c r="N110" s="59" t="str">
        <f>IF(B110="","",L110*M110)</f>
        <v/>
      </c>
      <c r="O110" s="59" t="str">
        <f>IF(B110="","",IF(B110="Básico",F110,0)-IF(A110=$C$38,$C$30,0))</f>
        <v/>
      </c>
      <c r="P110" s="77">
        <f>IF(B110="",$C$31,D110)</f>
        <v>46295.0</v>
      </c>
      <c r="Q110" s="59">
        <f>IF(B110="",0,L110)</f>
        <v>0</v>
      </c>
      <c r="R110" s="59">
        <f>IF(B110="",0,-F110)</f>
        <v>0</v>
      </c>
      <c r="S110" s="59" t="str">
        <f>IF(B110="","",O110*M110)</f>
        <v/>
      </c>
    </row>
    <row r="111">
      <c r="A111" s="7" t="n">
        <v>66</v>
      </c>
      <c r="B111" s="7" t="str">
        <f>IF(A111&gt;$C$38,"",IF(A111&lt;=$C$5,"Básico",IF($C$6&gt;0,"Sucesivo","Opción de compra")))</f>
        <v/>
      </c>
      <c r="C111" s="7" t="str">
        <f>IF(B111="","",IF(B111="Opción de compra",$C$5,A111-$C$7))</f>
        <v/>
      </c>
      <c r="D111" s="77" t="str">
        <f>IF(B111="","",EDATE($C$33,C111))</f>
        <v/>
      </c>
      <c r="E111" s="59" t="str">
        <f>IF(B111="","",I110)</f>
        <v/>
      </c>
      <c r="F111" s="59" t="str">
        <f>IF(B111="","",IF(B111="Básico",$C$24,IF(B111="Sucesivo",$C$25,$C$26)))</f>
        <v/>
      </c>
      <c r="G111" s="59" t="str">
        <f>IF(B111="","",IF(B111="Opción de compra",0,(E111-$C$7*F111)*IF(B111="Sucesivo",$C$11,$C$9)))</f>
        <v/>
      </c>
      <c r="H111" s="59" t="str">
        <f>IF(B111="","",F111-G111)</f>
        <v/>
      </c>
      <c r="I111" s="59" t="str">
        <f>IF(B111="","",E111-H111)</f>
        <v/>
      </c>
      <c r="J111" s="59" t="str">
        <f>IF(B111="","",IF(OR(inp_Tipo="Arrendamiento Puro",par_BaseIVAFin="Sobre renta",B111="Opción de compra"),F111,G111)*$C$14)</f>
        <v/>
      </c>
      <c r="K111" s="59" t="str">
        <f>IF(B111="","",F111+J111)</f>
        <v/>
      </c>
      <c r="L111" s="59" t="str">
        <f>IF(B111="","",F111-IF(A111=$C$38,$C$30,0))</f>
        <v/>
      </c>
      <c r="M111" s="78" t="str">
        <f>IF(B111="","",$C$37*(1+$C$13)^(-C111))</f>
        <v/>
      </c>
      <c r="N111" s="59" t="str">
        <f>IF(B111="","",L111*M111)</f>
        <v/>
      </c>
      <c r="O111" s="59" t="str">
        <f>IF(B111="","",IF(B111="Básico",F111,0)-IF(A111=$C$38,$C$30,0))</f>
        <v/>
      </c>
      <c r="P111" s="77">
        <f>IF(B111="",$C$31,D111)</f>
        <v>46295.0</v>
      </c>
      <c r="Q111" s="59">
        <f>IF(B111="",0,L111)</f>
        <v>0</v>
      </c>
      <c r="R111" s="59">
        <f>IF(B111="",0,-F111)</f>
        <v>0</v>
      </c>
      <c r="S111" s="59" t="str">
        <f>IF(B111="","",O111*M111)</f>
        <v/>
      </c>
    </row>
    <row r="112">
      <c r="A112" s="7" t="n">
        <v>67</v>
      </c>
      <c r="B112" s="7" t="str">
        <f>IF(A112&gt;$C$38,"",IF(A112&lt;=$C$5,"Básico",IF($C$6&gt;0,"Sucesivo","Opción de compra")))</f>
        <v/>
      </c>
      <c r="C112" s="7" t="str">
        <f>IF(B112="","",IF(B112="Opción de compra",$C$5,A112-$C$7))</f>
        <v/>
      </c>
      <c r="D112" s="77" t="str">
        <f>IF(B112="","",EDATE($C$33,C112))</f>
        <v/>
      </c>
      <c r="E112" s="59" t="str">
        <f>IF(B112="","",I111)</f>
        <v/>
      </c>
      <c r="F112" s="59" t="str">
        <f>IF(B112="","",IF(B112="Básico",$C$24,IF(B112="Sucesivo",$C$25,$C$26)))</f>
        <v/>
      </c>
      <c r="G112" s="59" t="str">
        <f>IF(B112="","",IF(B112="Opción de compra",0,(E112-$C$7*F112)*IF(B112="Sucesivo",$C$11,$C$9)))</f>
        <v/>
      </c>
      <c r="H112" s="59" t="str">
        <f>IF(B112="","",F112-G112)</f>
        <v/>
      </c>
      <c r="I112" s="59" t="str">
        <f>IF(B112="","",E112-H112)</f>
        <v/>
      </c>
      <c r="J112" s="59" t="str">
        <f>IF(B112="","",IF(OR(inp_Tipo="Arrendamiento Puro",par_BaseIVAFin="Sobre renta",B112="Opción de compra"),F112,G112)*$C$14)</f>
        <v/>
      </c>
      <c r="K112" s="59" t="str">
        <f>IF(B112="","",F112+J112)</f>
        <v/>
      </c>
      <c r="L112" s="59" t="str">
        <f>IF(B112="","",F112-IF(A112=$C$38,$C$30,0))</f>
        <v/>
      </c>
      <c r="M112" s="78" t="str">
        <f>IF(B112="","",$C$37*(1+$C$13)^(-C112))</f>
        <v/>
      </c>
      <c r="N112" s="59" t="str">
        <f>IF(B112="","",L112*M112)</f>
        <v/>
      </c>
      <c r="O112" s="59" t="str">
        <f>IF(B112="","",IF(B112="Básico",F112,0)-IF(A112=$C$38,$C$30,0))</f>
        <v/>
      </c>
      <c r="P112" s="77">
        <f>IF(B112="",$C$31,D112)</f>
        <v>46295.0</v>
      </c>
      <c r="Q112" s="59">
        <f>IF(B112="",0,L112)</f>
        <v>0</v>
      </c>
      <c r="R112" s="59">
        <f>IF(B112="",0,-F112)</f>
        <v>0</v>
      </c>
      <c r="S112" s="59" t="str">
        <f>IF(B112="","",O112*M112)</f>
        <v/>
      </c>
    </row>
    <row r="113">
      <c r="A113" s="7" t="n">
        <v>68</v>
      </c>
      <c r="B113" s="7" t="str">
        <f>IF(A113&gt;$C$38,"",IF(A113&lt;=$C$5,"Básico",IF($C$6&gt;0,"Sucesivo","Opción de compra")))</f>
        <v/>
      </c>
      <c r="C113" s="7" t="str">
        <f>IF(B113="","",IF(B113="Opción de compra",$C$5,A113-$C$7))</f>
        <v/>
      </c>
      <c r="D113" s="77" t="str">
        <f>IF(B113="","",EDATE($C$33,C113))</f>
        <v/>
      </c>
      <c r="E113" s="59" t="str">
        <f>IF(B113="","",I112)</f>
        <v/>
      </c>
      <c r="F113" s="59" t="str">
        <f>IF(B113="","",IF(B113="Básico",$C$24,IF(B113="Sucesivo",$C$25,$C$26)))</f>
        <v/>
      </c>
      <c r="G113" s="59" t="str">
        <f>IF(B113="","",IF(B113="Opción de compra",0,(E113-$C$7*F113)*IF(B113="Sucesivo",$C$11,$C$9)))</f>
        <v/>
      </c>
      <c r="H113" s="59" t="str">
        <f>IF(B113="","",F113-G113)</f>
        <v/>
      </c>
      <c r="I113" s="59" t="str">
        <f>IF(B113="","",E113-H113)</f>
        <v/>
      </c>
      <c r="J113" s="59" t="str">
        <f>IF(B113="","",IF(OR(inp_Tipo="Arrendamiento Puro",par_BaseIVAFin="Sobre renta",B113="Opción de compra"),F113,G113)*$C$14)</f>
        <v/>
      </c>
      <c r="K113" s="59" t="str">
        <f>IF(B113="","",F113+J113)</f>
        <v/>
      </c>
      <c r="L113" s="59" t="str">
        <f>IF(B113="","",F113-IF(A113=$C$38,$C$30,0))</f>
        <v/>
      </c>
      <c r="M113" s="78" t="str">
        <f>IF(B113="","",$C$37*(1+$C$13)^(-C113))</f>
        <v/>
      </c>
      <c r="N113" s="59" t="str">
        <f>IF(B113="","",L113*M113)</f>
        <v/>
      </c>
      <c r="O113" s="59" t="str">
        <f>IF(B113="","",IF(B113="Básico",F113,0)-IF(A113=$C$38,$C$30,0))</f>
        <v/>
      </c>
      <c r="P113" s="77">
        <f>IF(B113="",$C$31,D113)</f>
        <v>46295.0</v>
      </c>
      <c r="Q113" s="59">
        <f>IF(B113="",0,L113)</f>
        <v>0</v>
      </c>
      <c r="R113" s="59">
        <f>IF(B113="",0,-F113)</f>
        <v>0</v>
      </c>
      <c r="S113" s="59" t="str">
        <f>IF(B113="","",O113*M113)</f>
        <v/>
      </c>
    </row>
    <row r="114">
      <c r="A114" s="7" t="n">
        <v>69</v>
      </c>
      <c r="B114" s="7" t="str">
        <f>IF(A114&gt;$C$38,"",IF(A114&lt;=$C$5,"Básico",IF($C$6&gt;0,"Sucesivo","Opción de compra")))</f>
        <v/>
      </c>
      <c r="C114" s="7" t="str">
        <f>IF(B114="","",IF(B114="Opción de compra",$C$5,A114-$C$7))</f>
        <v/>
      </c>
      <c r="D114" s="77" t="str">
        <f>IF(B114="","",EDATE($C$33,C114))</f>
        <v/>
      </c>
      <c r="E114" s="59" t="str">
        <f>IF(B114="","",I113)</f>
        <v/>
      </c>
      <c r="F114" s="59" t="str">
        <f>IF(B114="","",IF(B114="Básico",$C$24,IF(B114="Sucesivo",$C$25,$C$26)))</f>
        <v/>
      </c>
      <c r="G114" s="59" t="str">
        <f>IF(B114="","",IF(B114="Opción de compra",0,(E114-$C$7*F114)*IF(B114="Sucesivo",$C$11,$C$9)))</f>
        <v/>
      </c>
      <c r="H114" s="59" t="str">
        <f>IF(B114="","",F114-G114)</f>
        <v/>
      </c>
      <c r="I114" s="59" t="str">
        <f>IF(B114="","",E114-H114)</f>
        <v/>
      </c>
      <c r="J114" s="59" t="str">
        <f>IF(B114="","",IF(OR(inp_Tipo="Arrendamiento Puro",par_BaseIVAFin="Sobre renta",B114="Opción de compra"),F114,G114)*$C$14)</f>
        <v/>
      </c>
      <c r="K114" s="59" t="str">
        <f>IF(B114="","",F114+J114)</f>
        <v/>
      </c>
      <c r="L114" s="59" t="str">
        <f>IF(B114="","",F114-IF(A114=$C$38,$C$30,0))</f>
        <v/>
      </c>
      <c r="M114" s="78" t="str">
        <f>IF(B114="","",$C$37*(1+$C$13)^(-C114))</f>
        <v/>
      </c>
      <c r="N114" s="59" t="str">
        <f>IF(B114="","",L114*M114)</f>
        <v/>
      </c>
      <c r="O114" s="59" t="str">
        <f>IF(B114="","",IF(B114="Básico",F114,0)-IF(A114=$C$38,$C$30,0))</f>
        <v/>
      </c>
      <c r="P114" s="77">
        <f>IF(B114="",$C$31,D114)</f>
        <v>46295.0</v>
      </c>
      <c r="Q114" s="59">
        <f>IF(B114="",0,L114)</f>
        <v>0</v>
      </c>
      <c r="R114" s="59">
        <f>IF(B114="",0,-F114)</f>
        <v>0</v>
      </c>
      <c r="S114" s="59" t="str">
        <f>IF(B114="","",O114*M114)</f>
        <v/>
      </c>
    </row>
    <row r="115">
      <c r="A115" s="7" t="n">
        <v>70</v>
      </c>
      <c r="B115" s="7" t="str">
        <f>IF(A115&gt;$C$38,"",IF(A115&lt;=$C$5,"Básico",IF($C$6&gt;0,"Sucesivo","Opción de compra")))</f>
        <v/>
      </c>
      <c r="C115" s="7" t="str">
        <f>IF(B115="","",IF(B115="Opción de compra",$C$5,A115-$C$7))</f>
        <v/>
      </c>
      <c r="D115" s="77" t="str">
        <f>IF(B115="","",EDATE($C$33,C115))</f>
        <v/>
      </c>
      <c r="E115" s="59" t="str">
        <f>IF(B115="","",I114)</f>
        <v/>
      </c>
      <c r="F115" s="59" t="str">
        <f>IF(B115="","",IF(B115="Básico",$C$24,IF(B115="Sucesivo",$C$25,$C$26)))</f>
        <v/>
      </c>
      <c r="G115" s="59" t="str">
        <f>IF(B115="","",IF(B115="Opción de compra",0,(E115-$C$7*F115)*IF(B115="Sucesivo",$C$11,$C$9)))</f>
        <v/>
      </c>
      <c r="H115" s="59" t="str">
        <f>IF(B115="","",F115-G115)</f>
        <v/>
      </c>
      <c r="I115" s="59" t="str">
        <f>IF(B115="","",E115-H115)</f>
        <v/>
      </c>
      <c r="J115" s="59" t="str">
        <f>IF(B115="","",IF(OR(inp_Tipo="Arrendamiento Puro",par_BaseIVAFin="Sobre renta",B115="Opción de compra"),F115,G115)*$C$14)</f>
        <v/>
      </c>
      <c r="K115" s="59" t="str">
        <f>IF(B115="","",F115+J115)</f>
        <v/>
      </c>
      <c r="L115" s="59" t="str">
        <f>IF(B115="","",F115-IF(A115=$C$38,$C$30,0))</f>
        <v/>
      </c>
      <c r="M115" s="78" t="str">
        <f>IF(B115="","",$C$37*(1+$C$13)^(-C115))</f>
        <v/>
      </c>
      <c r="N115" s="59" t="str">
        <f>IF(B115="","",L115*M115)</f>
        <v/>
      </c>
      <c r="O115" s="59" t="str">
        <f>IF(B115="","",IF(B115="Básico",F115,0)-IF(A115=$C$38,$C$30,0))</f>
        <v/>
      </c>
      <c r="P115" s="77">
        <f>IF(B115="",$C$31,D115)</f>
        <v>46295.0</v>
      </c>
      <c r="Q115" s="59">
        <f>IF(B115="",0,L115)</f>
        <v>0</v>
      </c>
      <c r="R115" s="59">
        <f>IF(B115="",0,-F115)</f>
        <v>0</v>
      </c>
      <c r="S115" s="59" t="str">
        <f>IF(B115="","",O115*M115)</f>
        <v/>
      </c>
    </row>
    <row r="116">
      <c r="A116" s="7" t="n">
        <v>71</v>
      </c>
      <c r="B116" s="7" t="str">
        <f>IF(A116&gt;$C$38,"",IF(A116&lt;=$C$5,"Básico",IF($C$6&gt;0,"Sucesivo","Opción de compra")))</f>
        <v/>
      </c>
      <c r="C116" s="7" t="str">
        <f>IF(B116="","",IF(B116="Opción de compra",$C$5,A116-$C$7))</f>
        <v/>
      </c>
      <c r="D116" s="77" t="str">
        <f>IF(B116="","",EDATE($C$33,C116))</f>
        <v/>
      </c>
      <c r="E116" s="59" t="str">
        <f>IF(B116="","",I115)</f>
        <v/>
      </c>
      <c r="F116" s="59" t="str">
        <f>IF(B116="","",IF(B116="Básico",$C$24,IF(B116="Sucesivo",$C$25,$C$26)))</f>
        <v/>
      </c>
      <c r="G116" s="59" t="str">
        <f>IF(B116="","",IF(B116="Opción de compra",0,(E116-$C$7*F116)*IF(B116="Sucesivo",$C$11,$C$9)))</f>
        <v/>
      </c>
      <c r="H116" s="59" t="str">
        <f>IF(B116="","",F116-G116)</f>
        <v/>
      </c>
      <c r="I116" s="59" t="str">
        <f>IF(B116="","",E116-H116)</f>
        <v/>
      </c>
      <c r="J116" s="59" t="str">
        <f>IF(B116="","",IF(OR(inp_Tipo="Arrendamiento Puro",par_BaseIVAFin="Sobre renta",B116="Opción de compra"),F116,G116)*$C$14)</f>
        <v/>
      </c>
      <c r="K116" s="59" t="str">
        <f>IF(B116="","",F116+J116)</f>
        <v/>
      </c>
      <c r="L116" s="59" t="str">
        <f>IF(B116="","",F116-IF(A116=$C$38,$C$30,0))</f>
        <v/>
      </c>
      <c r="M116" s="78" t="str">
        <f>IF(B116="","",$C$37*(1+$C$13)^(-C116))</f>
        <v/>
      </c>
      <c r="N116" s="59" t="str">
        <f>IF(B116="","",L116*M116)</f>
        <v/>
      </c>
      <c r="O116" s="59" t="str">
        <f>IF(B116="","",IF(B116="Básico",F116,0)-IF(A116=$C$38,$C$30,0))</f>
        <v/>
      </c>
      <c r="P116" s="77">
        <f>IF(B116="",$C$31,D116)</f>
        <v>46295.0</v>
      </c>
      <c r="Q116" s="59">
        <f>IF(B116="",0,L116)</f>
        <v>0</v>
      </c>
      <c r="R116" s="59">
        <f>IF(B116="",0,-F116)</f>
        <v>0</v>
      </c>
      <c r="S116" s="59" t="str">
        <f>IF(B116="","",O116*M116)</f>
        <v/>
      </c>
    </row>
    <row r="117">
      <c r="A117" s="7" t="n">
        <v>72</v>
      </c>
      <c r="B117" s="7" t="str">
        <f>IF(A117&gt;$C$38,"",IF(A117&lt;=$C$5,"Básico",IF($C$6&gt;0,"Sucesivo","Opción de compra")))</f>
        <v/>
      </c>
      <c r="C117" s="7" t="str">
        <f>IF(B117="","",IF(B117="Opción de compra",$C$5,A117-$C$7))</f>
        <v/>
      </c>
      <c r="D117" s="77" t="str">
        <f>IF(B117="","",EDATE($C$33,C117))</f>
        <v/>
      </c>
      <c r="E117" s="59" t="str">
        <f>IF(B117="","",I116)</f>
        <v/>
      </c>
      <c r="F117" s="59" t="str">
        <f>IF(B117="","",IF(B117="Básico",$C$24,IF(B117="Sucesivo",$C$25,$C$26)))</f>
        <v/>
      </c>
      <c r="G117" s="59" t="str">
        <f>IF(B117="","",IF(B117="Opción de compra",0,(E117-$C$7*F117)*IF(B117="Sucesivo",$C$11,$C$9)))</f>
        <v/>
      </c>
      <c r="H117" s="59" t="str">
        <f>IF(B117="","",F117-G117)</f>
        <v/>
      </c>
      <c r="I117" s="59" t="str">
        <f>IF(B117="","",E117-H117)</f>
        <v/>
      </c>
      <c r="J117" s="59" t="str">
        <f>IF(B117="","",IF(OR(inp_Tipo="Arrendamiento Puro",par_BaseIVAFin="Sobre renta",B117="Opción de compra"),F117,G117)*$C$14)</f>
        <v/>
      </c>
      <c r="K117" s="59" t="str">
        <f>IF(B117="","",F117+J117)</f>
        <v/>
      </c>
      <c r="L117" s="59" t="str">
        <f>IF(B117="","",F117-IF(A117=$C$38,$C$30,0))</f>
        <v/>
      </c>
      <c r="M117" s="78" t="str">
        <f>IF(B117="","",$C$37*(1+$C$13)^(-C117))</f>
        <v/>
      </c>
      <c r="N117" s="59" t="str">
        <f>IF(B117="","",L117*M117)</f>
        <v/>
      </c>
      <c r="O117" s="59" t="str">
        <f>IF(B117="","",IF(B117="Básico",F117,0)-IF(A117=$C$38,$C$30,0))</f>
        <v/>
      </c>
      <c r="P117" s="77">
        <f>IF(B117="",$C$31,D117)</f>
        <v>46295.0</v>
      </c>
      <c r="Q117" s="59">
        <f>IF(B117="",0,L117)</f>
        <v>0</v>
      </c>
      <c r="R117" s="59">
        <f>IF(B117="",0,-F117)</f>
        <v>0</v>
      </c>
      <c r="S117" s="59" t="str">
        <f>IF(B117="","",O117*M117)</f>
        <v/>
      </c>
    </row>
    <row r="118">
      <c r="A118" s="7" t="n">
        <v>73</v>
      </c>
      <c r="B118" s="7" t="str">
        <f>IF(A118&gt;$C$38,"",IF(A118&lt;=$C$5,"Básico",IF($C$6&gt;0,"Sucesivo","Opción de compra")))</f>
        <v/>
      </c>
      <c r="C118" s="7" t="str">
        <f>IF(B118="","",IF(B118="Opción de compra",$C$5,A118-$C$7))</f>
        <v/>
      </c>
      <c r="D118" s="77" t="str">
        <f>IF(B118="","",EDATE($C$33,C118))</f>
        <v/>
      </c>
      <c r="E118" s="59" t="str">
        <f>IF(B118="","",I117)</f>
        <v/>
      </c>
      <c r="F118" s="59" t="str">
        <f>IF(B118="","",IF(B118="Básico",$C$24,IF(B118="Sucesivo",$C$25,$C$26)))</f>
        <v/>
      </c>
      <c r="G118" s="59" t="str">
        <f>IF(B118="","",IF(B118="Opción de compra",0,(E118-$C$7*F118)*IF(B118="Sucesivo",$C$11,$C$9)))</f>
        <v/>
      </c>
      <c r="H118" s="59" t="str">
        <f>IF(B118="","",F118-G118)</f>
        <v/>
      </c>
      <c r="I118" s="59" t="str">
        <f>IF(B118="","",E118-H118)</f>
        <v/>
      </c>
      <c r="J118" s="59" t="str">
        <f>IF(B118="","",IF(OR(inp_Tipo="Arrendamiento Puro",par_BaseIVAFin="Sobre renta",B118="Opción de compra"),F118,G118)*$C$14)</f>
        <v/>
      </c>
      <c r="K118" s="59" t="str">
        <f>IF(B118="","",F118+J118)</f>
        <v/>
      </c>
      <c r="L118" s="59" t="str">
        <f>IF(B118="","",F118-IF(A118=$C$38,$C$30,0))</f>
        <v/>
      </c>
      <c r="M118" s="78" t="str">
        <f>IF(B118="","",$C$37*(1+$C$13)^(-C118))</f>
        <v/>
      </c>
      <c r="N118" s="59" t="str">
        <f>IF(B118="","",L118*M118)</f>
        <v/>
      </c>
      <c r="O118" s="59" t="str">
        <f>IF(B118="","",IF(B118="Básico",F118,0)-IF(A118=$C$38,$C$30,0))</f>
        <v/>
      </c>
      <c r="P118" s="77">
        <f>IF(B118="",$C$31,D118)</f>
        <v>46295.0</v>
      </c>
      <c r="Q118" s="59">
        <f>IF(B118="",0,L118)</f>
        <v>0</v>
      </c>
      <c r="R118" s="59">
        <f>IF(B118="",0,-F118)</f>
        <v>0</v>
      </c>
      <c r="S118" s="59" t="str">
        <f>IF(B118="","",O118*M118)</f>
        <v/>
      </c>
    </row>
    <row r="119">
      <c r="A119" s="7" t="n">
        <v>74</v>
      </c>
      <c r="B119" s="7" t="str">
        <f>IF(A119&gt;$C$38,"",IF(A119&lt;=$C$5,"Básico",IF($C$6&gt;0,"Sucesivo","Opción de compra")))</f>
        <v/>
      </c>
      <c r="C119" s="7" t="str">
        <f>IF(B119="","",IF(B119="Opción de compra",$C$5,A119-$C$7))</f>
        <v/>
      </c>
      <c r="D119" s="77" t="str">
        <f>IF(B119="","",EDATE($C$33,C119))</f>
        <v/>
      </c>
      <c r="E119" s="59" t="str">
        <f>IF(B119="","",I118)</f>
        <v/>
      </c>
      <c r="F119" s="59" t="str">
        <f>IF(B119="","",IF(B119="Básico",$C$24,IF(B119="Sucesivo",$C$25,$C$26)))</f>
        <v/>
      </c>
      <c r="G119" s="59" t="str">
        <f>IF(B119="","",IF(B119="Opción de compra",0,(E119-$C$7*F119)*IF(B119="Sucesivo",$C$11,$C$9)))</f>
        <v/>
      </c>
      <c r="H119" s="59" t="str">
        <f>IF(B119="","",F119-G119)</f>
        <v/>
      </c>
      <c r="I119" s="59" t="str">
        <f>IF(B119="","",E119-H119)</f>
        <v/>
      </c>
      <c r="J119" s="59" t="str">
        <f>IF(B119="","",IF(OR(inp_Tipo="Arrendamiento Puro",par_BaseIVAFin="Sobre renta",B119="Opción de compra"),F119,G119)*$C$14)</f>
        <v/>
      </c>
      <c r="K119" s="59" t="str">
        <f>IF(B119="","",F119+J119)</f>
        <v/>
      </c>
      <c r="L119" s="59" t="str">
        <f>IF(B119="","",F119-IF(A119=$C$38,$C$30,0))</f>
        <v/>
      </c>
      <c r="M119" s="78" t="str">
        <f>IF(B119="","",$C$37*(1+$C$13)^(-C119))</f>
        <v/>
      </c>
      <c r="N119" s="59" t="str">
        <f>IF(B119="","",L119*M119)</f>
        <v/>
      </c>
      <c r="O119" s="59" t="str">
        <f>IF(B119="","",IF(B119="Básico",F119,0)-IF(A119=$C$38,$C$30,0))</f>
        <v/>
      </c>
      <c r="P119" s="77">
        <f>IF(B119="",$C$31,D119)</f>
        <v>46295.0</v>
      </c>
      <c r="Q119" s="59">
        <f>IF(B119="",0,L119)</f>
        <v>0</v>
      </c>
      <c r="R119" s="59">
        <f>IF(B119="",0,-F119)</f>
        <v>0</v>
      </c>
      <c r="S119" s="59" t="str">
        <f>IF(B119="","",O119*M119)</f>
        <v/>
      </c>
    </row>
    <row r="120">
      <c r="A120" s="7" t="n">
        <v>75</v>
      </c>
      <c r="B120" s="7" t="str">
        <f>IF(A120&gt;$C$38,"",IF(A120&lt;=$C$5,"Básico",IF($C$6&gt;0,"Sucesivo","Opción de compra")))</f>
        <v/>
      </c>
      <c r="C120" s="7" t="str">
        <f>IF(B120="","",IF(B120="Opción de compra",$C$5,A120-$C$7))</f>
        <v/>
      </c>
      <c r="D120" s="77" t="str">
        <f>IF(B120="","",EDATE($C$33,C120))</f>
        <v/>
      </c>
      <c r="E120" s="59" t="str">
        <f>IF(B120="","",I119)</f>
        <v/>
      </c>
      <c r="F120" s="59" t="str">
        <f>IF(B120="","",IF(B120="Básico",$C$24,IF(B120="Sucesivo",$C$25,$C$26)))</f>
        <v/>
      </c>
      <c r="G120" s="59" t="str">
        <f>IF(B120="","",IF(B120="Opción de compra",0,(E120-$C$7*F120)*IF(B120="Sucesivo",$C$11,$C$9)))</f>
        <v/>
      </c>
      <c r="H120" s="59" t="str">
        <f>IF(B120="","",F120-G120)</f>
        <v/>
      </c>
      <c r="I120" s="59" t="str">
        <f>IF(B120="","",E120-H120)</f>
        <v/>
      </c>
      <c r="J120" s="59" t="str">
        <f>IF(B120="","",IF(OR(inp_Tipo="Arrendamiento Puro",par_BaseIVAFin="Sobre renta",B120="Opción de compra"),F120,G120)*$C$14)</f>
        <v/>
      </c>
      <c r="K120" s="59" t="str">
        <f>IF(B120="","",F120+J120)</f>
        <v/>
      </c>
      <c r="L120" s="59" t="str">
        <f>IF(B120="","",F120-IF(A120=$C$38,$C$30,0))</f>
        <v/>
      </c>
      <c r="M120" s="78" t="str">
        <f>IF(B120="","",$C$37*(1+$C$13)^(-C120))</f>
        <v/>
      </c>
      <c r="N120" s="59" t="str">
        <f>IF(B120="","",L120*M120)</f>
        <v/>
      </c>
      <c r="O120" s="59" t="str">
        <f>IF(B120="","",IF(B120="Básico",F120,0)-IF(A120=$C$38,$C$30,0))</f>
        <v/>
      </c>
      <c r="P120" s="77">
        <f>IF(B120="",$C$31,D120)</f>
        <v>46295.0</v>
      </c>
      <c r="Q120" s="59">
        <f>IF(B120="",0,L120)</f>
        <v>0</v>
      </c>
      <c r="R120" s="59">
        <f>IF(B120="",0,-F120)</f>
        <v>0</v>
      </c>
      <c r="S120" s="59" t="str">
        <f>IF(B120="","",O120*M120)</f>
        <v/>
      </c>
    </row>
    <row r="121">
      <c r="A121" s="7" t="n">
        <v>76</v>
      </c>
      <c r="B121" s="7" t="str">
        <f>IF(A121&gt;$C$38,"",IF(A121&lt;=$C$5,"Básico",IF($C$6&gt;0,"Sucesivo","Opción de compra")))</f>
        <v/>
      </c>
      <c r="C121" s="7" t="str">
        <f>IF(B121="","",IF(B121="Opción de compra",$C$5,A121-$C$7))</f>
        <v/>
      </c>
      <c r="D121" s="77" t="str">
        <f>IF(B121="","",EDATE($C$33,C121))</f>
        <v/>
      </c>
      <c r="E121" s="59" t="str">
        <f>IF(B121="","",I120)</f>
        <v/>
      </c>
      <c r="F121" s="59" t="str">
        <f>IF(B121="","",IF(B121="Básico",$C$24,IF(B121="Sucesivo",$C$25,$C$26)))</f>
        <v/>
      </c>
      <c r="G121" s="59" t="str">
        <f>IF(B121="","",IF(B121="Opción de compra",0,(E121-$C$7*F121)*IF(B121="Sucesivo",$C$11,$C$9)))</f>
        <v/>
      </c>
      <c r="H121" s="59" t="str">
        <f>IF(B121="","",F121-G121)</f>
        <v/>
      </c>
      <c r="I121" s="59" t="str">
        <f>IF(B121="","",E121-H121)</f>
        <v/>
      </c>
      <c r="J121" s="59" t="str">
        <f>IF(B121="","",IF(OR(inp_Tipo="Arrendamiento Puro",par_BaseIVAFin="Sobre renta",B121="Opción de compra"),F121,G121)*$C$14)</f>
        <v/>
      </c>
      <c r="K121" s="59" t="str">
        <f>IF(B121="","",F121+J121)</f>
        <v/>
      </c>
      <c r="L121" s="59" t="str">
        <f>IF(B121="","",F121-IF(A121=$C$38,$C$30,0))</f>
        <v/>
      </c>
      <c r="M121" s="78" t="str">
        <f>IF(B121="","",$C$37*(1+$C$13)^(-C121))</f>
        <v/>
      </c>
      <c r="N121" s="59" t="str">
        <f>IF(B121="","",L121*M121)</f>
        <v/>
      </c>
      <c r="O121" s="59" t="str">
        <f>IF(B121="","",IF(B121="Básico",F121,0)-IF(A121=$C$38,$C$30,0))</f>
        <v/>
      </c>
      <c r="P121" s="77">
        <f>IF(B121="",$C$31,D121)</f>
        <v>46295.0</v>
      </c>
      <c r="Q121" s="59">
        <f>IF(B121="",0,L121)</f>
        <v>0</v>
      </c>
      <c r="R121" s="59">
        <f>IF(B121="",0,-F121)</f>
        <v>0</v>
      </c>
      <c r="S121" s="59" t="str">
        <f>IF(B121="","",O121*M121)</f>
        <v/>
      </c>
    </row>
    <row r="122">
      <c r="A122" s="7" t="n">
        <v>77</v>
      </c>
      <c r="B122" s="7" t="str">
        <f>IF(A122&gt;$C$38,"",IF(A122&lt;=$C$5,"Básico",IF($C$6&gt;0,"Sucesivo","Opción de compra")))</f>
        <v/>
      </c>
      <c r="C122" s="7" t="str">
        <f>IF(B122="","",IF(B122="Opción de compra",$C$5,A122-$C$7))</f>
        <v/>
      </c>
      <c r="D122" s="77" t="str">
        <f>IF(B122="","",EDATE($C$33,C122))</f>
        <v/>
      </c>
      <c r="E122" s="59" t="str">
        <f>IF(B122="","",I121)</f>
        <v/>
      </c>
      <c r="F122" s="59" t="str">
        <f>IF(B122="","",IF(B122="Básico",$C$24,IF(B122="Sucesivo",$C$25,$C$26)))</f>
        <v/>
      </c>
      <c r="G122" s="59" t="str">
        <f>IF(B122="","",IF(B122="Opción de compra",0,(E122-$C$7*F122)*IF(B122="Sucesivo",$C$11,$C$9)))</f>
        <v/>
      </c>
      <c r="H122" s="59" t="str">
        <f>IF(B122="","",F122-G122)</f>
        <v/>
      </c>
      <c r="I122" s="59" t="str">
        <f>IF(B122="","",E122-H122)</f>
        <v/>
      </c>
      <c r="J122" s="59" t="str">
        <f>IF(B122="","",IF(OR(inp_Tipo="Arrendamiento Puro",par_BaseIVAFin="Sobre renta",B122="Opción de compra"),F122,G122)*$C$14)</f>
        <v/>
      </c>
      <c r="K122" s="59" t="str">
        <f>IF(B122="","",F122+J122)</f>
        <v/>
      </c>
      <c r="L122" s="59" t="str">
        <f>IF(B122="","",F122-IF(A122=$C$38,$C$30,0))</f>
        <v/>
      </c>
      <c r="M122" s="78" t="str">
        <f>IF(B122="","",$C$37*(1+$C$13)^(-C122))</f>
        <v/>
      </c>
      <c r="N122" s="59" t="str">
        <f>IF(B122="","",L122*M122)</f>
        <v/>
      </c>
      <c r="O122" s="59" t="str">
        <f>IF(B122="","",IF(B122="Básico",F122,0)-IF(A122=$C$38,$C$30,0))</f>
        <v/>
      </c>
      <c r="P122" s="77">
        <f>IF(B122="",$C$31,D122)</f>
        <v>46295.0</v>
      </c>
      <c r="Q122" s="59">
        <f>IF(B122="",0,L122)</f>
        <v>0</v>
      </c>
      <c r="R122" s="59">
        <f>IF(B122="",0,-F122)</f>
        <v>0</v>
      </c>
      <c r="S122" s="59" t="str">
        <f>IF(B122="","",O122*M122)</f>
        <v/>
      </c>
    </row>
    <row r="123">
      <c r="A123" s="7" t="n">
        <v>78</v>
      </c>
      <c r="B123" s="7" t="str">
        <f>IF(A123&gt;$C$38,"",IF(A123&lt;=$C$5,"Básico",IF($C$6&gt;0,"Sucesivo","Opción de compra")))</f>
        <v/>
      </c>
      <c r="C123" s="7" t="str">
        <f>IF(B123="","",IF(B123="Opción de compra",$C$5,A123-$C$7))</f>
        <v/>
      </c>
      <c r="D123" s="77" t="str">
        <f>IF(B123="","",EDATE($C$33,C123))</f>
        <v/>
      </c>
      <c r="E123" s="59" t="str">
        <f>IF(B123="","",I122)</f>
        <v/>
      </c>
      <c r="F123" s="59" t="str">
        <f>IF(B123="","",IF(B123="Básico",$C$24,IF(B123="Sucesivo",$C$25,$C$26)))</f>
        <v/>
      </c>
      <c r="G123" s="59" t="str">
        <f>IF(B123="","",IF(B123="Opción de compra",0,(E123-$C$7*F123)*IF(B123="Sucesivo",$C$11,$C$9)))</f>
        <v/>
      </c>
      <c r="H123" s="59" t="str">
        <f>IF(B123="","",F123-G123)</f>
        <v/>
      </c>
      <c r="I123" s="59" t="str">
        <f>IF(B123="","",E123-H123)</f>
        <v/>
      </c>
      <c r="J123" s="59" t="str">
        <f>IF(B123="","",IF(OR(inp_Tipo="Arrendamiento Puro",par_BaseIVAFin="Sobre renta",B123="Opción de compra"),F123,G123)*$C$14)</f>
        <v/>
      </c>
      <c r="K123" s="59" t="str">
        <f>IF(B123="","",F123+J123)</f>
        <v/>
      </c>
      <c r="L123" s="59" t="str">
        <f>IF(B123="","",F123-IF(A123=$C$38,$C$30,0))</f>
        <v/>
      </c>
      <c r="M123" s="78" t="str">
        <f>IF(B123="","",$C$37*(1+$C$13)^(-C123))</f>
        <v/>
      </c>
      <c r="N123" s="59" t="str">
        <f>IF(B123="","",L123*M123)</f>
        <v/>
      </c>
      <c r="O123" s="59" t="str">
        <f>IF(B123="","",IF(B123="Básico",F123,0)-IF(A123=$C$38,$C$30,0))</f>
        <v/>
      </c>
      <c r="P123" s="77">
        <f>IF(B123="",$C$31,D123)</f>
        <v>46295.0</v>
      </c>
      <c r="Q123" s="59">
        <f>IF(B123="",0,L123)</f>
        <v>0</v>
      </c>
      <c r="R123" s="59">
        <f>IF(B123="",0,-F123)</f>
        <v>0</v>
      </c>
      <c r="S123" s="59" t="str">
        <f>IF(B123="","",O123*M123)</f>
        <v/>
      </c>
    </row>
    <row r="124">
      <c r="A124" s="7" t="n">
        <v>79</v>
      </c>
      <c r="B124" s="7" t="str">
        <f>IF(A124&gt;$C$38,"",IF(A124&lt;=$C$5,"Básico",IF($C$6&gt;0,"Sucesivo","Opción de compra")))</f>
        <v/>
      </c>
      <c r="C124" s="7" t="str">
        <f>IF(B124="","",IF(B124="Opción de compra",$C$5,A124-$C$7))</f>
        <v/>
      </c>
      <c r="D124" s="77" t="str">
        <f>IF(B124="","",EDATE($C$33,C124))</f>
        <v/>
      </c>
      <c r="E124" s="59" t="str">
        <f>IF(B124="","",I123)</f>
        <v/>
      </c>
      <c r="F124" s="59" t="str">
        <f>IF(B124="","",IF(B124="Básico",$C$24,IF(B124="Sucesivo",$C$25,$C$26)))</f>
        <v/>
      </c>
      <c r="G124" s="59" t="str">
        <f>IF(B124="","",IF(B124="Opción de compra",0,(E124-$C$7*F124)*IF(B124="Sucesivo",$C$11,$C$9)))</f>
        <v/>
      </c>
      <c r="H124" s="59" t="str">
        <f>IF(B124="","",F124-G124)</f>
        <v/>
      </c>
      <c r="I124" s="59" t="str">
        <f>IF(B124="","",E124-H124)</f>
        <v/>
      </c>
      <c r="J124" s="59" t="str">
        <f>IF(B124="","",IF(OR(inp_Tipo="Arrendamiento Puro",par_BaseIVAFin="Sobre renta",B124="Opción de compra"),F124,G124)*$C$14)</f>
        <v/>
      </c>
      <c r="K124" s="59" t="str">
        <f>IF(B124="","",F124+J124)</f>
        <v/>
      </c>
      <c r="L124" s="59" t="str">
        <f>IF(B124="","",F124-IF(A124=$C$38,$C$30,0))</f>
        <v/>
      </c>
      <c r="M124" s="78" t="str">
        <f>IF(B124="","",$C$37*(1+$C$13)^(-C124))</f>
        <v/>
      </c>
      <c r="N124" s="59" t="str">
        <f>IF(B124="","",L124*M124)</f>
        <v/>
      </c>
      <c r="O124" s="59" t="str">
        <f>IF(B124="","",IF(B124="Básico",F124,0)-IF(A124=$C$38,$C$30,0))</f>
        <v/>
      </c>
      <c r="P124" s="77">
        <f>IF(B124="",$C$31,D124)</f>
        <v>46295.0</v>
      </c>
      <c r="Q124" s="59">
        <f>IF(B124="",0,L124)</f>
        <v>0</v>
      </c>
      <c r="R124" s="59">
        <f>IF(B124="",0,-F124)</f>
        <v>0</v>
      </c>
      <c r="S124" s="59" t="str">
        <f>IF(B124="","",O124*M124)</f>
        <v/>
      </c>
    </row>
    <row r="125">
      <c r="A125" s="7" t="n">
        <v>80</v>
      </c>
      <c r="B125" s="7" t="str">
        <f>IF(A125&gt;$C$38,"",IF(A125&lt;=$C$5,"Básico",IF($C$6&gt;0,"Sucesivo","Opción de compra")))</f>
        <v/>
      </c>
      <c r="C125" s="7" t="str">
        <f>IF(B125="","",IF(B125="Opción de compra",$C$5,A125-$C$7))</f>
        <v/>
      </c>
      <c r="D125" s="77" t="str">
        <f>IF(B125="","",EDATE($C$33,C125))</f>
        <v/>
      </c>
      <c r="E125" s="59" t="str">
        <f>IF(B125="","",I124)</f>
        <v/>
      </c>
      <c r="F125" s="59" t="str">
        <f>IF(B125="","",IF(B125="Básico",$C$24,IF(B125="Sucesivo",$C$25,$C$26)))</f>
        <v/>
      </c>
      <c r="G125" s="59" t="str">
        <f>IF(B125="","",IF(B125="Opción de compra",0,(E125-$C$7*F125)*IF(B125="Sucesivo",$C$11,$C$9)))</f>
        <v/>
      </c>
      <c r="H125" s="59" t="str">
        <f>IF(B125="","",F125-G125)</f>
        <v/>
      </c>
      <c r="I125" s="59" t="str">
        <f>IF(B125="","",E125-H125)</f>
        <v/>
      </c>
      <c r="J125" s="59" t="str">
        <f>IF(B125="","",IF(OR(inp_Tipo="Arrendamiento Puro",par_BaseIVAFin="Sobre renta",B125="Opción de compra"),F125,G125)*$C$14)</f>
        <v/>
      </c>
      <c r="K125" s="59" t="str">
        <f>IF(B125="","",F125+J125)</f>
        <v/>
      </c>
      <c r="L125" s="59" t="str">
        <f>IF(B125="","",F125-IF(A125=$C$38,$C$30,0))</f>
        <v/>
      </c>
      <c r="M125" s="78" t="str">
        <f>IF(B125="","",$C$37*(1+$C$13)^(-C125))</f>
        <v/>
      </c>
      <c r="N125" s="59" t="str">
        <f>IF(B125="","",L125*M125)</f>
        <v/>
      </c>
      <c r="O125" s="59" t="str">
        <f>IF(B125="","",IF(B125="Básico",F125,0)-IF(A125=$C$38,$C$30,0))</f>
        <v/>
      </c>
      <c r="P125" s="77">
        <f>IF(B125="",$C$31,D125)</f>
        <v>46295.0</v>
      </c>
      <c r="Q125" s="59">
        <f>IF(B125="",0,L125)</f>
        <v>0</v>
      </c>
      <c r="R125" s="59">
        <f>IF(B125="",0,-F125)</f>
        <v>0</v>
      </c>
      <c r="S125" s="59" t="str">
        <f>IF(B125="","",O125*M125)</f>
        <v/>
      </c>
    </row>
    <row r="126">
      <c r="A126" s="7" t="n">
        <v>81</v>
      </c>
      <c r="B126" s="7" t="str">
        <f>IF(A126&gt;$C$38,"",IF(A126&lt;=$C$5,"Básico",IF($C$6&gt;0,"Sucesivo","Opción de compra")))</f>
        <v/>
      </c>
      <c r="C126" s="7" t="str">
        <f>IF(B126="","",IF(B126="Opción de compra",$C$5,A126-$C$7))</f>
        <v/>
      </c>
      <c r="D126" s="77" t="str">
        <f>IF(B126="","",EDATE($C$33,C126))</f>
        <v/>
      </c>
      <c r="E126" s="59" t="str">
        <f>IF(B126="","",I125)</f>
        <v/>
      </c>
      <c r="F126" s="59" t="str">
        <f>IF(B126="","",IF(B126="Básico",$C$24,IF(B126="Sucesivo",$C$25,$C$26)))</f>
        <v/>
      </c>
      <c r="G126" s="59" t="str">
        <f>IF(B126="","",IF(B126="Opción de compra",0,(E126-$C$7*F126)*IF(B126="Sucesivo",$C$11,$C$9)))</f>
        <v/>
      </c>
      <c r="H126" s="59" t="str">
        <f>IF(B126="","",F126-G126)</f>
        <v/>
      </c>
      <c r="I126" s="59" t="str">
        <f>IF(B126="","",E126-H126)</f>
        <v/>
      </c>
      <c r="J126" s="59" t="str">
        <f>IF(B126="","",IF(OR(inp_Tipo="Arrendamiento Puro",par_BaseIVAFin="Sobre renta",B126="Opción de compra"),F126,G126)*$C$14)</f>
        <v/>
      </c>
      <c r="K126" s="59" t="str">
        <f>IF(B126="","",F126+J126)</f>
        <v/>
      </c>
      <c r="L126" s="59" t="str">
        <f>IF(B126="","",F126-IF(A126=$C$38,$C$30,0))</f>
        <v/>
      </c>
      <c r="M126" s="78" t="str">
        <f>IF(B126="","",$C$37*(1+$C$13)^(-C126))</f>
        <v/>
      </c>
      <c r="N126" s="59" t="str">
        <f>IF(B126="","",L126*M126)</f>
        <v/>
      </c>
      <c r="O126" s="59" t="str">
        <f>IF(B126="","",IF(B126="Básico",F126,0)-IF(A126=$C$38,$C$30,0))</f>
        <v/>
      </c>
      <c r="P126" s="77">
        <f>IF(B126="",$C$31,D126)</f>
        <v>46295.0</v>
      </c>
      <c r="Q126" s="59">
        <f>IF(B126="",0,L126)</f>
        <v>0</v>
      </c>
      <c r="R126" s="59">
        <f>IF(B126="",0,-F126)</f>
        <v>0</v>
      </c>
      <c r="S126" s="59" t="str">
        <f>IF(B126="","",O126*M126)</f>
        <v/>
      </c>
    </row>
    <row r="127">
      <c r="A127" s="7" t="n">
        <v>82</v>
      </c>
      <c r="B127" s="7" t="str">
        <f>IF(A127&gt;$C$38,"",IF(A127&lt;=$C$5,"Básico",IF($C$6&gt;0,"Sucesivo","Opción de compra")))</f>
        <v/>
      </c>
      <c r="C127" s="7" t="str">
        <f>IF(B127="","",IF(B127="Opción de compra",$C$5,A127-$C$7))</f>
        <v/>
      </c>
      <c r="D127" s="77" t="str">
        <f>IF(B127="","",EDATE($C$33,C127))</f>
        <v/>
      </c>
      <c r="E127" s="59" t="str">
        <f>IF(B127="","",I126)</f>
        <v/>
      </c>
      <c r="F127" s="59" t="str">
        <f>IF(B127="","",IF(B127="Básico",$C$24,IF(B127="Sucesivo",$C$25,$C$26)))</f>
        <v/>
      </c>
      <c r="G127" s="59" t="str">
        <f>IF(B127="","",IF(B127="Opción de compra",0,(E127-$C$7*F127)*IF(B127="Sucesivo",$C$11,$C$9)))</f>
        <v/>
      </c>
      <c r="H127" s="59" t="str">
        <f>IF(B127="","",F127-G127)</f>
        <v/>
      </c>
      <c r="I127" s="59" t="str">
        <f>IF(B127="","",E127-H127)</f>
        <v/>
      </c>
      <c r="J127" s="59" t="str">
        <f>IF(B127="","",IF(OR(inp_Tipo="Arrendamiento Puro",par_BaseIVAFin="Sobre renta",B127="Opción de compra"),F127,G127)*$C$14)</f>
        <v/>
      </c>
      <c r="K127" s="59" t="str">
        <f>IF(B127="","",F127+J127)</f>
        <v/>
      </c>
      <c r="L127" s="59" t="str">
        <f>IF(B127="","",F127-IF(A127=$C$38,$C$30,0))</f>
        <v/>
      </c>
      <c r="M127" s="78" t="str">
        <f>IF(B127="","",$C$37*(1+$C$13)^(-C127))</f>
        <v/>
      </c>
      <c r="N127" s="59" t="str">
        <f>IF(B127="","",L127*M127)</f>
        <v/>
      </c>
      <c r="O127" s="59" t="str">
        <f>IF(B127="","",IF(B127="Básico",F127,0)-IF(A127=$C$38,$C$30,0))</f>
        <v/>
      </c>
      <c r="P127" s="77">
        <f>IF(B127="",$C$31,D127)</f>
        <v>46295.0</v>
      </c>
      <c r="Q127" s="59">
        <f>IF(B127="",0,L127)</f>
        <v>0</v>
      </c>
      <c r="R127" s="59">
        <f>IF(B127="",0,-F127)</f>
        <v>0</v>
      </c>
      <c r="S127" s="59" t="str">
        <f>IF(B127="","",O127*M127)</f>
        <v/>
      </c>
    </row>
    <row r="128">
      <c r="A128" s="7" t="n">
        <v>83</v>
      </c>
      <c r="B128" s="7" t="str">
        <f>IF(A128&gt;$C$38,"",IF(A128&lt;=$C$5,"Básico",IF($C$6&gt;0,"Sucesivo","Opción de compra")))</f>
        <v/>
      </c>
      <c r="C128" s="7" t="str">
        <f>IF(B128="","",IF(B128="Opción de compra",$C$5,A128-$C$7))</f>
        <v/>
      </c>
      <c r="D128" s="77" t="str">
        <f>IF(B128="","",EDATE($C$33,C128))</f>
        <v/>
      </c>
      <c r="E128" s="59" t="str">
        <f>IF(B128="","",I127)</f>
        <v/>
      </c>
      <c r="F128" s="59" t="str">
        <f>IF(B128="","",IF(B128="Básico",$C$24,IF(B128="Sucesivo",$C$25,$C$26)))</f>
        <v/>
      </c>
      <c r="G128" s="59" t="str">
        <f>IF(B128="","",IF(B128="Opción de compra",0,(E128-$C$7*F128)*IF(B128="Sucesivo",$C$11,$C$9)))</f>
        <v/>
      </c>
      <c r="H128" s="59" t="str">
        <f>IF(B128="","",F128-G128)</f>
        <v/>
      </c>
      <c r="I128" s="59" t="str">
        <f>IF(B128="","",E128-H128)</f>
        <v/>
      </c>
      <c r="J128" s="59" t="str">
        <f>IF(B128="","",IF(OR(inp_Tipo="Arrendamiento Puro",par_BaseIVAFin="Sobre renta",B128="Opción de compra"),F128,G128)*$C$14)</f>
        <v/>
      </c>
      <c r="K128" s="59" t="str">
        <f>IF(B128="","",F128+J128)</f>
        <v/>
      </c>
      <c r="L128" s="59" t="str">
        <f>IF(B128="","",F128-IF(A128=$C$38,$C$30,0))</f>
        <v/>
      </c>
      <c r="M128" s="78" t="str">
        <f>IF(B128="","",$C$37*(1+$C$13)^(-C128))</f>
        <v/>
      </c>
      <c r="N128" s="59" t="str">
        <f>IF(B128="","",L128*M128)</f>
        <v/>
      </c>
      <c r="O128" s="59" t="str">
        <f>IF(B128="","",IF(B128="Básico",F128,0)-IF(A128=$C$38,$C$30,0))</f>
        <v/>
      </c>
      <c r="P128" s="77">
        <f>IF(B128="",$C$31,D128)</f>
        <v>46295.0</v>
      </c>
      <c r="Q128" s="59">
        <f>IF(B128="",0,L128)</f>
        <v>0</v>
      </c>
      <c r="R128" s="59">
        <f>IF(B128="",0,-F128)</f>
        <v>0</v>
      </c>
      <c r="S128" s="59" t="str">
        <f>IF(B128="","",O128*M128)</f>
        <v/>
      </c>
    </row>
    <row r="129">
      <c r="A129" s="7" t="n">
        <v>84</v>
      </c>
      <c r="B129" s="7" t="str">
        <f>IF(A129&gt;$C$38,"",IF(A129&lt;=$C$5,"Básico",IF($C$6&gt;0,"Sucesivo","Opción de compra")))</f>
        <v/>
      </c>
      <c r="C129" s="7" t="str">
        <f>IF(B129="","",IF(B129="Opción de compra",$C$5,A129-$C$7))</f>
        <v/>
      </c>
      <c r="D129" s="77" t="str">
        <f>IF(B129="","",EDATE($C$33,C129))</f>
        <v/>
      </c>
      <c r="E129" s="59" t="str">
        <f>IF(B129="","",I128)</f>
        <v/>
      </c>
      <c r="F129" s="59" t="str">
        <f>IF(B129="","",IF(B129="Básico",$C$24,IF(B129="Sucesivo",$C$25,$C$26)))</f>
        <v/>
      </c>
      <c r="G129" s="59" t="str">
        <f>IF(B129="","",IF(B129="Opción de compra",0,(E129-$C$7*F129)*IF(B129="Sucesivo",$C$11,$C$9)))</f>
        <v/>
      </c>
      <c r="H129" s="59" t="str">
        <f>IF(B129="","",F129-G129)</f>
        <v/>
      </c>
      <c r="I129" s="59" t="str">
        <f>IF(B129="","",E129-H129)</f>
        <v/>
      </c>
      <c r="J129" s="59" t="str">
        <f>IF(B129="","",IF(OR(inp_Tipo="Arrendamiento Puro",par_BaseIVAFin="Sobre renta",B129="Opción de compra"),F129,G129)*$C$14)</f>
        <v/>
      </c>
      <c r="K129" s="59" t="str">
        <f>IF(B129="","",F129+J129)</f>
        <v/>
      </c>
      <c r="L129" s="59" t="str">
        <f>IF(B129="","",F129-IF(A129=$C$38,$C$30,0))</f>
        <v/>
      </c>
      <c r="M129" s="78" t="str">
        <f>IF(B129="","",$C$37*(1+$C$13)^(-C129))</f>
        <v/>
      </c>
      <c r="N129" s="59" t="str">
        <f>IF(B129="","",L129*M129)</f>
        <v/>
      </c>
      <c r="O129" s="59" t="str">
        <f>IF(B129="","",IF(B129="Básico",F129,0)-IF(A129=$C$38,$C$30,0))</f>
        <v/>
      </c>
      <c r="P129" s="77">
        <f>IF(B129="",$C$31,D129)</f>
        <v>46295.0</v>
      </c>
      <c r="Q129" s="59">
        <f>IF(B129="",0,L129)</f>
        <v>0</v>
      </c>
      <c r="R129" s="59">
        <f>IF(B129="",0,-F129)</f>
        <v>0</v>
      </c>
      <c r="S129" s="59" t="str">
        <f>IF(B129="","",O129*M129)</f>
        <v/>
      </c>
    </row>
    <row r="130">
      <c r="A130" s="7" t="n">
        <v>85</v>
      </c>
      <c r="B130" s="7" t="str">
        <f>IF(A130&gt;$C$38,"",IF(A130&lt;=$C$5,"Básico",IF($C$6&gt;0,"Sucesivo","Opción de compra")))</f>
        <v/>
      </c>
      <c r="C130" s="7" t="str">
        <f>IF(B130="","",IF(B130="Opción de compra",$C$5,A130-$C$7))</f>
        <v/>
      </c>
      <c r="D130" s="77" t="str">
        <f>IF(B130="","",EDATE($C$33,C130))</f>
        <v/>
      </c>
      <c r="E130" s="59" t="str">
        <f>IF(B130="","",I129)</f>
        <v/>
      </c>
      <c r="F130" s="59" t="str">
        <f>IF(B130="","",IF(B130="Básico",$C$24,IF(B130="Sucesivo",$C$25,$C$26)))</f>
        <v/>
      </c>
      <c r="G130" s="59" t="str">
        <f>IF(B130="","",IF(B130="Opción de compra",0,(E130-$C$7*F130)*IF(B130="Sucesivo",$C$11,$C$9)))</f>
        <v/>
      </c>
      <c r="H130" s="59" t="str">
        <f>IF(B130="","",F130-G130)</f>
        <v/>
      </c>
      <c r="I130" s="59" t="str">
        <f>IF(B130="","",E130-H130)</f>
        <v/>
      </c>
      <c r="J130" s="59" t="str">
        <f>IF(B130="","",IF(OR(inp_Tipo="Arrendamiento Puro",par_BaseIVAFin="Sobre renta",B130="Opción de compra"),F130,G130)*$C$14)</f>
        <v/>
      </c>
      <c r="K130" s="59" t="str">
        <f>IF(B130="","",F130+J130)</f>
        <v/>
      </c>
      <c r="L130" s="59" t="str">
        <f>IF(B130="","",F130-IF(A130=$C$38,$C$30,0))</f>
        <v/>
      </c>
      <c r="M130" s="78" t="str">
        <f>IF(B130="","",$C$37*(1+$C$13)^(-C130))</f>
        <v/>
      </c>
      <c r="N130" s="59" t="str">
        <f>IF(B130="","",L130*M130)</f>
        <v/>
      </c>
      <c r="O130" s="59" t="str">
        <f>IF(B130="","",IF(B130="Básico",F130,0)-IF(A130=$C$38,$C$30,0))</f>
        <v/>
      </c>
      <c r="P130" s="77">
        <f>IF(B130="",$C$31,D130)</f>
        <v>46295.0</v>
      </c>
      <c r="Q130" s="59">
        <f>IF(B130="",0,L130)</f>
        <v>0</v>
      </c>
      <c r="R130" s="59">
        <f>IF(B130="",0,-F130)</f>
        <v>0</v>
      </c>
      <c r="S130" s="59" t="str">
        <f>IF(B130="","",O130*M130)</f>
        <v/>
      </c>
    </row>
    <row r="131">
      <c r="A131" s="7" t="n">
        <v>86</v>
      </c>
      <c r="B131" s="7" t="str">
        <f>IF(A131&gt;$C$38,"",IF(A131&lt;=$C$5,"Básico",IF($C$6&gt;0,"Sucesivo","Opción de compra")))</f>
        <v/>
      </c>
      <c r="C131" s="7" t="str">
        <f>IF(B131="","",IF(B131="Opción de compra",$C$5,A131-$C$7))</f>
        <v/>
      </c>
      <c r="D131" s="77" t="str">
        <f>IF(B131="","",EDATE($C$33,C131))</f>
        <v/>
      </c>
      <c r="E131" s="59" t="str">
        <f>IF(B131="","",I130)</f>
        <v/>
      </c>
      <c r="F131" s="59" t="str">
        <f>IF(B131="","",IF(B131="Básico",$C$24,IF(B131="Sucesivo",$C$25,$C$26)))</f>
        <v/>
      </c>
      <c r="G131" s="59" t="str">
        <f>IF(B131="","",IF(B131="Opción de compra",0,(E131-$C$7*F131)*IF(B131="Sucesivo",$C$11,$C$9)))</f>
        <v/>
      </c>
      <c r="H131" s="59" t="str">
        <f>IF(B131="","",F131-G131)</f>
        <v/>
      </c>
      <c r="I131" s="59" t="str">
        <f>IF(B131="","",E131-H131)</f>
        <v/>
      </c>
      <c r="J131" s="59" t="str">
        <f>IF(B131="","",IF(OR(inp_Tipo="Arrendamiento Puro",par_BaseIVAFin="Sobre renta",B131="Opción de compra"),F131,G131)*$C$14)</f>
        <v/>
      </c>
      <c r="K131" s="59" t="str">
        <f>IF(B131="","",F131+J131)</f>
        <v/>
      </c>
      <c r="L131" s="59" t="str">
        <f>IF(B131="","",F131-IF(A131=$C$38,$C$30,0))</f>
        <v/>
      </c>
      <c r="M131" s="78" t="str">
        <f>IF(B131="","",$C$37*(1+$C$13)^(-C131))</f>
        <v/>
      </c>
      <c r="N131" s="59" t="str">
        <f>IF(B131="","",L131*M131)</f>
        <v/>
      </c>
      <c r="O131" s="59" t="str">
        <f>IF(B131="","",IF(B131="Básico",F131,0)-IF(A131=$C$38,$C$30,0))</f>
        <v/>
      </c>
      <c r="P131" s="77">
        <f>IF(B131="",$C$31,D131)</f>
        <v>46295.0</v>
      </c>
      <c r="Q131" s="59">
        <f>IF(B131="",0,L131)</f>
        <v>0</v>
      </c>
      <c r="R131" s="59">
        <f>IF(B131="",0,-F131)</f>
        <v>0</v>
      </c>
      <c r="S131" s="59" t="str">
        <f>IF(B131="","",O131*M131)</f>
        <v/>
      </c>
    </row>
    <row r="132">
      <c r="A132" s="7" t="n">
        <v>87</v>
      </c>
      <c r="B132" s="7" t="str">
        <f>IF(A132&gt;$C$38,"",IF(A132&lt;=$C$5,"Básico",IF($C$6&gt;0,"Sucesivo","Opción de compra")))</f>
        <v/>
      </c>
      <c r="C132" s="7" t="str">
        <f>IF(B132="","",IF(B132="Opción de compra",$C$5,A132-$C$7))</f>
        <v/>
      </c>
      <c r="D132" s="77" t="str">
        <f>IF(B132="","",EDATE($C$33,C132))</f>
        <v/>
      </c>
      <c r="E132" s="59" t="str">
        <f>IF(B132="","",I131)</f>
        <v/>
      </c>
      <c r="F132" s="59" t="str">
        <f>IF(B132="","",IF(B132="Básico",$C$24,IF(B132="Sucesivo",$C$25,$C$26)))</f>
        <v/>
      </c>
      <c r="G132" s="59" t="str">
        <f>IF(B132="","",IF(B132="Opción de compra",0,(E132-$C$7*F132)*IF(B132="Sucesivo",$C$11,$C$9)))</f>
        <v/>
      </c>
      <c r="H132" s="59" t="str">
        <f>IF(B132="","",F132-G132)</f>
        <v/>
      </c>
      <c r="I132" s="59" t="str">
        <f>IF(B132="","",E132-H132)</f>
        <v/>
      </c>
      <c r="J132" s="59" t="str">
        <f>IF(B132="","",IF(OR(inp_Tipo="Arrendamiento Puro",par_BaseIVAFin="Sobre renta",B132="Opción de compra"),F132,G132)*$C$14)</f>
        <v/>
      </c>
      <c r="K132" s="59" t="str">
        <f>IF(B132="","",F132+J132)</f>
        <v/>
      </c>
      <c r="L132" s="59" t="str">
        <f>IF(B132="","",F132-IF(A132=$C$38,$C$30,0))</f>
        <v/>
      </c>
      <c r="M132" s="78" t="str">
        <f>IF(B132="","",$C$37*(1+$C$13)^(-C132))</f>
        <v/>
      </c>
      <c r="N132" s="59" t="str">
        <f>IF(B132="","",L132*M132)</f>
        <v/>
      </c>
      <c r="O132" s="59" t="str">
        <f>IF(B132="","",IF(B132="Básico",F132,0)-IF(A132=$C$38,$C$30,0))</f>
        <v/>
      </c>
      <c r="P132" s="77">
        <f>IF(B132="",$C$31,D132)</f>
        <v>46295.0</v>
      </c>
      <c r="Q132" s="59">
        <f>IF(B132="",0,L132)</f>
        <v>0</v>
      </c>
      <c r="R132" s="59">
        <f>IF(B132="",0,-F132)</f>
        <v>0</v>
      </c>
      <c r="S132" s="59" t="str">
        <f>IF(B132="","",O132*M132)</f>
        <v/>
      </c>
    </row>
    <row r="133">
      <c r="A133" s="7" t="n">
        <v>88</v>
      </c>
      <c r="B133" s="7" t="str">
        <f>IF(A133&gt;$C$38,"",IF(A133&lt;=$C$5,"Básico",IF($C$6&gt;0,"Sucesivo","Opción de compra")))</f>
        <v/>
      </c>
      <c r="C133" s="7" t="str">
        <f>IF(B133="","",IF(B133="Opción de compra",$C$5,A133-$C$7))</f>
        <v/>
      </c>
      <c r="D133" s="77" t="str">
        <f>IF(B133="","",EDATE($C$33,C133))</f>
        <v/>
      </c>
      <c r="E133" s="59" t="str">
        <f>IF(B133="","",I132)</f>
        <v/>
      </c>
      <c r="F133" s="59" t="str">
        <f>IF(B133="","",IF(B133="Básico",$C$24,IF(B133="Sucesivo",$C$25,$C$26)))</f>
        <v/>
      </c>
      <c r="G133" s="59" t="str">
        <f>IF(B133="","",IF(B133="Opción de compra",0,(E133-$C$7*F133)*IF(B133="Sucesivo",$C$11,$C$9)))</f>
        <v/>
      </c>
      <c r="H133" s="59" t="str">
        <f>IF(B133="","",F133-G133)</f>
        <v/>
      </c>
      <c r="I133" s="59" t="str">
        <f>IF(B133="","",E133-H133)</f>
        <v/>
      </c>
      <c r="J133" s="59" t="str">
        <f>IF(B133="","",IF(OR(inp_Tipo="Arrendamiento Puro",par_BaseIVAFin="Sobre renta",B133="Opción de compra"),F133,G133)*$C$14)</f>
        <v/>
      </c>
      <c r="K133" s="59" t="str">
        <f>IF(B133="","",F133+J133)</f>
        <v/>
      </c>
      <c r="L133" s="59" t="str">
        <f>IF(B133="","",F133-IF(A133=$C$38,$C$30,0))</f>
        <v/>
      </c>
      <c r="M133" s="78" t="str">
        <f>IF(B133="","",$C$37*(1+$C$13)^(-C133))</f>
        <v/>
      </c>
      <c r="N133" s="59" t="str">
        <f>IF(B133="","",L133*M133)</f>
        <v/>
      </c>
      <c r="O133" s="59" t="str">
        <f>IF(B133="","",IF(B133="Básico",F133,0)-IF(A133=$C$38,$C$30,0))</f>
        <v/>
      </c>
      <c r="P133" s="77">
        <f>IF(B133="",$C$31,D133)</f>
        <v>46295.0</v>
      </c>
      <c r="Q133" s="59">
        <f>IF(B133="",0,L133)</f>
        <v>0</v>
      </c>
      <c r="R133" s="59">
        <f>IF(B133="",0,-F133)</f>
        <v>0</v>
      </c>
      <c r="S133" s="59" t="str">
        <f>IF(B133="","",O133*M133)</f>
        <v/>
      </c>
    </row>
    <row r="134">
      <c r="A134" s="7" t="n">
        <v>89</v>
      </c>
      <c r="B134" s="7" t="str">
        <f>IF(A134&gt;$C$38,"",IF(A134&lt;=$C$5,"Básico",IF($C$6&gt;0,"Sucesivo","Opción de compra")))</f>
        <v/>
      </c>
      <c r="C134" s="7" t="str">
        <f>IF(B134="","",IF(B134="Opción de compra",$C$5,A134-$C$7))</f>
        <v/>
      </c>
      <c r="D134" s="77" t="str">
        <f>IF(B134="","",EDATE($C$33,C134))</f>
        <v/>
      </c>
      <c r="E134" s="59" t="str">
        <f>IF(B134="","",I133)</f>
        <v/>
      </c>
      <c r="F134" s="59" t="str">
        <f>IF(B134="","",IF(B134="Básico",$C$24,IF(B134="Sucesivo",$C$25,$C$26)))</f>
        <v/>
      </c>
      <c r="G134" s="59" t="str">
        <f>IF(B134="","",IF(B134="Opción de compra",0,(E134-$C$7*F134)*IF(B134="Sucesivo",$C$11,$C$9)))</f>
        <v/>
      </c>
      <c r="H134" s="59" t="str">
        <f>IF(B134="","",F134-G134)</f>
        <v/>
      </c>
      <c r="I134" s="59" t="str">
        <f>IF(B134="","",E134-H134)</f>
        <v/>
      </c>
      <c r="J134" s="59" t="str">
        <f>IF(B134="","",IF(OR(inp_Tipo="Arrendamiento Puro",par_BaseIVAFin="Sobre renta",B134="Opción de compra"),F134,G134)*$C$14)</f>
        <v/>
      </c>
      <c r="K134" s="59" t="str">
        <f>IF(B134="","",F134+J134)</f>
        <v/>
      </c>
      <c r="L134" s="59" t="str">
        <f>IF(B134="","",F134-IF(A134=$C$38,$C$30,0))</f>
        <v/>
      </c>
      <c r="M134" s="78" t="str">
        <f>IF(B134="","",$C$37*(1+$C$13)^(-C134))</f>
        <v/>
      </c>
      <c r="N134" s="59" t="str">
        <f>IF(B134="","",L134*M134)</f>
        <v/>
      </c>
      <c r="O134" s="59" t="str">
        <f>IF(B134="","",IF(B134="Básico",F134,0)-IF(A134=$C$38,$C$30,0))</f>
        <v/>
      </c>
      <c r="P134" s="77">
        <f>IF(B134="",$C$31,D134)</f>
        <v>46295.0</v>
      </c>
      <c r="Q134" s="59">
        <f>IF(B134="",0,L134)</f>
        <v>0</v>
      </c>
      <c r="R134" s="59">
        <f>IF(B134="",0,-F134)</f>
        <v>0</v>
      </c>
      <c r="S134" s="59" t="str">
        <f>IF(B134="","",O134*M134)</f>
        <v/>
      </c>
    </row>
    <row r="135">
      <c r="A135" s="7" t="n">
        <v>90</v>
      </c>
      <c r="B135" s="7" t="str">
        <f>IF(A135&gt;$C$38,"",IF(A135&lt;=$C$5,"Básico",IF($C$6&gt;0,"Sucesivo","Opción de compra")))</f>
        <v/>
      </c>
      <c r="C135" s="7" t="str">
        <f>IF(B135="","",IF(B135="Opción de compra",$C$5,A135-$C$7))</f>
        <v/>
      </c>
      <c r="D135" s="77" t="str">
        <f>IF(B135="","",EDATE($C$33,C135))</f>
        <v/>
      </c>
      <c r="E135" s="59" t="str">
        <f>IF(B135="","",I134)</f>
        <v/>
      </c>
      <c r="F135" s="59" t="str">
        <f>IF(B135="","",IF(B135="Básico",$C$24,IF(B135="Sucesivo",$C$25,$C$26)))</f>
        <v/>
      </c>
      <c r="G135" s="59" t="str">
        <f>IF(B135="","",IF(B135="Opción de compra",0,(E135-$C$7*F135)*IF(B135="Sucesivo",$C$11,$C$9)))</f>
        <v/>
      </c>
      <c r="H135" s="59" t="str">
        <f>IF(B135="","",F135-G135)</f>
        <v/>
      </c>
      <c r="I135" s="59" t="str">
        <f>IF(B135="","",E135-H135)</f>
        <v/>
      </c>
      <c r="J135" s="59" t="str">
        <f>IF(B135="","",IF(OR(inp_Tipo="Arrendamiento Puro",par_BaseIVAFin="Sobre renta",B135="Opción de compra"),F135,G135)*$C$14)</f>
        <v/>
      </c>
      <c r="K135" s="59" t="str">
        <f>IF(B135="","",F135+J135)</f>
        <v/>
      </c>
      <c r="L135" s="59" t="str">
        <f>IF(B135="","",F135-IF(A135=$C$38,$C$30,0))</f>
        <v/>
      </c>
      <c r="M135" s="78" t="str">
        <f>IF(B135="","",$C$37*(1+$C$13)^(-C135))</f>
        <v/>
      </c>
      <c r="N135" s="59" t="str">
        <f>IF(B135="","",L135*M135)</f>
        <v/>
      </c>
      <c r="O135" s="59" t="str">
        <f>IF(B135="","",IF(B135="Básico",F135,0)-IF(A135=$C$38,$C$30,0))</f>
        <v/>
      </c>
      <c r="P135" s="77">
        <f>IF(B135="",$C$31,D135)</f>
        <v>46295.0</v>
      </c>
      <c r="Q135" s="59">
        <f>IF(B135="",0,L135)</f>
        <v>0</v>
      </c>
      <c r="R135" s="59">
        <f>IF(B135="",0,-F135)</f>
        <v>0</v>
      </c>
      <c r="S135" s="59" t="str">
        <f>IF(B135="","",O135*M135)</f>
        <v/>
      </c>
    </row>
    <row r="136">
      <c r="A136" s="7" t="n">
        <v>91</v>
      </c>
      <c r="B136" s="7" t="str">
        <f>IF(A136&gt;$C$38,"",IF(A136&lt;=$C$5,"Básico",IF($C$6&gt;0,"Sucesivo","Opción de compra")))</f>
        <v/>
      </c>
      <c r="C136" s="7" t="str">
        <f>IF(B136="","",IF(B136="Opción de compra",$C$5,A136-$C$7))</f>
        <v/>
      </c>
      <c r="D136" s="77" t="str">
        <f>IF(B136="","",EDATE($C$33,C136))</f>
        <v/>
      </c>
      <c r="E136" s="59" t="str">
        <f>IF(B136="","",I135)</f>
        <v/>
      </c>
      <c r="F136" s="59" t="str">
        <f>IF(B136="","",IF(B136="Básico",$C$24,IF(B136="Sucesivo",$C$25,$C$26)))</f>
        <v/>
      </c>
      <c r="G136" s="59" t="str">
        <f>IF(B136="","",IF(B136="Opción de compra",0,(E136-$C$7*F136)*IF(B136="Sucesivo",$C$11,$C$9)))</f>
        <v/>
      </c>
      <c r="H136" s="59" t="str">
        <f>IF(B136="","",F136-G136)</f>
        <v/>
      </c>
      <c r="I136" s="59" t="str">
        <f>IF(B136="","",E136-H136)</f>
        <v/>
      </c>
      <c r="J136" s="59" t="str">
        <f>IF(B136="","",IF(OR(inp_Tipo="Arrendamiento Puro",par_BaseIVAFin="Sobre renta",B136="Opción de compra"),F136,G136)*$C$14)</f>
        <v/>
      </c>
      <c r="K136" s="59" t="str">
        <f>IF(B136="","",F136+J136)</f>
        <v/>
      </c>
      <c r="L136" s="59" t="str">
        <f>IF(B136="","",F136-IF(A136=$C$38,$C$30,0))</f>
        <v/>
      </c>
      <c r="M136" s="78" t="str">
        <f>IF(B136="","",$C$37*(1+$C$13)^(-C136))</f>
        <v/>
      </c>
      <c r="N136" s="59" t="str">
        <f>IF(B136="","",L136*M136)</f>
        <v/>
      </c>
      <c r="O136" s="59" t="str">
        <f>IF(B136="","",IF(B136="Básico",F136,0)-IF(A136=$C$38,$C$30,0))</f>
        <v/>
      </c>
      <c r="P136" s="77">
        <f>IF(B136="",$C$31,D136)</f>
        <v>46295.0</v>
      </c>
      <c r="Q136" s="59">
        <f>IF(B136="",0,L136)</f>
        <v>0</v>
      </c>
      <c r="R136" s="59">
        <f>IF(B136="",0,-F136)</f>
        <v>0</v>
      </c>
      <c r="S136" s="59" t="str">
        <f>IF(B136="","",O136*M136)</f>
        <v/>
      </c>
    </row>
    <row r="137">
      <c r="A137" s="7" t="n">
        <v>92</v>
      </c>
      <c r="B137" s="7" t="str">
        <f>IF(A137&gt;$C$38,"",IF(A137&lt;=$C$5,"Básico",IF($C$6&gt;0,"Sucesivo","Opción de compra")))</f>
        <v/>
      </c>
      <c r="C137" s="7" t="str">
        <f>IF(B137="","",IF(B137="Opción de compra",$C$5,A137-$C$7))</f>
        <v/>
      </c>
      <c r="D137" s="77" t="str">
        <f>IF(B137="","",EDATE($C$33,C137))</f>
        <v/>
      </c>
      <c r="E137" s="59" t="str">
        <f>IF(B137="","",I136)</f>
        <v/>
      </c>
      <c r="F137" s="59" t="str">
        <f>IF(B137="","",IF(B137="Básico",$C$24,IF(B137="Sucesivo",$C$25,$C$26)))</f>
        <v/>
      </c>
      <c r="G137" s="59" t="str">
        <f>IF(B137="","",IF(B137="Opción de compra",0,(E137-$C$7*F137)*IF(B137="Sucesivo",$C$11,$C$9)))</f>
        <v/>
      </c>
      <c r="H137" s="59" t="str">
        <f>IF(B137="","",F137-G137)</f>
        <v/>
      </c>
      <c r="I137" s="59" t="str">
        <f>IF(B137="","",E137-H137)</f>
        <v/>
      </c>
      <c r="J137" s="59" t="str">
        <f>IF(B137="","",IF(OR(inp_Tipo="Arrendamiento Puro",par_BaseIVAFin="Sobre renta",B137="Opción de compra"),F137,G137)*$C$14)</f>
        <v/>
      </c>
      <c r="K137" s="59" t="str">
        <f>IF(B137="","",F137+J137)</f>
        <v/>
      </c>
      <c r="L137" s="59" t="str">
        <f>IF(B137="","",F137-IF(A137=$C$38,$C$30,0))</f>
        <v/>
      </c>
      <c r="M137" s="78" t="str">
        <f>IF(B137="","",$C$37*(1+$C$13)^(-C137))</f>
        <v/>
      </c>
      <c r="N137" s="59" t="str">
        <f>IF(B137="","",L137*M137)</f>
        <v/>
      </c>
      <c r="O137" s="59" t="str">
        <f>IF(B137="","",IF(B137="Básico",F137,0)-IF(A137=$C$38,$C$30,0))</f>
        <v/>
      </c>
      <c r="P137" s="77">
        <f>IF(B137="",$C$31,D137)</f>
        <v>46295.0</v>
      </c>
      <c r="Q137" s="59">
        <f>IF(B137="",0,L137)</f>
        <v>0</v>
      </c>
      <c r="R137" s="59">
        <f>IF(B137="",0,-F137)</f>
        <v>0</v>
      </c>
      <c r="S137" s="59" t="str">
        <f>IF(B137="","",O137*M137)</f>
        <v/>
      </c>
    </row>
    <row r="138">
      <c r="A138" s="7" t="n">
        <v>93</v>
      </c>
      <c r="B138" s="7" t="str">
        <f>IF(A138&gt;$C$38,"",IF(A138&lt;=$C$5,"Básico",IF($C$6&gt;0,"Sucesivo","Opción de compra")))</f>
        <v/>
      </c>
      <c r="C138" s="7" t="str">
        <f>IF(B138="","",IF(B138="Opción de compra",$C$5,A138-$C$7))</f>
        <v/>
      </c>
      <c r="D138" s="77" t="str">
        <f>IF(B138="","",EDATE($C$33,C138))</f>
        <v/>
      </c>
      <c r="E138" s="59" t="str">
        <f>IF(B138="","",I137)</f>
        <v/>
      </c>
      <c r="F138" s="59" t="str">
        <f>IF(B138="","",IF(B138="Básico",$C$24,IF(B138="Sucesivo",$C$25,$C$26)))</f>
        <v/>
      </c>
      <c r="G138" s="59" t="str">
        <f>IF(B138="","",IF(B138="Opción de compra",0,(E138-$C$7*F138)*IF(B138="Sucesivo",$C$11,$C$9)))</f>
        <v/>
      </c>
      <c r="H138" s="59" t="str">
        <f>IF(B138="","",F138-G138)</f>
        <v/>
      </c>
      <c r="I138" s="59" t="str">
        <f>IF(B138="","",E138-H138)</f>
        <v/>
      </c>
      <c r="J138" s="59" t="str">
        <f>IF(B138="","",IF(OR(inp_Tipo="Arrendamiento Puro",par_BaseIVAFin="Sobre renta",B138="Opción de compra"),F138,G138)*$C$14)</f>
        <v/>
      </c>
      <c r="K138" s="59" t="str">
        <f>IF(B138="","",F138+J138)</f>
        <v/>
      </c>
      <c r="L138" s="59" t="str">
        <f>IF(B138="","",F138-IF(A138=$C$38,$C$30,0))</f>
        <v/>
      </c>
      <c r="M138" s="78" t="str">
        <f>IF(B138="","",$C$37*(1+$C$13)^(-C138))</f>
        <v/>
      </c>
      <c r="N138" s="59" t="str">
        <f>IF(B138="","",L138*M138)</f>
        <v/>
      </c>
      <c r="O138" s="59" t="str">
        <f>IF(B138="","",IF(B138="Básico",F138,0)-IF(A138=$C$38,$C$30,0))</f>
        <v/>
      </c>
      <c r="P138" s="77">
        <f>IF(B138="",$C$31,D138)</f>
        <v>46295.0</v>
      </c>
      <c r="Q138" s="59">
        <f>IF(B138="",0,L138)</f>
        <v>0</v>
      </c>
      <c r="R138" s="59">
        <f>IF(B138="",0,-F138)</f>
        <v>0</v>
      </c>
      <c r="S138" s="59" t="str">
        <f>IF(B138="","",O138*M138)</f>
        <v/>
      </c>
    </row>
    <row r="139">
      <c r="A139" s="7" t="n">
        <v>94</v>
      </c>
      <c r="B139" s="7" t="str">
        <f>IF(A139&gt;$C$38,"",IF(A139&lt;=$C$5,"Básico",IF($C$6&gt;0,"Sucesivo","Opción de compra")))</f>
        <v/>
      </c>
      <c r="C139" s="7" t="str">
        <f>IF(B139="","",IF(B139="Opción de compra",$C$5,A139-$C$7))</f>
        <v/>
      </c>
      <c r="D139" s="77" t="str">
        <f>IF(B139="","",EDATE($C$33,C139))</f>
        <v/>
      </c>
      <c r="E139" s="59" t="str">
        <f>IF(B139="","",I138)</f>
        <v/>
      </c>
      <c r="F139" s="59" t="str">
        <f>IF(B139="","",IF(B139="Básico",$C$24,IF(B139="Sucesivo",$C$25,$C$26)))</f>
        <v/>
      </c>
      <c r="G139" s="59" t="str">
        <f>IF(B139="","",IF(B139="Opción de compra",0,(E139-$C$7*F139)*IF(B139="Sucesivo",$C$11,$C$9)))</f>
        <v/>
      </c>
      <c r="H139" s="59" t="str">
        <f>IF(B139="","",F139-G139)</f>
        <v/>
      </c>
      <c r="I139" s="59" t="str">
        <f>IF(B139="","",E139-H139)</f>
        <v/>
      </c>
      <c r="J139" s="59" t="str">
        <f>IF(B139="","",IF(OR(inp_Tipo="Arrendamiento Puro",par_BaseIVAFin="Sobre renta",B139="Opción de compra"),F139,G139)*$C$14)</f>
        <v/>
      </c>
      <c r="K139" s="59" t="str">
        <f>IF(B139="","",F139+J139)</f>
        <v/>
      </c>
      <c r="L139" s="59" t="str">
        <f>IF(B139="","",F139-IF(A139=$C$38,$C$30,0))</f>
        <v/>
      </c>
      <c r="M139" s="78" t="str">
        <f>IF(B139="","",$C$37*(1+$C$13)^(-C139))</f>
        <v/>
      </c>
      <c r="N139" s="59" t="str">
        <f>IF(B139="","",L139*M139)</f>
        <v/>
      </c>
      <c r="O139" s="59" t="str">
        <f>IF(B139="","",IF(B139="Básico",F139,0)-IF(A139=$C$38,$C$30,0))</f>
        <v/>
      </c>
      <c r="P139" s="77">
        <f>IF(B139="",$C$31,D139)</f>
        <v>46295.0</v>
      </c>
      <c r="Q139" s="59">
        <f>IF(B139="",0,L139)</f>
        <v>0</v>
      </c>
      <c r="R139" s="59">
        <f>IF(B139="",0,-F139)</f>
        <v>0</v>
      </c>
      <c r="S139" s="59" t="str">
        <f>IF(B139="","",O139*M139)</f>
        <v/>
      </c>
    </row>
    <row r="140">
      <c r="A140" s="7" t="n">
        <v>95</v>
      </c>
      <c r="B140" s="7" t="str">
        <f>IF(A140&gt;$C$38,"",IF(A140&lt;=$C$5,"Básico",IF($C$6&gt;0,"Sucesivo","Opción de compra")))</f>
        <v/>
      </c>
      <c r="C140" s="7" t="str">
        <f>IF(B140="","",IF(B140="Opción de compra",$C$5,A140-$C$7))</f>
        <v/>
      </c>
      <c r="D140" s="77" t="str">
        <f>IF(B140="","",EDATE($C$33,C140))</f>
        <v/>
      </c>
      <c r="E140" s="59" t="str">
        <f>IF(B140="","",I139)</f>
        <v/>
      </c>
      <c r="F140" s="59" t="str">
        <f>IF(B140="","",IF(B140="Básico",$C$24,IF(B140="Sucesivo",$C$25,$C$26)))</f>
        <v/>
      </c>
      <c r="G140" s="59" t="str">
        <f>IF(B140="","",IF(B140="Opción de compra",0,(E140-$C$7*F140)*IF(B140="Sucesivo",$C$11,$C$9)))</f>
        <v/>
      </c>
      <c r="H140" s="59" t="str">
        <f>IF(B140="","",F140-G140)</f>
        <v/>
      </c>
      <c r="I140" s="59" t="str">
        <f>IF(B140="","",E140-H140)</f>
        <v/>
      </c>
      <c r="J140" s="59" t="str">
        <f>IF(B140="","",IF(OR(inp_Tipo="Arrendamiento Puro",par_BaseIVAFin="Sobre renta",B140="Opción de compra"),F140,G140)*$C$14)</f>
        <v/>
      </c>
      <c r="K140" s="59" t="str">
        <f>IF(B140="","",F140+J140)</f>
        <v/>
      </c>
      <c r="L140" s="59" t="str">
        <f>IF(B140="","",F140-IF(A140=$C$38,$C$30,0))</f>
        <v/>
      </c>
      <c r="M140" s="78" t="str">
        <f>IF(B140="","",$C$37*(1+$C$13)^(-C140))</f>
        <v/>
      </c>
      <c r="N140" s="59" t="str">
        <f>IF(B140="","",L140*M140)</f>
        <v/>
      </c>
      <c r="O140" s="59" t="str">
        <f>IF(B140="","",IF(B140="Básico",F140,0)-IF(A140=$C$38,$C$30,0))</f>
        <v/>
      </c>
      <c r="P140" s="77">
        <f>IF(B140="",$C$31,D140)</f>
        <v>46295.0</v>
      </c>
      <c r="Q140" s="59">
        <f>IF(B140="",0,L140)</f>
        <v>0</v>
      </c>
      <c r="R140" s="59">
        <f>IF(B140="",0,-F140)</f>
        <v>0</v>
      </c>
      <c r="S140" s="59" t="str">
        <f>IF(B140="","",O140*M140)</f>
        <v/>
      </c>
    </row>
    <row r="141">
      <c r="A141" s="7" t="n">
        <v>96</v>
      </c>
      <c r="B141" s="7" t="str">
        <f>IF(A141&gt;$C$38,"",IF(A141&lt;=$C$5,"Básico",IF($C$6&gt;0,"Sucesivo","Opción de compra")))</f>
        <v/>
      </c>
      <c r="C141" s="7" t="str">
        <f>IF(B141="","",IF(B141="Opción de compra",$C$5,A141-$C$7))</f>
        <v/>
      </c>
      <c r="D141" s="77" t="str">
        <f>IF(B141="","",EDATE($C$33,C141))</f>
        <v/>
      </c>
      <c r="E141" s="59" t="str">
        <f>IF(B141="","",I140)</f>
        <v/>
      </c>
      <c r="F141" s="59" t="str">
        <f>IF(B141="","",IF(B141="Básico",$C$24,IF(B141="Sucesivo",$C$25,$C$26)))</f>
        <v/>
      </c>
      <c r="G141" s="59" t="str">
        <f>IF(B141="","",IF(B141="Opción de compra",0,(E141-$C$7*F141)*IF(B141="Sucesivo",$C$11,$C$9)))</f>
        <v/>
      </c>
      <c r="H141" s="59" t="str">
        <f>IF(B141="","",F141-G141)</f>
        <v/>
      </c>
      <c r="I141" s="59" t="str">
        <f>IF(B141="","",E141-H141)</f>
        <v/>
      </c>
      <c r="J141" s="59" t="str">
        <f>IF(B141="","",IF(OR(inp_Tipo="Arrendamiento Puro",par_BaseIVAFin="Sobre renta",B141="Opción de compra"),F141,G141)*$C$14)</f>
        <v/>
      </c>
      <c r="K141" s="59" t="str">
        <f>IF(B141="","",F141+J141)</f>
        <v/>
      </c>
      <c r="L141" s="59" t="str">
        <f>IF(B141="","",F141-IF(A141=$C$38,$C$30,0))</f>
        <v/>
      </c>
      <c r="M141" s="78" t="str">
        <f>IF(B141="","",$C$37*(1+$C$13)^(-C141))</f>
        <v/>
      </c>
      <c r="N141" s="59" t="str">
        <f>IF(B141="","",L141*M141)</f>
        <v/>
      </c>
      <c r="O141" s="59" t="str">
        <f>IF(B141="","",IF(B141="Básico",F141,0)-IF(A141=$C$38,$C$30,0))</f>
        <v/>
      </c>
      <c r="P141" s="77">
        <f>IF(B141="",$C$31,D141)</f>
        <v>46295.0</v>
      </c>
      <c r="Q141" s="59">
        <f>IF(B141="",0,L141)</f>
        <v>0</v>
      </c>
      <c r="R141" s="59">
        <f>IF(B141="",0,-F141)</f>
        <v>0</v>
      </c>
      <c r="S141" s="59" t="str">
        <f>IF(B141="","",O141*M141)</f>
        <v/>
      </c>
    </row>
    <row r="142">
      <c r="A142" s="7" t="n">
        <v>97</v>
      </c>
      <c r="B142" s="7" t="str">
        <f>IF(A142&gt;$C$38,"",IF(A142&lt;=$C$5,"Básico",IF($C$6&gt;0,"Sucesivo","Opción de compra")))</f>
        <v/>
      </c>
      <c r="C142" s="7" t="str">
        <f>IF(B142="","",IF(B142="Opción de compra",$C$5,A142-$C$7))</f>
        <v/>
      </c>
      <c r="D142" s="77" t="str">
        <f>IF(B142="","",EDATE($C$33,C142))</f>
        <v/>
      </c>
      <c r="E142" s="59" t="str">
        <f>IF(B142="","",I141)</f>
        <v/>
      </c>
      <c r="F142" s="59" t="str">
        <f>IF(B142="","",IF(B142="Básico",$C$24,IF(B142="Sucesivo",$C$25,$C$26)))</f>
        <v/>
      </c>
      <c r="G142" s="59" t="str">
        <f>IF(B142="","",IF(B142="Opción de compra",0,(E142-$C$7*F142)*IF(B142="Sucesivo",$C$11,$C$9)))</f>
        <v/>
      </c>
      <c r="H142" s="59" t="str">
        <f>IF(B142="","",F142-G142)</f>
        <v/>
      </c>
      <c r="I142" s="59" t="str">
        <f>IF(B142="","",E142-H142)</f>
        <v/>
      </c>
      <c r="J142" s="59" t="str">
        <f>IF(B142="","",IF(OR(inp_Tipo="Arrendamiento Puro",par_BaseIVAFin="Sobre renta",B142="Opción de compra"),F142,G142)*$C$14)</f>
        <v/>
      </c>
      <c r="K142" s="59" t="str">
        <f>IF(B142="","",F142+J142)</f>
        <v/>
      </c>
      <c r="L142" s="59" t="str">
        <f>IF(B142="","",F142-IF(A142=$C$38,$C$30,0))</f>
        <v/>
      </c>
      <c r="M142" s="78" t="str">
        <f>IF(B142="","",$C$37*(1+$C$13)^(-C142))</f>
        <v/>
      </c>
      <c r="N142" s="59" t="str">
        <f>IF(B142="","",L142*M142)</f>
        <v/>
      </c>
      <c r="O142" s="59" t="str">
        <f>IF(B142="","",IF(B142="Básico",F142,0)-IF(A142=$C$38,$C$30,0))</f>
        <v/>
      </c>
      <c r="P142" s="77">
        <f>IF(B142="",$C$31,D142)</f>
        <v>46295.0</v>
      </c>
      <c r="Q142" s="59">
        <f>IF(B142="",0,L142)</f>
        <v>0</v>
      </c>
      <c r="R142" s="59">
        <f>IF(B142="",0,-F142)</f>
        <v>0</v>
      </c>
      <c r="S142" s="59" t="str">
        <f>IF(B142="","",O142*M142)</f>
        <v/>
      </c>
    </row>
    <row r="143">
      <c r="A143" s="7" t="n">
        <v>98</v>
      </c>
      <c r="B143" s="7" t="str">
        <f>IF(A143&gt;$C$38,"",IF(A143&lt;=$C$5,"Básico",IF($C$6&gt;0,"Sucesivo","Opción de compra")))</f>
        <v/>
      </c>
      <c r="C143" s="7" t="str">
        <f>IF(B143="","",IF(B143="Opción de compra",$C$5,A143-$C$7))</f>
        <v/>
      </c>
      <c r="D143" s="77" t="str">
        <f>IF(B143="","",EDATE($C$33,C143))</f>
        <v/>
      </c>
      <c r="E143" s="59" t="str">
        <f>IF(B143="","",I142)</f>
        <v/>
      </c>
      <c r="F143" s="59" t="str">
        <f>IF(B143="","",IF(B143="Básico",$C$24,IF(B143="Sucesivo",$C$25,$C$26)))</f>
        <v/>
      </c>
      <c r="G143" s="59" t="str">
        <f>IF(B143="","",IF(B143="Opción de compra",0,(E143-$C$7*F143)*IF(B143="Sucesivo",$C$11,$C$9)))</f>
        <v/>
      </c>
      <c r="H143" s="59" t="str">
        <f>IF(B143="","",F143-G143)</f>
        <v/>
      </c>
      <c r="I143" s="59" t="str">
        <f>IF(B143="","",E143-H143)</f>
        <v/>
      </c>
      <c r="J143" s="59" t="str">
        <f>IF(B143="","",IF(OR(inp_Tipo="Arrendamiento Puro",par_BaseIVAFin="Sobre renta",B143="Opción de compra"),F143,G143)*$C$14)</f>
        <v/>
      </c>
      <c r="K143" s="59" t="str">
        <f>IF(B143="","",F143+J143)</f>
        <v/>
      </c>
      <c r="L143" s="59" t="str">
        <f>IF(B143="","",F143-IF(A143=$C$38,$C$30,0))</f>
        <v/>
      </c>
      <c r="M143" s="78" t="str">
        <f>IF(B143="","",$C$37*(1+$C$13)^(-C143))</f>
        <v/>
      </c>
      <c r="N143" s="59" t="str">
        <f>IF(B143="","",L143*M143)</f>
        <v/>
      </c>
      <c r="O143" s="59" t="str">
        <f>IF(B143="","",IF(B143="Básico",F143,0)-IF(A143=$C$38,$C$30,0))</f>
        <v/>
      </c>
      <c r="P143" s="77">
        <f>IF(B143="",$C$31,D143)</f>
        <v>46295.0</v>
      </c>
      <c r="Q143" s="59">
        <f>IF(B143="",0,L143)</f>
        <v>0</v>
      </c>
      <c r="R143" s="59">
        <f>IF(B143="",0,-F143)</f>
        <v>0</v>
      </c>
      <c r="S143" s="59" t="str">
        <f>IF(B143="","",O143*M143)</f>
        <v/>
      </c>
    </row>
  </sheetData>
  <sheetProtection selectLockedCells="0" selectUnlockedCells="0" sheet="1" objects="0" insertRows="1" insertHyperlinks="1" autoFilter="1" scenarios="0" formatColumns="0" deleteColumns="1" insertColumns="1" pivotTables="1" deleteRows="1" formatCells="1" formatRows="0" sort="1"/>
  <mergeCells count="21">
    <mergeCell ref="E26:I32"/>
    <mergeCell ref="E16:H16"/>
    <mergeCell ref="E7:H7"/>
    <mergeCell ref="E22:H22"/>
    <mergeCell ref="E18:H18"/>
    <mergeCell ref="E12:H12"/>
    <mergeCell ref="E21:H21"/>
    <mergeCell ref="E5:H5"/>
    <mergeCell ref="E14:H14"/>
    <mergeCell ref="E17:H17"/>
    <mergeCell ref="E23:H23"/>
    <mergeCell ref="E8:H8"/>
    <mergeCell ref="E4:H4"/>
    <mergeCell ref="E20:H20"/>
    <mergeCell ref="E19:H19"/>
    <mergeCell ref="E10:H10"/>
    <mergeCell ref="E13:H13"/>
    <mergeCell ref="E9:H9"/>
    <mergeCell ref="E6:H6"/>
    <mergeCell ref="E15:H15"/>
    <mergeCell ref="E11:H11"/>
  </mergeCells>
  <conditionalFormatting sqref="A46:S143">
    <cfRule type="expression" priority="1" dxfId="5">
      <formula>$B46="Sucesivo"</formula>
    </cfRule>
    <cfRule type="expression" priority="2" dxfId="5">
      <formula>$B46="Opción de compra"</formula>
    </cfRule>
  </conditionalFormatting>
  <pageMargins left="0.75" right="0.75" top="1" bottom="1" header="0.5" footer="0.5"/>
  <pageSetup orientation="landscape" fitToHeight="0" fitToWidth="1"/>
</worksheet>
</file>

<file path=xl/worksheets/sheet8.xml><?xml version="1.0" encoding="utf-8"?>
<worksheet xmlns="http://schemas.openxmlformats.org/spreadsheetml/2006/main">
  <sheetPr codeName="Hoja8">
    <tabColor rgb="00808080"/>
    <outlinePr summaryBelow="1" summaryRight="1"/>
    <pageSetUpPr fitToPage="1"/>
  </sheetPr>
  <dimension ref="A1:S143"/>
  <sheetViews>
    <sheetView showGridLines="0" workbookViewId="0">
      <pane xSplit="2" ySplit="44" topLeftCell="C45"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2</v>
      </c>
    </row>
    <row r="2">
      <c r="A2" s="2" t="inlineStr">
        <is>
          <t>Hoja de cálculo interna (protegida). Todos los datos vienen de la hoja Cotizador.</t>
        </is>
      </c>
    </row>
    <row r="3">
      <c r="B3" s="7" t="inlineStr">
        <is>
          <t>Escenario</t>
        </is>
      </c>
      <c r="C3" s="64" t="n">
        <v>2</v>
      </c>
      <c r="E3" s="65" t="inlineStr">
        <is>
          <t>RESULTADOS DEL ESCENARIO</t>
        </is>
      </c>
      <c r="F3" s="65" t="n"/>
      <c r="G3" s="65" t="n"/>
      <c r="H3" s="65" t="n"/>
      <c r="I3" s="65" t="n"/>
    </row>
    <row r="4">
      <c r="B4" s="7" t="inlineStr">
        <is>
          <t>Incluido en la carta</t>
        </is>
      </c>
      <c r="C4" s="66" t="str">
        <f>INDEX(esc_Incluir,1,$C$3)</f>
        <v>Sí</v>
      </c>
      <c r="E4" s="7" t="inlineStr">
        <is>
          <t>Cash margin C/R ($) = VP al fondeo de todos los flujos</t>
        </is>
      </c>
      <c r="I4" s="67">
        <f>C41+SUM(N46:N143)</f>
        <v>-13770.206640901</v>
      </c>
    </row>
    <row r="5">
      <c r="B5" s="7" t="inlineStr">
        <is>
          <t>Plazo básico (n, meses)</t>
        </is>
      </c>
      <c r="C5" s="68">
        <f>INDEX(esc_Plazo,1,$C$3)</f>
        <v>36</v>
      </c>
      <c r="E5" s="7" t="inlineStr">
        <is>
          <t>Cash margin C/R (% del monto financiado)</t>
        </is>
      </c>
      <c r="I5" s="69">
        <f>IFERROR(I4/C19,0)</f>
        <v>-0.0191112853304017</v>
      </c>
    </row>
    <row r="6">
      <c r="B6" s="7" t="inlineStr">
        <is>
          <t>Plazo sucesivo (m, meses)</t>
        </is>
      </c>
      <c r="C6" s="68">
        <f>INDEX(esc_Sucesivo,1,$C$3)</f>
        <v>1</v>
      </c>
      <c r="E6" s="7" t="inlineStr">
        <is>
          <t>Cash margin S/R ($) = sin pago final / residual</t>
        </is>
      </c>
      <c r="I6" s="21">
        <f>C41+SUM(S46:S143)</f>
        <v>-34367.6997583376</v>
      </c>
    </row>
    <row r="7">
      <c r="B7" s="7" t="inlineStr">
        <is>
          <t>Tipo de pago (1 = anticipado, 0 = vencido)</t>
        </is>
      </c>
      <c r="C7" s="68">
        <f>IF(inp_Modalidad="Anticipado",1,0)</f>
        <v>1</v>
      </c>
      <c r="E7" s="7" t="inlineStr">
        <is>
          <t>Cash margin S/R (%)</t>
        </is>
      </c>
      <c r="I7" s="70">
        <f>IFERROR(I6/C19,0)</f>
        <v>-0.0476979709425908</v>
      </c>
    </row>
    <row r="8">
      <c r="B8" s="7" t="inlineStr">
        <is>
          <t>Tasa anual plazo básico</t>
        </is>
      </c>
      <c r="C8" s="71">
        <f>INDEX(esc_Tasa,1,$C$3)</f>
        <v>0.17</v>
      </c>
      <c r="E8" s="7" t="inlineStr">
        <is>
          <t>TIR anual efectiva del arrendador (XIRR)</t>
        </is>
      </c>
      <c r="I8" s="69">
        <f>IFERROR(XIRR(Q45:Q143,P45:P143),"n/d")</f>
        <v>0.206625865419672</v>
      </c>
    </row>
    <row r="9">
      <c r="B9" s="7" t="inlineStr">
        <is>
          <t>Tasa mensual plazo básico (i)</t>
        </is>
      </c>
      <c r="C9" s="71">
        <f>C8/12</f>
        <v>0.0141666666666667</v>
      </c>
      <c r="E9" s="7" t="inlineStr">
        <is>
          <t>TIR nominal anual (capitalizable mensual)</t>
        </is>
      </c>
      <c r="I9" s="70">
        <f>IFERROR(12*((1+I8)^(1/12)-1),"n/d")</f>
        <v>0.189305595043472</v>
      </c>
    </row>
    <row r="10">
      <c r="B10" s="7" t="inlineStr">
        <is>
          <t>Tasa anual plazo sucesivo</t>
        </is>
      </c>
      <c r="C10" s="71">
        <f>INDEX(esc_TasaSuc,1,$C$3)</f>
        <v>0.17</v>
      </c>
      <c r="E10" s="7" t="inlineStr">
        <is>
          <t>CAT informativo sin IVA (flujos del cliente)</t>
        </is>
      </c>
      <c r="I10" s="70">
        <f>IFERROR(XIRR(R45:R143,P45:P143),"n/d")</f>
        <v>0.191541158305033</v>
      </c>
    </row>
    <row r="11">
      <c r="B11" s="7" t="inlineStr">
        <is>
          <t>Tasa mensual plazo sucesivo (i2)</t>
        </is>
      </c>
      <c r="C11" s="71">
        <f>C10/12</f>
        <v>0.0141666666666667</v>
      </c>
      <c r="E11" s="7" t="inlineStr">
        <is>
          <t>Σ factores de descuento de rentas básicas</t>
        </is>
      </c>
      <c r="I11" s="72">
        <f>SUMIF(B46:B143,"Básico",M46:M143)</f>
        <v>27.1655825655757</v>
      </c>
    </row>
    <row r="12">
      <c r="B12" s="7" t="inlineStr">
        <is>
          <t>Tasa de fondeo anual</t>
        </is>
      </c>
      <c r="C12" s="71">
        <f>inp_Fondeo</f>
        <v>0.205</v>
      </c>
      <c r="E12" s="7" t="inlineStr">
        <is>
          <t>Factor de descuento del último pago</t>
        </is>
      </c>
      <c r="I12" s="72">
        <f>IFERROR(INDEX(M46:M143,C38),0)</f>
        <v>0.543147026631592</v>
      </c>
    </row>
    <row r="13">
      <c r="B13" s="7" t="inlineStr">
        <is>
          <t>Tasa de fondeo mensual (f)</t>
        </is>
      </c>
      <c r="C13" s="71">
        <f>C12/12</f>
        <v>0.0170833333333333</v>
      </c>
      <c r="E13" s="7" t="inlineStr">
        <is>
          <t>Sensibilidad del CM a la renta (∂CM/∂R)</t>
        </is>
      </c>
      <c r="I13" s="72">
        <f>I11+C29*(1+C14)*(1-I12)+C34/30</f>
        <v>27.7288653480164</v>
      </c>
    </row>
    <row r="14">
      <c r="B14" s="7" t="inlineStr">
        <is>
          <t>Tasa de IVA</t>
        </is>
      </c>
      <c r="C14" s="70">
        <f>par_IVA</f>
        <v>0.16</v>
      </c>
      <c r="E14" s="7" t="inlineStr">
        <is>
          <t>Renta mínima para el CM objetivo</t>
        </is>
      </c>
      <c r="I14" s="21">
        <f>IFERROR((inp_CMobj*C19-(I4-C24*I13))/I13,0)</f>
        <v>27101.8881389722</v>
      </c>
    </row>
    <row r="15">
      <c r="B15" s="7" t="inlineStr">
        <is>
          <t>Valor del equipo sin IVA (V)</t>
        </is>
      </c>
      <c r="C15" s="21">
        <f>inp_Valor</f>
        <v>758450</v>
      </c>
      <c r="E15" s="7" t="inlineStr">
        <is>
          <t>Tasa anual mínima para el CM objetivo</t>
        </is>
      </c>
      <c r="I15" s="70">
        <f>IFERROR(RATE(C5,I14,-C19,C21,C7)*12,"n/d")</f>
        <v>0.242853058451034</v>
      </c>
    </row>
    <row r="16">
      <c r="B16" s="7" t="inlineStr">
        <is>
          <t>Enganche</t>
        </is>
      </c>
      <c r="C16" s="21">
        <f>C15*INDEX(esc_Enganche,1,$C$3)</f>
        <v>37922.5</v>
      </c>
      <c r="E16" s="7" t="inlineStr">
        <is>
          <t>Saldo final de la tabla (debe ser 0)</t>
        </is>
      </c>
      <c r="I16" s="21">
        <f>IFERROR(INDEX(I46:I143,C38),0)</f>
        <v>0</v>
      </c>
    </row>
    <row r="17">
      <c r="B17" s="7" t="inlineStr">
        <is>
          <t>Seguro financiado</t>
        </is>
      </c>
      <c r="C17" s="21">
        <f>IF(INDEX(esc_SeguroForma,1,$C$3)="Financiado",INDEX(esc_Seguro,1,$C$3),0)</f>
        <v>0</v>
      </c>
      <c r="E17" s="7" t="inlineStr">
        <is>
          <t>Pago inicial: base sin IVA (enganche+comisión+renta prop.+contado)</t>
        </is>
      </c>
      <c r="I17" s="21">
        <f>C16+C28+C35+IF(INDEX(esc_SeguroForma,1,$C$3)="Contado",INDEX(esc_Seguro,1,$C$3),0)+IF(INDEX(esc_GPSForma,1,$C$3)="Contado",INDEX(esc_GPS,1,$C$3),0)</f>
        <v>44807.6502215303</v>
      </c>
    </row>
    <row r="18">
      <c r="B18" s="7" t="inlineStr">
        <is>
          <t>GPS financiado</t>
        </is>
      </c>
      <c r="C18" s="21">
        <f>IF(INDEX(esc_GPSForma,1,$C$3)="Financiado",INDEX(esc_GPS,1,$C$3),0)</f>
        <v>0</v>
      </c>
      <c r="E18" s="7" t="inlineStr">
        <is>
          <t>Pago inicial: IVA</t>
        </is>
      </c>
      <c r="I18" s="21">
        <f>I17*C14</f>
        <v>7169.22403544485</v>
      </c>
    </row>
    <row r="19">
      <c r="B19" s="7" t="inlineStr">
        <is>
          <t>Monto a financiar (M = V − enganche + financiados)</t>
        </is>
      </c>
      <c r="C19" s="67">
        <f>C15-C16+C17+C18</f>
        <v>720527.5</v>
      </c>
      <c r="E19" s="7" t="inlineStr">
        <is>
          <t>Pago inicial: depósito en garantía</t>
        </is>
      </c>
      <c r="I19" s="21">
        <f>C30</f>
        <v>28450.7477092554</v>
      </c>
    </row>
    <row r="20">
      <c r="B20" s="7" t="inlineStr">
        <is>
          <t>Valor residual (% del valor)</t>
        </is>
      </c>
      <c r="C20" s="70">
        <f>INDEX(esc_Residual,1,$C$3)</f>
        <v>0.05</v>
      </c>
      <c r="E20" s="7" t="inlineStr">
        <is>
          <t>PAGO INICIAL TOTAL (con IVA)</t>
        </is>
      </c>
      <c r="I20" s="67">
        <f>I17+I18+I19</f>
        <v>80427.6219662306</v>
      </c>
    </row>
    <row r="21">
      <c r="B21" s="7" t="inlineStr">
        <is>
          <t>Valor residual (VR)</t>
        </is>
      </c>
      <c r="C21" s="21">
        <f>C15*C20</f>
        <v>37922.5</v>
      </c>
      <c r="E21" s="7" t="inlineStr">
        <is>
          <t>IVA de la primera renta</t>
        </is>
      </c>
      <c r="I21" s="21">
        <f>IFERROR(J46,0)</f>
        <v>3924.24106334557</v>
      </c>
    </row>
    <row r="22">
      <c r="B22" s="7" t="inlineStr">
        <is>
          <t>Pago final (% del valor)</t>
        </is>
      </c>
      <c r="C22" s="70">
        <f>IF(INDEX(esc_PagoFinal,1,$C$3)="",C20,INDEX(esc_PagoFinal,1,$C$3))</f>
        <v>0.05</v>
      </c>
      <c r="E22" s="7" t="inlineStr">
        <is>
          <t>Total de pagos con IVA (rentas + pago final)</t>
        </is>
      </c>
      <c r="I22" s="21">
        <f>SUM(K46:K143)</f>
        <v>1068217.01753319</v>
      </c>
    </row>
    <row r="23">
      <c r="B23" s="7" t="inlineStr">
        <is>
          <t>Pago final ($)</t>
        </is>
      </c>
      <c r="C23" s="21">
        <f>C15*C22</f>
        <v>37922.5</v>
      </c>
      <c r="E23" s="7" t="inlineStr">
        <is>
          <t>Spread (tasa cliente − tasa fondeo)</t>
        </is>
      </c>
      <c r="I23" s="70">
        <f>C8-C12</f>
        <v>-0.035</v>
      </c>
    </row>
    <row r="24">
      <c r="B24" s="7" t="inlineStr">
        <is>
          <t>RENTA BÁSICA  R = PMT(i, n, −M, VR, tipo)</t>
        </is>
      </c>
      <c r="C24" s="67">
        <f>PMT(C9,C5,-C19,C21,C7)</f>
        <v>24526.5066459098</v>
      </c>
    </row>
    <row r="25">
      <c r="B25" s="7" t="inlineStr">
        <is>
          <t>Renta plazo sucesivo  Rs = PMT(i2, m, −PF, 0, tipo)</t>
        </is>
      </c>
      <c r="C25" s="21">
        <f>IF(C6&gt;0,PMT(C11,C6,-C23,0,C7),0)</f>
        <v>37922.5</v>
      </c>
    </row>
    <row r="26">
      <c r="B26" s="7" t="inlineStr">
        <is>
          <t>Opción de compra (si m = 0)</t>
        </is>
      </c>
      <c r="C26" s="21">
        <f>IF(C6=0,C23,0)</f>
        <v>0</v>
      </c>
      <c r="E26"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27">
      <c r="B27" s="7" t="inlineStr">
        <is>
          <t>Comisión por apertura (%)</t>
        </is>
      </c>
      <c r="C27" s="70">
        <f>INDEX(esc_Comision,1,$C$3)</f>
        <v>0.008</v>
      </c>
    </row>
    <row r="28">
      <c r="B28" s="7" t="inlineStr">
        <is>
          <t>Comisión por apertura ($, sobre el valor)</t>
        </is>
      </c>
      <c r="C28" s="21">
        <f>C15*C27</f>
        <v>6067.6</v>
      </c>
    </row>
    <row r="29">
      <c r="B29" s="7" t="inlineStr">
        <is>
          <t>Depósito en garantía (# rentas con IVA)</t>
        </is>
      </c>
      <c r="C29" s="73">
        <f>INDEX(esc_Deposito,1,$C$3)</f>
        <v>1</v>
      </c>
    </row>
    <row r="30">
      <c r="B30" s="7" t="inlineStr">
        <is>
          <t>Depósito en garantía ($)</t>
        </is>
      </c>
      <c r="C30" s="21">
        <f>C29*C24*(1+C14)</f>
        <v>28450.7477092554</v>
      </c>
    </row>
    <row r="31">
      <c r="B31" s="7" t="inlineStr">
        <is>
          <t>Fecha de firma / desembolso</t>
        </is>
      </c>
      <c r="C31" s="74">
        <f>inp_FechaFirma</f>
        <v>46295.0</v>
      </c>
    </row>
    <row r="32">
      <c r="B32" s="7" t="inlineStr">
        <is>
          <t>Fecha de la primera renta</t>
        </is>
      </c>
      <c r="C32" s="74">
        <f>inp_FechaPrimera</f>
        <v>46296.0</v>
      </c>
    </row>
    <row r="33">
      <c r="B33" s="7" t="inlineStr">
        <is>
          <t>Inicio del plazo (t = 0)</t>
        </is>
      </c>
      <c r="C33" s="74">
        <f>IF(C7=1,C32,EDATE(C32,-1))</f>
        <v>46296.0</v>
      </c>
    </row>
    <row r="34">
      <c r="B34" s="7" t="inlineStr">
        <is>
          <t>Días entre firma e inicio del plazo</t>
        </is>
      </c>
      <c r="C34" s="68">
        <f>MAX(0,C33-C31)</f>
        <v>1</v>
      </c>
    </row>
    <row r="35">
      <c r="B35" s="7" t="inlineStr">
        <is>
          <t>Renta proporcional (R/30 × días)</t>
        </is>
      </c>
      <c r="C35" s="21">
        <f>C24/30*C34</f>
        <v>817.550221530328</v>
      </c>
    </row>
    <row r="36">
      <c r="B36" s="7" t="inlineStr">
        <is>
          <t>Comisión banco / alianza</t>
        </is>
      </c>
      <c r="C36" s="21">
        <f>inp_ComBanco</f>
        <v>0</v>
      </c>
    </row>
    <row r="37">
      <c r="B37" s="7" t="inlineStr">
        <is>
          <t>Factor de fondeo por días  (1+fa/base)^(−días)</t>
        </is>
      </c>
      <c r="C37" s="72">
        <f>(1+C12/par_BaseDias)^(-C34)</f>
        <v>0.999430879637984</v>
      </c>
    </row>
    <row r="38">
      <c r="B38" s="7" t="inlineStr">
        <is>
          <t>Número de pagos en la tabla</t>
        </is>
      </c>
      <c r="C38" s="68">
        <f>C5+IF(C6&gt;0,C6,IF(C23&gt;0,1,0))</f>
        <v>37</v>
      </c>
    </row>
    <row r="39">
      <c r="B39" s="7" t="inlineStr">
        <is>
          <t>Desembolso del arrendador en la firma</t>
        </is>
      </c>
      <c r="C39" s="21">
        <f>-(C15+C17+C18)</f>
        <v>-758450</v>
      </c>
    </row>
    <row r="40">
      <c r="B40" s="7" t="inlineStr">
        <is>
          <t>Cobros en la firma (enganche+comisión+renta prop.+depósito−com. banco)</t>
        </is>
      </c>
      <c r="C40" s="21">
        <f>C16+C28+C35+C30-C36</f>
        <v>73258.3979307857</v>
      </c>
    </row>
    <row r="41">
      <c r="B41" s="7" t="inlineStr">
        <is>
          <t>Flujo neto del arrendador en la firma</t>
        </is>
      </c>
      <c r="C41" s="21">
        <f>C39+C40</f>
        <v>-685191.602069214</v>
      </c>
    </row>
    <row r="44" ht="30" customHeight="1">
      <c r="A44" s="30" t="inlineStr">
        <is>
          <t>#</t>
        </is>
      </c>
      <c r="B44" s="30" t="inlineStr">
        <is>
          <t>Concepto</t>
        </is>
      </c>
      <c r="C44" s="30" t="inlineStr">
        <is>
          <t>t</t>
        </is>
      </c>
      <c r="D44" s="30" t="inlineStr">
        <is>
          <t>Fecha</t>
        </is>
      </c>
      <c r="E44" s="30" t="inlineStr">
        <is>
          <t>Saldo inicial</t>
        </is>
      </c>
      <c r="F44" s="30" t="inlineStr">
        <is>
          <t>Pago s/IVA</t>
        </is>
      </c>
      <c r="G44" s="30" t="inlineStr">
        <is>
          <t>Interés</t>
        </is>
      </c>
      <c r="H44" s="30" t="inlineStr">
        <is>
          <t>Capital</t>
        </is>
      </c>
      <c r="I44" s="30" t="inlineStr">
        <is>
          <t>Saldo final</t>
        </is>
      </c>
      <c r="J44" s="30" t="inlineStr">
        <is>
          <t>IVA</t>
        </is>
      </c>
      <c r="K44" s="30" t="inlineStr">
        <is>
          <t>Total c/IVA</t>
        </is>
      </c>
      <c r="L44" s="30" t="inlineStr">
        <is>
          <t>Flujo arrendador</t>
        </is>
      </c>
      <c r="M44" s="30" t="inlineStr">
        <is>
          <t>Factor desc.</t>
        </is>
      </c>
      <c r="N44" s="30" t="inlineStr">
        <is>
          <t>VP flujo</t>
        </is>
      </c>
      <c r="O44" s="30" t="inlineStr">
        <is>
          <t>Flujo S/R</t>
        </is>
      </c>
      <c r="P44" s="30" t="inlineStr">
        <is>
          <t>Fecha (XIRR)</t>
        </is>
      </c>
      <c r="Q44" s="30" t="inlineStr">
        <is>
          <t>Flujo XIRR</t>
        </is>
      </c>
      <c r="R44" s="30" t="inlineStr">
        <is>
          <t>Flujo cliente (CAT)</t>
        </is>
      </c>
      <c r="S44" s="30" t="inlineStr">
        <is>
          <t>VP flujo S/R</t>
        </is>
      </c>
    </row>
    <row r="45">
      <c r="A45" s="75" t="n">
        <v>0</v>
      </c>
      <c r="B45" s="75" t="inlineStr">
        <is>
          <t>Firma / desembolso</t>
        </is>
      </c>
      <c r="C45" s="75" t="n">
        <v>0</v>
      </c>
      <c r="D45" s="75">
        <f>C31</f>
        <v>46295.0</v>
      </c>
      <c r="E45" s="76" t="n"/>
      <c r="F45" s="76" t="n"/>
      <c r="G45" s="76" t="n"/>
      <c r="H45" s="76" t="n"/>
      <c r="I45" s="76" t="n"/>
      <c r="J45" s="76" t="n"/>
      <c r="K45" s="76" t="n"/>
      <c r="L45" s="75">
        <f>C41</f>
        <v>-685191.602069214</v>
      </c>
      <c r="M45" s="76" t="n"/>
      <c r="N45" s="76" t="n"/>
      <c r="O45" s="76" t="n"/>
      <c r="P45" s="75">
        <f>C31</f>
        <v>46295.0</v>
      </c>
      <c r="Q45" s="75">
        <f>C41</f>
        <v>-685191.602069214</v>
      </c>
      <c r="R45" s="75">
        <f>C19-C28-C35</f>
        <v>713642.34977847</v>
      </c>
      <c r="S45" s="76" t="n"/>
    </row>
    <row r="46">
      <c r="A46" s="7" t="n">
        <v>1</v>
      </c>
      <c r="B46" s="7" t="str">
        <f>IF(A46&gt;$C$38,"",IF(A46&lt;=$C$5,"Básico",IF($C$6&gt;0,"Sucesivo","Opción de compra")))</f>
        <v>Básico</v>
      </c>
      <c r="C46" s="7">
        <f>IF(B46="","",IF(B46="Opción de compra",$C$5,A46-$C$7))</f>
        <v>0</v>
      </c>
      <c r="D46" s="77">
        <f>IF(B46="","",EDATE($C$33,C46))</f>
        <v>46296.0</v>
      </c>
      <c r="E46" s="59">
        <f>IF(B46="","",$C$19)</f>
        <v>720527.5</v>
      </c>
      <c r="F46" s="59">
        <f>IF(B46="","",IF(B46="Básico",$C$24,IF(B46="Sucesivo",$C$25,$C$26)))</f>
        <v>24526.5066459098</v>
      </c>
      <c r="G46" s="59">
        <f>IF(B46="","",IF(B46="Opción de compra",0,(E46-$C$7*F46)*IF(B46="Sucesivo",$C$11,$C$9)))</f>
        <v>9860.01407251628</v>
      </c>
      <c r="H46" s="59">
        <f>IF(B46="","",F46-G46)</f>
        <v>14666.4925733936</v>
      </c>
      <c r="I46" s="59">
        <f>IF(B46="","",E46-H46)</f>
        <v>705861.007426607</v>
      </c>
      <c r="J46" s="59">
        <f>IF(B46="","",IF(OR(inp_Tipo="Arrendamiento Puro",par_BaseIVAFin="Sobre renta",B46="Opción de compra"),F46,G46)*$C$14)</f>
        <v>3924.24106334557</v>
      </c>
      <c r="K46" s="59">
        <f>IF(B46="","",F46+J46)</f>
        <v>28450.7477092554</v>
      </c>
      <c r="L46" s="59">
        <f>IF(B46="","",F46-IF(A46=$C$38,$C$30,0))</f>
        <v>24526.5066459098</v>
      </c>
      <c r="M46" s="78">
        <f>IF(B46="","",$C$37*(1+$C$13)^(-C46))</f>
        <v>0.999430879637984</v>
      </c>
      <c r="N46" s="59">
        <f>IF(B46="","",L46*M46)</f>
        <v>24512.5481115685</v>
      </c>
      <c r="O46" s="59">
        <f>IF(B46="","",IF(B46="Básico",F46,0)-IF(A46=$C$38,$C$30,0))</f>
        <v>24526.5066459098</v>
      </c>
      <c r="P46" s="77">
        <f>IF(B46="",$C$31,D46)</f>
        <v>46296.0</v>
      </c>
      <c r="Q46" s="59">
        <f>IF(B46="",0,L46)</f>
        <v>24526.5066459098</v>
      </c>
      <c r="R46" s="59">
        <f>IF(B46="",0,-F46)</f>
        <v>-24526.5066459098</v>
      </c>
      <c r="S46" s="59">
        <f>IF(B46="","",O46*M46)</f>
        <v>24512.5481115685</v>
      </c>
    </row>
    <row r="47">
      <c r="A47" s="7" t="n">
        <v>2</v>
      </c>
      <c r="B47" s="7" t="str">
        <f>IF(A47&gt;$C$38,"",IF(A47&lt;=$C$5,"Básico",IF($C$6&gt;0,"Sucesivo","Opción de compra")))</f>
        <v>Básico</v>
      </c>
      <c r="C47" s="7">
        <f>IF(B47="","",IF(B47="Opción de compra",$C$5,A47-$C$7))</f>
        <v>1</v>
      </c>
      <c r="D47" s="77">
        <f>IF(B47="","",EDATE($C$33,C47))</f>
        <v>46327.0</v>
      </c>
      <c r="E47" s="59">
        <f>IF(B47="","",I46)</f>
        <v>705861.007426607</v>
      </c>
      <c r="F47" s="59">
        <f>IF(B47="","",IF(B47="Básico",$C$24,IF(B47="Sucesivo",$C$25,$C$26)))</f>
        <v>24526.5066459098</v>
      </c>
      <c r="G47" s="59">
        <f>IF(B47="","",IF(B47="Opción de compra",0,(E47-$C$7*F47)*IF(B47="Sucesivo",$C$11,$C$9)))</f>
        <v>9652.23876105987</v>
      </c>
      <c r="H47" s="59">
        <f>IF(B47="","",F47-G47)</f>
        <v>14874.26788485</v>
      </c>
      <c r="I47" s="59">
        <f>IF(B47="","",E47-H47)</f>
        <v>690986.739541757</v>
      </c>
      <c r="J47" s="59">
        <f>IF(B47="","",IF(OR(inp_Tipo="Arrendamiento Puro",par_BaseIVAFin="Sobre renta",B47="Opción de compra"),F47,G47)*$C$14)</f>
        <v>3924.24106334557</v>
      </c>
      <c r="K47" s="59">
        <f>IF(B47="","",F47+J47)</f>
        <v>28450.7477092554</v>
      </c>
      <c r="L47" s="59">
        <f>IF(B47="","",F47-IF(A47=$C$38,$C$30,0))</f>
        <v>24526.5066459098</v>
      </c>
      <c r="M47" s="78">
        <f>IF(B47="","",$C$37*(1+$C$13)^(-C47))</f>
        <v>0.982644043888227</v>
      </c>
      <c r="N47" s="59">
        <f>IF(B47="","",L47*M47)</f>
        <v>24100.8256729883</v>
      </c>
      <c r="O47" s="59">
        <f>IF(B47="","",IF(B47="Básico",F47,0)-IF(A47=$C$38,$C$30,0))</f>
        <v>24526.5066459098</v>
      </c>
      <c r="P47" s="77">
        <f>IF(B47="",$C$31,D47)</f>
        <v>46327.0</v>
      </c>
      <c r="Q47" s="59">
        <f>IF(B47="",0,L47)</f>
        <v>24526.5066459098</v>
      </c>
      <c r="R47" s="59">
        <f>IF(B47="",0,-F47)</f>
        <v>-24526.5066459098</v>
      </c>
      <c r="S47" s="59">
        <f>IF(B47="","",O47*M47)</f>
        <v>24100.8256729883</v>
      </c>
    </row>
    <row r="48">
      <c r="A48" s="7" t="n">
        <v>3</v>
      </c>
      <c r="B48" s="7" t="str">
        <f>IF(A48&gt;$C$38,"",IF(A48&lt;=$C$5,"Básico",IF($C$6&gt;0,"Sucesivo","Opción de compra")))</f>
        <v>Básico</v>
      </c>
      <c r="C48" s="7">
        <f>IF(B48="","",IF(B48="Opción de compra",$C$5,A48-$C$7))</f>
        <v>2</v>
      </c>
      <c r="D48" s="77">
        <f>IF(B48="","",EDATE($C$33,C48))</f>
        <v>46357.0</v>
      </c>
      <c r="E48" s="59">
        <f>IF(B48="","",I47)</f>
        <v>690986.739541757</v>
      </c>
      <c r="F48" s="59">
        <f>IF(B48="","",IF(B48="Básico",$C$24,IF(B48="Sucesivo",$C$25,$C$26)))</f>
        <v>24526.5066459098</v>
      </c>
      <c r="G48" s="59">
        <f>IF(B48="","",IF(B48="Opción de compra",0,(E48-$C$7*F48)*IF(B48="Sucesivo",$C$11,$C$9)))</f>
        <v>9441.5199660245</v>
      </c>
      <c r="H48" s="59">
        <f>IF(B48="","",F48-G48)</f>
        <v>15084.9866798853</v>
      </c>
      <c r="I48" s="59">
        <f>IF(B48="","",E48-H48)</f>
        <v>675901.752861871</v>
      </c>
      <c r="J48" s="59">
        <f>IF(B48="","",IF(OR(inp_Tipo="Arrendamiento Puro",par_BaseIVAFin="Sobre renta",B48="Opción de compra"),F48,G48)*$C$14)</f>
        <v>3924.24106334557</v>
      </c>
      <c r="K48" s="59">
        <f>IF(B48="","",F48+J48)</f>
        <v>28450.7477092554</v>
      </c>
      <c r="L48" s="59">
        <f>IF(B48="","",F48-IF(A48=$C$38,$C$30,0))</f>
        <v>24526.5066459098</v>
      </c>
      <c r="M48" s="78">
        <f>IF(B48="","",$C$37*(1+$C$13)^(-C48))</f>
        <v>0.966139166461182</v>
      </c>
      <c r="N48" s="59">
        <f>IF(B48="","",L48*M48)</f>
        <v>23696.018687084</v>
      </c>
      <c r="O48" s="59">
        <f>IF(B48="","",IF(B48="Básico",F48,0)-IF(A48=$C$38,$C$30,0))</f>
        <v>24526.5066459098</v>
      </c>
      <c r="P48" s="77">
        <f>IF(B48="",$C$31,D48)</f>
        <v>46357.0</v>
      </c>
      <c r="Q48" s="59">
        <f>IF(B48="",0,L48)</f>
        <v>24526.5066459098</v>
      </c>
      <c r="R48" s="59">
        <f>IF(B48="",0,-F48)</f>
        <v>-24526.5066459098</v>
      </c>
      <c r="S48" s="59">
        <f>IF(B48="","",O48*M48)</f>
        <v>23696.018687084</v>
      </c>
    </row>
    <row r="49">
      <c r="A49" s="7" t="n">
        <v>4</v>
      </c>
      <c r="B49" s="7" t="str">
        <f>IF(A49&gt;$C$38,"",IF(A49&lt;=$C$5,"Básico",IF($C$6&gt;0,"Sucesivo","Opción de compra")))</f>
        <v>Básico</v>
      </c>
      <c r="C49" s="7">
        <f>IF(B49="","",IF(B49="Opción de compra",$C$5,A49-$C$7))</f>
        <v>3</v>
      </c>
      <c r="D49" s="77">
        <f>IF(B49="","",EDATE($C$33,C49))</f>
        <v>46388.0</v>
      </c>
      <c r="E49" s="59">
        <f>IF(B49="","",I48)</f>
        <v>675901.752861871</v>
      </c>
      <c r="F49" s="59">
        <f>IF(B49="","",IF(B49="Básico",$C$24,IF(B49="Sucesivo",$C$25,$C$26)))</f>
        <v>24526.5066459098</v>
      </c>
      <c r="G49" s="59">
        <f>IF(B49="","",IF(B49="Opción de compra",0,(E49-$C$7*F49)*IF(B49="Sucesivo",$C$11,$C$9)))</f>
        <v>9227.81598805945</v>
      </c>
      <c r="H49" s="59">
        <f>IF(B49="","",F49-G49)</f>
        <v>15298.6906578504</v>
      </c>
      <c r="I49" s="59">
        <f>IF(B49="","",E49-H49)</f>
        <v>660603.062204021</v>
      </c>
      <c r="J49" s="59">
        <f>IF(B49="","",IF(OR(inp_Tipo="Arrendamiento Puro",par_BaseIVAFin="Sobre renta",B49="Opción de compra"),F49,G49)*$C$14)</f>
        <v>3924.24106334557</v>
      </c>
      <c r="K49" s="59">
        <f>IF(B49="","",F49+J49)</f>
        <v>28450.7477092554</v>
      </c>
      <c r="L49" s="59">
        <f>IF(B49="","",F49-IF(A49=$C$38,$C$30,0))</f>
        <v>24526.5066459098</v>
      </c>
      <c r="M49" s="78">
        <f>IF(B49="","",$C$37*(1+$C$13)^(-C49))</f>
        <v>0.949911511473509</v>
      </c>
      <c r="N49" s="59">
        <f>IF(B49="","",L49*M49)</f>
        <v>23298.0109991813</v>
      </c>
      <c r="O49" s="59">
        <f>IF(B49="","",IF(B49="Básico",F49,0)-IF(A49=$C$38,$C$30,0))</f>
        <v>24526.5066459098</v>
      </c>
      <c r="P49" s="77">
        <f>IF(B49="",$C$31,D49)</f>
        <v>46388.0</v>
      </c>
      <c r="Q49" s="59">
        <f>IF(B49="",0,L49)</f>
        <v>24526.5066459098</v>
      </c>
      <c r="R49" s="59">
        <f>IF(B49="",0,-F49)</f>
        <v>-24526.5066459098</v>
      </c>
      <c r="S49" s="59">
        <f>IF(B49="","",O49*M49)</f>
        <v>23298.0109991813</v>
      </c>
    </row>
    <row r="50">
      <c r="A50" s="7" t="n">
        <v>5</v>
      </c>
      <c r="B50" s="7" t="str">
        <f>IF(A50&gt;$C$38,"",IF(A50&lt;=$C$5,"Básico",IF($C$6&gt;0,"Sucesivo","Opción de compra")))</f>
        <v>Básico</v>
      </c>
      <c r="C50" s="7">
        <f>IF(B50="","",IF(B50="Opción de compra",$C$5,A50-$C$7))</f>
        <v>4</v>
      </c>
      <c r="D50" s="77">
        <f>IF(B50="","",EDATE($C$33,C50))</f>
        <v>46419.0</v>
      </c>
      <c r="E50" s="59">
        <f>IF(B50="","",I49)</f>
        <v>660603.062204021</v>
      </c>
      <c r="F50" s="59">
        <f>IF(B50="","",IF(B50="Básico",$C$24,IF(B50="Sucesivo",$C$25,$C$26)))</f>
        <v>24526.5066459098</v>
      </c>
      <c r="G50" s="59">
        <f>IF(B50="","",IF(B50="Opción de compra",0,(E50-$C$7*F50)*IF(B50="Sucesivo",$C$11,$C$9)))</f>
        <v>9011.08453707324</v>
      </c>
      <c r="H50" s="59">
        <f>IF(B50="","",F50-G50)</f>
        <v>15515.4221088366</v>
      </c>
      <c r="I50" s="59">
        <f>IF(B50="","",E50-H50)</f>
        <v>645087.640095184</v>
      </c>
      <c r="J50" s="59">
        <f>IF(B50="","",IF(OR(inp_Tipo="Arrendamiento Puro",par_BaseIVAFin="Sobre renta",B50="Opción de compra"),F50,G50)*$C$14)</f>
        <v>3924.24106334557</v>
      </c>
      <c r="K50" s="59">
        <f>IF(B50="","",F50+J50)</f>
        <v>28450.7477092554</v>
      </c>
      <c r="L50" s="59">
        <f>IF(B50="","",F50-IF(A50=$C$38,$C$30,0))</f>
        <v>24526.5066459098</v>
      </c>
      <c r="M50" s="78">
        <f>IF(B50="","",$C$37*(1+$C$13)^(-C50))</f>
        <v>0.933956422587637</v>
      </c>
      <c r="N50" s="59">
        <f>IF(B50="","",L50*M50)</f>
        <v>22906.6884055859</v>
      </c>
      <c r="O50" s="59">
        <f>IF(B50="","",IF(B50="Básico",F50,0)-IF(A50=$C$38,$C$30,0))</f>
        <v>24526.5066459098</v>
      </c>
      <c r="P50" s="77">
        <f>IF(B50="",$C$31,D50)</f>
        <v>46419.0</v>
      </c>
      <c r="Q50" s="59">
        <f>IF(B50="",0,L50)</f>
        <v>24526.5066459098</v>
      </c>
      <c r="R50" s="59">
        <f>IF(B50="",0,-F50)</f>
        <v>-24526.5066459098</v>
      </c>
      <c r="S50" s="59">
        <f>IF(B50="","",O50*M50)</f>
        <v>22906.6884055859</v>
      </c>
    </row>
    <row r="51">
      <c r="A51" s="7" t="n">
        <v>6</v>
      </c>
      <c r="B51" s="7" t="str">
        <f>IF(A51&gt;$C$38,"",IF(A51&lt;=$C$5,"Básico",IF($C$6&gt;0,"Sucesivo","Opción de compra")))</f>
        <v>Básico</v>
      </c>
      <c r="C51" s="7">
        <f>IF(B51="","",IF(B51="Opción de compra",$C$5,A51-$C$7))</f>
        <v>5</v>
      </c>
      <c r="D51" s="77">
        <f>IF(B51="","",EDATE($C$33,C51))</f>
        <v>46447.0</v>
      </c>
      <c r="E51" s="59">
        <f>IF(B51="","",I50)</f>
        <v>645087.640095184</v>
      </c>
      <c r="F51" s="59">
        <f>IF(B51="","",IF(B51="Básico",$C$24,IF(B51="Sucesivo",$C$25,$C$26)))</f>
        <v>24526.5066459098</v>
      </c>
      <c r="G51" s="59">
        <f>IF(B51="","",IF(B51="Opción de compra",0,(E51-$C$7*F51)*IF(B51="Sucesivo",$C$11,$C$9)))</f>
        <v>8791.28272386472</v>
      </c>
      <c r="H51" s="59">
        <f>IF(B51="","",F51-G51)</f>
        <v>15735.2239220451</v>
      </c>
      <c r="I51" s="59">
        <f>IF(B51="","",E51-H51)</f>
        <v>629352.416173139</v>
      </c>
      <c r="J51" s="59">
        <f>IF(B51="","",IF(OR(inp_Tipo="Arrendamiento Puro",par_BaseIVAFin="Sobre renta",B51="Opción de compra"),F51,G51)*$C$14)</f>
        <v>3924.24106334557</v>
      </c>
      <c r="K51" s="59">
        <f>IF(B51="","",F51+J51)</f>
        <v>28450.7477092554</v>
      </c>
      <c r="L51" s="59">
        <f>IF(B51="","",F51-IF(A51=$C$38,$C$30,0))</f>
        <v>24526.5066459098</v>
      </c>
      <c r="M51" s="78">
        <f>IF(B51="","",$C$37*(1+$C$13)^(-C51))</f>
        <v>0.918269321675677</v>
      </c>
      <c r="N51" s="59">
        <f>IF(B51="","",L51*M51)</f>
        <v>22521.9386208136</v>
      </c>
      <c r="O51" s="59">
        <f>IF(B51="","",IF(B51="Básico",F51,0)-IF(A51=$C$38,$C$30,0))</f>
        <v>24526.5066459098</v>
      </c>
      <c r="P51" s="77">
        <f>IF(B51="",$C$31,D51)</f>
        <v>46447.0</v>
      </c>
      <c r="Q51" s="59">
        <f>IF(B51="",0,L51)</f>
        <v>24526.5066459098</v>
      </c>
      <c r="R51" s="59">
        <f>IF(B51="",0,-F51)</f>
        <v>-24526.5066459098</v>
      </c>
      <c r="S51" s="59">
        <f>IF(B51="","",O51*M51)</f>
        <v>22521.9386208136</v>
      </c>
    </row>
    <row r="52">
      <c r="A52" s="7" t="n">
        <v>7</v>
      </c>
      <c r="B52" s="7" t="str">
        <f>IF(A52&gt;$C$38,"",IF(A52&lt;=$C$5,"Básico",IF($C$6&gt;0,"Sucesivo","Opción de compra")))</f>
        <v>Básico</v>
      </c>
      <c r="C52" s="7">
        <f>IF(B52="","",IF(B52="Opción de compra",$C$5,A52-$C$7))</f>
        <v>6</v>
      </c>
      <c r="D52" s="77">
        <f>IF(B52="","",EDATE($C$33,C52))</f>
        <v>46478.0</v>
      </c>
      <c r="E52" s="59">
        <f>IF(B52="","",I51)</f>
        <v>629352.416173139</v>
      </c>
      <c r="F52" s="59">
        <f>IF(B52="","",IF(B52="Básico",$C$24,IF(B52="Sucesivo",$C$25,$C$26)))</f>
        <v>24526.5066459098</v>
      </c>
      <c r="G52" s="59">
        <f>IF(B52="","",IF(B52="Opción de compra",0,(E52-$C$7*F52)*IF(B52="Sucesivo",$C$11,$C$9)))</f>
        <v>8568.36705163575</v>
      </c>
      <c r="H52" s="59">
        <f>IF(B52="","",F52-G52)</f>
        <v>15958.1395942741</v>
      </c>
      <c r="I52" s="59">
        <f>IF(B52="","",E52-H52)</f>
        <v>613394.276578865</v>
      </c>
      <c r="J52" s="59">
        <f>IF(B52="","",IF(OR(inp_Tipo="Arrendamiento Puro",par_BaseIVAFin="Sobre renta",B52="Opción de compra"),F52,G52)*$C$14)</f>
        <v>3924.24106334557</v>
      </c>
      <c r="K52" s="59">
        <f>IF(B52="","",F52+J52)</f>
        <v>28450.7477092554</v>
      </c>
      <c r="L52" s="59">
        <f>IF(B52="","",F52-IF(A52=$C$38,$C$30,0))</f>
        <v>24526.5066459098</v>
      </c>
      <c r="M52" s="78">
        <f>IF(B52="","",$C$37*(1+$C$13)^(-C52))</f>
        <v>0.902845707505787</v>
      </c>
      <c r="N52" s="59">
        <f>IF(B52="","",L52*M52)</f>
        <v>22143.6512453718</v>
      </c>
      <c r="O52" s="59">
        <f>IF(B52="","",IF(B52="Básico",F52,0)-IF(A52=$C$38,$C$30,0))</f>
        <v>24526.5066459098</v>
      </c>
      <c r="P52" s="77">
        <f>IF(B52="",$C$31,D52)</f>
        <v>46478.0</v>
      </c>
      <c r="Q52" s="59">
        <f>IF(B52="",0,L52)</f>
        <v>24526.5066459098</v>
      </c>
      <c r="R52" s="59">
        <f>IF(B52="",0,-F52)</f>
        <v>-24526.5066459098</v>
      </c>
      <c r="S52" s="59">
        <f>IF(B52="","",O52*M52)</f>
        <v>22143.6512453718</v>
      </c>
    </row>
    <row r="53">
      <c r="A53" s="7" t="n">
        <v>8</v>
      </c>
      <c r="B53" s="7" t="str">
        <f>IF(A53&gt;$C$38,"",IF(A53&lt;=$C$5,"Básico",IF($C$6&gt;0,"Sucesivo","Opción de compra")))</f>
        <v>Básico</v>
      </c>
      <c r="C53" s="7">
        <f>IF(B53="","",IF(B53="Opción de compra",$C$5,A53-$C$7))</f>
        <v>7</v>
      </c>
      <c r="D53" s="77">
        <f>IF(B53="","",EDATE($C$33,C53))</f>
        <v>46508.0</v>
      </c>
      <c r="E53" s="59">
        <f>IF(B53="","",I52)</f>
        <v>613394.276578865</v>
      </c>
      <c r="F53" s="59">
        <f>IF(B53="","",IF(B53="Básico",$C$24,IF(B53="Sucesivo",$C$25,$C$26)))</f>
        <v>24526.5066459098</v>
      </c>
      <c r="G53" s="59">
        <f>IF(B53="","",IF(B53="Opción de compra",0,(E53-$C$7*F53)*IF(B53="Sucesivo",$C$11,$C$9)))</f>
        <v>8342.29340738353</v>
      </c>
      <c r="H53" s="59">
        <f>IF(B53="","",F53-G53)</f>
        <v>16184.2132385263</v>
      </c>
      <c r="I53" s="59">
        <f>IF(B53="","",E53-H53)</f>
        <v>597210.063340339</v>
      </c>
      <c r="J53" s="59">
        <f>IF(B53="","",IF(OR(inp_Tipo="Arrendamiento Puro",par_BaseIVAFin="Sobre renta",B53="Opción de compra"),F53,G53)*$C$14)</f>
        <v>3924.24106334557</v>
      </c>
      <c r="K53" s="59">
        <f>IF(B53="","",F53+J53)</f>
        <v>28450.7477092554</v>
      </c>
      <c r="L53" s="59">
        <f>IF(B53="","",F53-IF(A53=$C$38,$C$30,0))</f>
        <v>24526.5066459098</v>
      </c>
      <c r="M53" s="78">
        <f>IF(B53="","",$C$37*(1+$C$13)^(-C53))</f>
        <v>0.887681154450589</v>
      </c>
      <c r="N53" s="59">
        <f>IF(B53="","",L53*M53)</f>
        <v>21771.7177340813</v>
      </c>
      <c r="O53" s="59">
        <f>IF(B53="","",IF(B53="Básico",F53,0)-IF(A53=$C$38,$C$30,0))</f>
        <v>24526.5066459098</v>
      </c>
      <c r="P53" s="77">
        <f>IF(B53="",$C$31,D53)</f>
        <v>46508.0</v>
      </c>
      <c r="Q53" s="59">
        <f>IF(B53="",0,L53)</f>
        <v>24526.5066459098</v>
      </c>
      <c r="R53" s="59">
        <f>IF(B53="",0,-F53)</f>
        <v>-24526.5066459098</v>
      </c>
      <c r="S53" s="59">
        <f>IF(B53="","",O53*M53)</f>
        <v>21771.7177340813</v>
      </c>
    </row>
    <row r="54">
      <c r="A54" s="7" t="n">
        <v>9</v>
      </c>
      <c r="B54" s="7" t="str">
        <f>IF(A54&gt;$C$38,"",IF(A54&lt;=$C$5,"Básico",IF($C$6&gt;0,"Sucesivo","Opción de compra")))</f>
        <v>Básico</v>
      </c>
      <c r="C54" s="7">
        <f>IF(B54="","",IF(B54="Opción de compra",$C$5,A54-$C$7))</f>
        <v>8</v>
      </c>
      <c r="D54" s="77">
        <f>IF(B54="","",EDATE($C$33,C54))</f>
        <v>46539.0</v>
      </c>
      <c r="E54" s="59">
        <f>IF(B54="","",I53)</f>
        <v>597210.063340339</v>
      </c>
      <c r="F54" s="59">
        <f>IF(B54="","",IF(B54="Básico",$C$24,IF(B54="Sucesivo",$C$25,$C$26)))</f>
        <v>24526.5066459098</v>
      </c>
      <c r="G54" s="59">
        <f>IF(B54="","",IF(B54="Opción de compra",0,(E54-$C$7*F54)*IF(B54="Sucesivo",$C$11,$C$9)))</f>
        <v>8113.01705317108</v>
      </c>
      <c r="H54" s="59">
        <f>IF(B54="","",F54-G54)</f>
        <v>16413.4895927388</v>
      </c>
      <c r="I54" s="59">
        <f>IF(B54="","",E54-H54)</f>
        <v>580796.5737476</v>
      </c>
      <c r="J54" s="59">
        <f>IF(B54="","",IF(OR(inp_Tipo="Arrendamiento Puro",par_BaseIVAFin="Sobre renta",B54="Opción de compra"),F54,G54)*$C$14)</f>
        <v>3924.24106334557</v>
      </c>
      <c r="K54" s="59">
        <f>IF(B54="","",F54+J54)</f>
        <v>28450.7477092554</v>
      </c>
      <c r="L54" s="59">
        <f>IF(B54="","",F54-IF(A54=$C$38,$C$30,0))</f>
        <v>24526.5066459098</v>
      </c>
      <c r="M54" s="78">
        <f>IF(B54="","",$C$37*(1+$C$13)^(-C54))</f>
        <v>0.872771311217294</v>
      </c>
      <c r="N54" s="59">
        <f>IF(B54="","",L54*M54)</f>
        <v>21406.0313649304</v>
      </c>
      <c r="O54" s="59">
        <f>IF(B54="","",IF(B54="Básico",F54,0)-IF(A54=$C$38,$C$30,0))</f>
        <v>24526.5066459098</v>
      </c>
      <c r="P54" s="77">
        <f>IF(B54="",$C$31,D54)</f>
        <v>46539.0</v>
      </c>
      <c r="Q54" s="59">
        <f>IF(B54="",0,L54)</f>
        <v>24526.5066459098</v>
      </c>
      <c r="R54" s="59">
        <f>IF(B54="",0,-F54)</f>
        <v>-24526.5066459098</v>
      </c>
      <c r="S54" s="59">
        <f>IF(B54="","",O54*M54)</f>
        <v>21406.0313649304</v>
      </c>
    </row>
    <row r="55">
      <c r="A55" s="7" t="n">
        <v>10</v>
      </c>
      <c r="B55" s="7" t="str">
        <f>IF(A55&gt;$C$38,"",IF(A55&lt;=$C$5,"Básico",IF($C$6&gt;0,"Sucesivo","Opción de compra")))</f>
        <v>Básico</v>
      </c>
      <c r="C55" s="7">
        <f>IF(B55="","",IF(B55="Opción de compra",$C$5,A55-$C$7))</f>
        <v>9</v>
      </c>
      <c r="D55" s="77">
        <f>IF(B55="","",EDATE($C$33,C55))</f>
        <v>46569.0</v>
      </c>
      <c r="E55" s="59">
        <f>IF(B55="","",I54)</f>
        <v>580796.5737476</v>
      </c>
      <c r="F55" s="59">
        <f>IF(B55="","",IF(B55="Básico",$C$24,IF(B55="Sucesivo",$C$25,$C$26)))</f>
        <v>24526.5066459098</v>
      </c>
      <c r="G55" s="59">
        <f>IF(B55="","",IF(B55="Opción de compra",0,(E55-$C$7*F55)*IF(B55="Sucesivo",$C$11,$C$9)))</f>
        <v>7880.49261727395</v>
      </c>
      <c r="H55" s="59">
        <f>IF(B55="","",F55-G55)</f>
        <v>16646.0140286359</v>
      </c>
      <c r="I55" s="59">
        <f>IF(B55="","",E55-H55)</f>
        <v>564150.559718964</v>
      </c>
      <c r="J55" s="59">
        <f>IF(B55="","",IF(OR(inp_Tipo="Arrendamiento Puro",par_BaseIVAFin="Sobre renta",B55="Opción de compra"),F55,G55)*$C$14)</f>
        <v>3924.24106334557</v>
      </c>
      <c r="K55" s="59">
        <f>IF(B55="","",F55+J55)</f>
        <v>28450.7477092554</v>
      </c>
      <c r="L55" s="59">
        <f>IF(B55="","",F55-IF(A55=$C$38,$C$30,0))</f>
        <v>24526.5066459098</v>
      </c>
      <c r="M55" s="78">
        <f>IF(B55="","",$C$37*(1+$C$13)^(-C55))</f>
        <v>0.858111899599142</v>
      </c>
      <c r="N55" s="59">
        <f>IF(B55="","",L55*M55)</f>
        <v>21046.4872084527</v>
      </c>
      <c r="O55" s="59">
        <f>IF(B55="","",IF(B55="Básico",F55,0)-IF(A55=$C$38,$C$30,0))</f>
        <v>24526.5066459098</v>
      </c>
      <c r="P55" s="77">
        <f>IF(B55="",$C$31,D55)</f>
        <v>46569.0</v>
      </c>
      <c r="Q55" s="59">
        <f>IF(B55="",0,L55)</f>
        <v>24526.5066459098</v>
      </c>
      <c r="R55" s="59">
        <f>IF(B55="",0,-F55)</f>
        <v>-24526.5066459098</v>
      </c>
      <c r="S55" s="59">
        <f>IF(B55="","",O55*M55)</f>
        <v>21046.4872084527</v>
      </c>
    </row>
    <row r="56">
      <c r="A56" s="7" t="n">
        <v>11</v>
      </c>
      <c r="B56" s="7" t="str">
        <f>IF(A56&gt;$C$38,"",IF(A56&lt;=$C$5,"Básico",IF($C$6&gt;0,"Sucesivo","Opción de compra")))</f>
        <v>Básico</v>
      </c>
      <c r="C56" s="7">
        <f>IF(B56="","",IF(B56="Opción de compra",$C$5,A56-$C$7))</f>
        <v>10</v>
      </c>
      <c r="D56" s="77">
        <f>IF(B56="","",EDATE($C$33,C56))</f>
        <v>46600.0</v>
      </c>
      <c r="E56" s="59">
        <f>IF(B56="","",I55)</f>
        <v>564150.559718964</v>
      </c>
      <c r="F56" s="59">
        <f>IF(B56="","",IF(B56="Básico",$C$24,IF(B56="Sucesivo",$C$25,$C$26)))</f>
        <v>24526.5066459098</v>
      </c>
      <c r="G56" s="59">
        <f>IF(B56="","",IF(B56="Opción de compra",0,(E56-$C$7*F56)*IF(B56="Sucesivo",$C$11,$C$9)))</f>
        <v>7644.6740852016</v>
      </c>
      <c r="H56" s="59">
        <f>IF(B56="","",F56-G56)</f>
        <v>16881.8325607082</v>
      </c>
      <c r="I56" s="59">
        <f>IF(B56="","",E56-H56)</f>
        <v>547268.727158256</v>
      </c>
      <c r="J56" s="59">
        <f>IF(B56="","",IF(OR(inp_Tipo="Arrendamiento Puro",par_BaseIVAFin="Sobre renta",B56="Opción de compra"),F56,G56)*$C$14)</f>
        <v>3924.24106334557</v>
      </c>
      <c r="K56" s="59">
        <f>IF(B56="","",F56+J56)</f>
        <v>28450.7477092554</v>
      </c>
      <c r="L56" s="59">
        <f>IF(B56="","",F56-IF(A56=$C$38,$C$30,0))</f>
        <v>24526.5066459098</v>
      </c>
      <c r="M56" s="78">
        <f>IF(B56="","",$C$37*(1+$C$13)^(-C56))</f>
        <v>0.843698713247825</v>
      </c>
      <c r="N56" s="59">
        <f>IF(B56="","",L56*M56)</f>
        <v>20692.9820976184</v>
      </c>
      <c r="O56" s="59">
        <f>IF(B56="","",IF(B56="Básico",F56,0)-IF(A56=$C$38,$C$30,0))</f>
        <v>24526.5066459098</v>
      </c>
      <c r="P56" s="77">
        <f>IF(B56="",$C$31,D56)</f>
        <v>46600.0</v>
      </c>
      <c r="Q56" s="59">
        <f>IF(B56="",0,L56)</f>
        <v>24526.5066459098</v>
      </c>
      <c r="R56" s="59">
        <f>IF(B56="",0,-F56)</f>
        <v>-24526.5066459098</v>
      </c>
      <c r="S56" s="59">
        <f>IF(B56="","",O56*M56)</f>
        <v>20692.9820976184</v>
      </c>
    </row>
    <row r="57">
      <c r="A57" s="7" t="n">
        <v>12</v>
      </c>
      <c r="B57" s="7" t="str">
        <f>IF(A57&gt;$C$38,"",IF(A57&lt;=$C$5,"Básico",IF($C$6&gt;0,"Sucesivo","Opción de compra")))</f>
        <v>Básico</v>
      </c>
      <c r="C57" s="7">
        <f>IF(B57="","",IF(B57="Opción de compra",$C$5,A57-$C$7))</f>
        <v>11</v>
      </c>
      <c r="D57" s="77">
        <f>IF(B57="","",EDATE($C$33,C57))</f>
        <v>46631.0</v>
      </c>
      <c r="E57" s="59">
        <f>IF(B57="","",I56)</f>
        <v>547268.727158256</v>
      </c>
      <c r="F57" s="59">
        <f>IF(B57="","",IF(B57="Básico",$C$24,IF(B57="Sucesivo",$C$25,$C$26)))</f>
        <v>24526.5066459098</v>
      </c>
      <c r="G57" s="59">
        <f>IF(B57="","",IF(B57="Opción de compra",0,(E57-$C$7*F57)*IF(B57="Sucesivo",$C$11,$C$9)))</f>
        <v>7405.51479059157</v>
      </c>
      <c r="H57" s="59">
        <f>IF(B57="","",F57-G57)</f>
        <v>17120.9918553183</v>
      </c>
      <c r="I57" s="59">
        <f>IF(B57="","",E57-H57)</f>
        <v>530147.735302938</v>
      </c>
      <c r="J57" s="59">
        <f>IF(B57="","",IF(OR(inp_Tipo="Arrendamiento Puro",par_BaseIVAFin="Sobre renta",B57="Opción de compra"),F57,G57)*$C$14)</f>
        <v>3924.24106334557</v>
      </c>
      <c r="K57" s="59">
        <f>IF(B57="","",F57+J57)</f>
        <v>28450.7477092554</v>
      </c>
      <c r="L57" s="59">
        <f>IF(B57="","",F57-IF(A57=$C$38,$C$30,0))</f>
        <v>24526.5066459098</v>
      </c>
      <c r="M57" s="78">
        <f>IF(B57="","",$C$37*(1+$C$13)^(-C57))</f>
        <v>0.829527616466522</v>
      </c>
      <c r="N57" s="59">
        <f>IF(B57="","",L57*M57)</f>
        <v>20345.4145982319</v>
      </c>
      <c r="O57" s="59">
        <f>IF(B57="","",IF(B57="Básico",F57,0)-IF(A57=$C$38,$C$30,0))</f>
        <v>24526.5066459098</v>
      </c>
      <c r="P57" s="77">
        <f>IF(B57="",$C$31,D57)</f>
        <v>46631.0</v>
      </c>
      <c r="Q57" s="59">
        <f>IF(B57="",0,L57)</f>
        <v>24526.5066459098</v>
      </c>
      <c r="R57" s="59">
        <f>IF(B57="",0,-F57)</f>
        <v>-24526.5066459098</v>
      </c>
      <c r="S57" s="59">
        <f>IF(B57="","",O57*M57)</f>
        <v>20345.4145982319</v>
      </c>
    </row>
    <row r="58">
      <c r="A58" s="7" t="n">
        <v>13</v>
      </c>
      <c r="B58" s="7" t="str">
        <f>IF(A58&gt;$C$38,"",IF(A58&lt;=$C$5,"Básico",IF($C$6&gt;0,"Sucesivo","Opción de compra")))</f>
        <v>Básico</v>
      </c>
      <c r="C58" s="7">
        <f>IF(B58="","",IF(B58="Opción de compra",$C$5,A58-$C$7))</f>
        <v>12</v>
      </c>
      <c r="D58" s="77">
        <f>IF(B58="","",EDATE($C$33,C58))</f>
        <v>46661.0</v>
      </c>
      <c r="E58" s="59">
        <f>IF(B58="","",I57)</f>
        <v>530147.735302938</v>
      </c>
      <c r="F58" s="59">
        <f>IF(B58="","",IF(B58="Básico",$C$24,IF(B58="Sucesivo",$C$25,$C$26)))</f>
        <v>24526.5066459098</v>
      </c>
      <c r="G58" s="59">
        <f>IF(B58="","",IF(B58="Opción de compra",0,(E58-$C$7*F58)*IF(B58="Sucesivo",$C$11,$C$9)))</f>
        <v>7162.96740597456</v>
      </c>
      <c r="H58" s="59">
        <f>IF(B58="","",F58-G58)</f>
        <v>17363.5392399353</v>
      </c>
      <c r="I58" s="59">
        <f>IF(B58="","",E58-H58)</f>
        <v>512784.196063002</v>
      </c>
      <c r="J58" s="59">
        <f>IF(B58="","",IF(OR(inp_Tipo="Arrendamiento Puro",par_BaseIVAFin="Sobre renta",B58="Opción de compra"),F58,G58)*$C$14)</f>
        <v>3924.24106334557</v>
      </c>
      <c r="K58" s="59">
        <f>IF(B58="","",F58+J58)</f>
        <v>28450.7477092554</v>
      </c>
      <c r="L58" s="59">
        <f>IF(B58="","",F58-IF(A58=$C$38,$C$30,0))</f>
        <v>24526.5066459098</v>
      </c>
      <c r="M58" s="78">
        <f>IF(B58="","",$C$37*(1+$C$13)^(-C58))</f>
        <v>0.815594543023209</v>
      </c>
      <c r="N58" s="59">
        <f>IF(B58="","",L58*M58)</f>
        <v>20003.6849798265</v>
      </c>
      <c r="O58" s="59">
        <f>IF(B58="","",IF(B58="Básico",F58,0)-IF(A58=$C$38,$C$30,0))</f>
        <v>24526.5066459098</v>
      </c>
      <c r="P58" s="77">
        <f>IF(B58="",$C$31,D58)</f>
        <v>46661.0</v>
      </c>
      <c r="Q58" s="59">
        <f>IF(B58="",0,L58)</f>
        <v>24526.5066459098</v>
      </c>
      <c r="R58" s="59">
        <f>IF(B58="",0,-F58)</f>
        <v>-24526.5066459098</v>
      </c>
      <c r="S58" s="59">
        <f>IF(B58="","",O58*M58)</f>
        <v>20003.6849798265</v>
      </c>
    </row>
    <row r="59">
      <c r="A59" s="7" t="n">
        <v>14</v>
      </c>
      <c r="B59" s="7" t="str">
        <f>IF(A59&gt;$C$38,"",IF(A59&lt;=$C$5,"Básico",IF($C$6&gt;0,"Sucesivo","Opción de compra")))</f>
        <v>Básico</v>
      </c>
      <c r="C59" s="7">
        <f>IF(B59="","",IF(B59="Opción de compra",$C$5,A59-$C$7))</f>
        <v>13</v>
      </c>
      <c r="D59" s="77">
        <f>IF(B59="","",EDATE($C$33,C59))</f>
        <v>46692.0</v>
      </c>
      <c r="E59" s="59">
        <f>IF(B59="","",I58)</f>
        <v>512784.196063002</v>
      </c>
      <c r="F59" s="59">
        <f>IF(B59="","",IF(B59="Básico",$C$24,IF(B59="Sucesivo",$C$25,$C$26)))</f>
        <v>24526.5066459098</v>
      </c>
      <c r="G59" s="59">
        <f>IF(B59="","",IF(B59="Opción de compra",0,(E59-$C$7*F59)*IF(B59="Sucesivo",$C$11,$C$9)))</f>
        <v>6916.98393340881</v>
      </c>
      <c r="H59" s="59">
        <f>IF(B59="","",F59-G59)</f>
        <v>17609.522712501</v>
      </c>
      <c r="I59" s="59">
        <f>IF(B59="","",E59-H59)</f>
        <v>495174.673350501</v>
      </c>
      <c r="J59" s="59">
        <f>IF(B59="","",IF(OR(inp_Tipo="Arrendamiento Puro",par_BaseIVAFin="Sobre renta",B59="Opción de compra"),F59,G59)*$C$14)</f>
        <v>3924.24106334557</v>
      </c>
      <c r="K59" s="59">
        <f>IF(B59="","",F59+J59)</f>
        <v>28450.7477092554</v>
      </c>
      <c r="L59" s="59">
        <f>IF(B59="","",F59-IF(A59=$C$38,$C$30,0))</f>
        <v>24526.5066459098</v>
      </c>
      <c r="M59" s="78">
        <f>IF(B59="","",$C$37*(1+$C$13)^(-C59))</f>
        <v>0.8018954949839</v>
      </c>
      <c r="N59" s="59">
        <f>IF(B59="","",L59*M59)</f>
        <v>19667.6951870478</v>
      </c>
      <c r="O59" s="59">
        <f>IF(B59="","",IF(B59="Básico",F59,0)-IF(A59=$C$38,$C$30,0))</f>
        <v>24526.5066459098</v>
      </c>
      <c r="P59" s="77">
        <f>IF(B59="",$C$31,D59)</f>
        <v>46692.0</v>
      </c>
      <c r="Q59" s="59">
        <f>IF(B59="",0,L59)</f>
        <v>24526.5066459098</v>
      </c>
      <c r="R59" s="59">
        <f>IF(B59="",0,-F59)</f>
        <v>-24526.5066459098</v>
      </c>
      <c r="S59" s="59">
        <f>IF(B59="","",O59*M59)</f>
        <v>19667.6951870478</v>
      </c>
    </row>
    <row r="60">
      <c r="A60" s="7" t="n">
        <v>15</v>
      </c>
      <c r="B60" s="7" t="str">
        <f>IF(A60&gt;$C$38,"",IF(A60&lt;=$C$5,"Básico",IF($C$6&gt;0,"Sucesivo","Opción de compra")))</f>
        <v>Básico</v>
      </c>
      <c r="C60" s="7">
        <f>IF(B60="","",IF(B60="Opción de compra",$C$5,A60-$C$7))</f>
        <v>14</v>
      </c>
      <c r="D60" s="77">
        <f>IF(B60="","",EDATE($C$33,C60))</f>
        <v>46722.0</v>
      </c>
      <c r="E60" s="59">
        <f>IF(B60="","",I59)</f>
        <v>495174.673350501</v>
      </c>
      <c r="F60" s="59">
        <f>IF(B60="","",IF(B60="Básico",$C$24,IF(B60="Sucesivo",$C$25,$C$26)))</f>
        <v>24526.5066459098</v>
      </c>
      <c r="G60" s="59">
        <f>IF(B60="","",IF(B60="Opción de compra",0,(E60-$C$7*F60)*IF(B60="Sucesivo",$C$11,$C$9)))</f>
        <v>6667.51569498171</v>
      </c>
      <c r="H60" s="59">
        <f>IF(B60="","",F60-G60)</f>
        <v>17858.9909509281</v>
      </c>
      <c r="I60" s="59">
        <f>IF(B60="","",E60-H60)</f>
        <v>477315.682399573</v>
      </c>
      <c r="J60" s="59">
        <f>IF(B60="","",IF(OR(inp_Tipo="Arrendamiento Puro",par_BaseIVAFin="Sobre renta",B60="Opción de compra"),F60,G60)*$C$14)</f>
        <v>3924.24106334557</v>
      </c>
      <c r="K60" s="59">
        <f>IF(B60="","",F60+J60)</f>
        <v>28450.7477092554</v>
      </c>
      <c r="L60" s="59">
        <f>IF(B60="","",F60-IF(A60=$C$38,$C$30,0))</f>
        <v>24526.5066459098</v>
      </c>
      <c r="M60" s="78">
        <f>IF(B60="","",$C$37*(1+$C$13)^(-C60))</f>
        <v>0.78842654156549</v>
      </c>
      <c r="N60" s="59">
        <f>IF(B60="","",L60*M60)</f>
        <v>19337.3488115177</v>
      </c>
      <c r="O60" s="59">
        <f>IF(B60="","",IF(B60="Básico",F60,0)-IF(A60=$C$38,$C$30,0))</f>
        <v>24526.5066459098</v>
      </c>
      <c r="P60" s="77">
        <f>IF(B60="",$C$31,D60)</f>
        <v>46722.0</v>
      </c>
      <c r="Q60" s="59">
        <f>IF(B60="",0,L60)</f>
        <v>24526.5066459098</v>
      </c>
      <c r="R60" s="59">
        <f>IF(B60="",0,-F60)</f>
        <v>-24526.5066459098</v>
      </c>
      <c r="S60" s="59">
        <f>IF(B60="","",O60*M60)</f>
        <v>19337.3488115177</v>
      </c>
    </row>
    <row r="61">
      <c r="A61" s="7" t="n">
        <v>16</v>
      </c>
      <c r="B61" s="7" t="str">
        <f>IF(A61&gt;$C$38,"",IF(A61&lt;=$C$5,"Básico",IF($C$6&gt;0,"Sucesivo","Opción de compra")))</f>
        <v>Básico</v>
      </c>
      <c r="C61" s="7">
        <f>IF(B61="","",IF(B61="Opción de compra",$C$5,A61-$C$7))</f>
        <v>15</v>
      </c>
      <c r="D61" s="77">
        <f>IF(B61="","",EDATE($C$33,C61))</f>
        <v>46753.0</v>
      </c>
      <c r="E61" s="59">
        <f>IF(B61="","",I60)</f>
        <v>477315.682399573</v>
      </c>
      <c r="F61" s="59">
        <f>IF(B61="","",IF(B61="Básico",$C$24,IF(B61="Sucesivo",$C$25,$C$26)))</f>
        <v>24526.5066459098</v>
      </c>
      <c r="G61" s="59">
        <f>IF(B61="","",IF(B61="Opción de compra",0,(E61-$C$7*F61)*IF(B61="Sucesivo",$C$11,$C$9)))</f>
        <v>6414.5133231769</v>
      </c>
      <c r="H61" s="59">
        <f>IF(B61="","",F61-G61)</f>
        <v>18111.9933227329</v>
      </c>
      <c r="I61" s="59">
        <f>IF(B61="","",E61-H61)</f>
        <v>459203.68907684</v>
      </c>
      <c r="J61" s="59">
        <f>IF(B61="","",IF(OR(inp_Tipo="Arrendamiento Puro",par_BaseIVAFin="Sobre renta",B61="Opción de compra"),F61,G61)*$C$14)</f>
        <v>3924.24106334557</v>
      </c>
      <c r="K61" s="59">
        <f>IF(B61="","",F61+J61)</f>
        <v>28450.7477092554</v>
      </c>
      <c r="L61" s="59">
        <f>IF(B61="","",F61-IF(A61=$C$38,$C$30,0))</f>
        <v>24526.5066459098</v>
      </c>
      <c r="M61" s="78">
        <f>IF(B61="","",$C$37*(1+$C$13)^(-C61))</f>
        <v>0.775183818007856</v>
      </c>
      <c r="N61" s="59">
        <f>IF(B61="","",L61*M61)</f>
        <v>19012.5510641714</v>
      </c>
      <c r="O61" s="59">
        <f>IF(B61="","",IF(B61="Básico",F61,0)-IF(A61=$C$38,$C$30,0))</f>
        <v>24526.5066459098</v>
      </c>
      <c r="P61" s="77">
        <f>IF(B61="",$C$31,D61)</f>
        <v>46753.0</v>
      </c>
      <c r="Q61" s="59">
        <f>IF(B61="",0,L61)</f>
        <v>24526.5066459098</v>
      </c>
      <c r="R61" s="59">
        <f>IF(B61="",0,-F61)</f>
        <v>-24526.5066459098</v>
      </c>
      <c r="S61" s="59">
        <f>IF(B61="","",O61*M61)</f>
        <v>19012.5510641714</v>
      </c>
    </row>
    <row r="62">
      <c r="A62" s="7" t="n">
        <v>17</v>
      </c>
      <c r="B62" s="7" t="str">
        <f>IF(A62&gt;$C$38,"",IF(A62&lt;=$C$5,"Básico",IF($C$6&gt;0,"Sucesivo","Opción de compra")))</f>
        <v>Básico</v>
      </c>
      <c r="C62" s="7">
        <f>IF(B62="","",IF(B62="Opción de compra",$C$5,A62-$C$7))</f>
        <v>16</v>
      </c>
      <c r="D62" s="77">
        <f>IF(B62="","",EDATE($C$33,C62))</f>
        <v>46784.0</v>
      </c>
      <c r="E62" s="59">
        <f>IF(B62="","",I61)</f>
        <v>459203.68907684</v>
      </c>
      <c r="F62" s="59">
        <f>IF(B62="","",IF(B62="Básico",$C$24,IF(B62="Sucesivo",$C$25,$C$26)))</f>
        <v>24526.5066459098</v>
      </c>
      <c r="G62" s="59">
        <f>IF(B62="","",IF(B62="Opción de compra",0,(E62-$C$7*F62)*IF(B62="Sucesivo",$C$11,$C$9)))</f>
        <v>6157.92675110485</v>
      </c>
      <c r="H62" s="59">
        <f>IF(B62="","",F62-G62)</f>
        <v>18368.579894805</v>
      </c>
      <c r="I62" s="59">
        <f>IF(B62="","",E62-H62)</f>
        <v>440835.109182035</v>
      </c>
      <c r="J62" s="59">
        <f>IF(B62="","",IF(OR(inp_Tipo="Arrendamiento Puro",par_BaseIVAFin="Sobre renta",B62="Opción de compra"),F62,G62)*$C$14)</f>
        <v>3924.24106334557</v>
      </c>
      <c r="K62" s="59">
        <f>IF(B62="","",F62+J62)</f>
        <v>28450.7477092554</v>
      </c>
      <c r="L62" s="59">
        <f>IF(B62="","",F62-IF(A62=$C$38,$C$30,0))</f>
        <v>24526.5066459098</v>
      </c>
      <c r="M62" s="78">
        <f>IF(B62="","",$C$37*(1+$C$13)^(-C62))</f>
        <v>0.762163524464913</v>
      </c>
      <c r="N62" s="59">
        <f>IF(B62="","",L62*M62)</f>
        <v>18693.2087480588</v>
      </c>
      <c r="O62" s="59">
        <f>IF(B62="","",IF(B62="Básico",F62,0)-IF(A62=$C$38,$C$30,0))</f>
        <v>24526.5066459098</v>
      </c>
      <c r="P62" s="77">
        <f>IF(B62="",$C$31,D62)</f>
        <v>46784.0</v>
      </c>
      <c r="Q62" s="59">
        <f>IF(B62="",0,L62)</f>
        <v>24526.5066459098</v>
      </c>
      <c r="R62" s="59">
        <f>IF(B62="",0,-F62)</f>
        <v>-24526.5066459098</v>
      </c>
      <c r="S62" s="59">
        <f>IF(B62="","",O62*M62)</f>
        <v>18693.2087480588</v>
      </c>
    </row>
    <row r="63">
      <c r="A63" s="7" t="n">
        <v>18</v>
      </c>
      <c r="B63" s="7" t="str">
        <f>IF(A63&gt;$C$38,"",IF(A63&lt;=$C$5,"Básico",IF($C$6&gt;0,"Sucesivo","Opción de compra")))</f>
        <v>Básico</v>
      </c>
      <c r="C63" s="7">
        <f>IF(B63="","",IF(B63="Opción de compra",$C$5,A63-$C$7))</f>
        <v>17</v>
      </c>
      <c r="D63" s="77">
        <f>IF(B63="","",EDATE($C$33,C63))</f>
        <v>46813.0</v>
      </c>
      <c r="E63" s="59">
        <f>IF(B63="","",I62)</f>
        <v>440835.109182035</v>
      </c>
      <c r="F63" s="59">
        <f>IF(B63="","",IF(B63="Básico",$C$24,IF(B63="Sucesivo",$C$25,$C$26)))</f>
        <v>24526.5066459098</v>
      </c>
      <c r="G63" s="59">
        <f>IF(B63="","",IF(B63="Opción de compra",0,(E63-$C$7*F63)*IF(B63="Sucesivo",$C$11,$C$9)))</f>
        <v>5897.70520259511</v>
      </c>
      <c r="H63" s="59">
        <f>IF(B63="","",F63-G63)</f>
        <v>18628.8014433147</v>
      </c>
      <c r="I63" s="59">
        <f>IF(B63="","",E63-H63)</f>
        <v>422206.307738721</v>
      </c>
      <c r="J63" s="59">
        <f>IF(B63="","",IF(OR(inp_Tipo="Arrendamiento Puro",par_BaseIVAFin="Sobre renta",B63="Opción de compra"),F63,G63)*$C$14)</f>
        <v>3924.24106334557</v>
      </c>
      <c r="K63" s="59">
        <f>IF(B63="","",F63+J63)</f>
        <v>28450.7477092554</v>
      </c>
      <c r="L63" s="59">
        <f>IF(B63="","",F63-IF(A63=$C$38,$C$30,0))</f>
        <v>24526.5066459098</v>
      </c>
      <c r="M63" s="78">
        <f>IF(B63="","",$C$37*(1+$C$13)^(-C63))</f>
        <v>0.749361924914294</v>
      </c>
      <c r="N63" s="59">
        <f>IF(B63="","",L63*M63)</f>
        <v>18379.2302316022</v>
      </c>
      <c r="O63" s="59">
        <f>IF(B63="","",IF(B63="Básico",F63,0)-IF(A63=$C$38,$C$30,0))</f>
        <v>24526.5066459098</v>
      </c>
      <c r="P63" s="77">
        <f>IF(B63="",$C$31,D63)</f>
        <v>46813.0</v>
      </c>
      <c r="Q63" s="59">
        <f>IF(B63="",0,L63)</f>
        <v>24526.5066459098</v>
      </c>
      <c r="R63" s="59">
        <f>IF(B63="",0,-F63)</f>
        <v>-24526.5066459098</v>
      </c>
      <c r="S63" s="59">
        <f>IF(B63="","",O63*M63)</f>
        <v>18379.2302316022</v>
      </c>
    </row>
    <row r="64">
      <c r="A64" s="7" t="n">
        <v>19</v>
      </c>
      <c r="B64" s="7" t="str">
        <f>IF(A64&gt;$C$38,"",IF(A64&lt;=$C$5,"Básico",IF($C$6&gt;0,"Sucesivo","Opción de compra")))</f>
        <v>Básico</v>
      </c>
      <c r="C64" s="7">
        <f>IF(B64="","",IF(B64="Opción de compra",$C$5,A64-$C$7))</f>
        <v>18</v>
      </c>
      <c r="D64" s="77">
        <f>IF(B64="","",EDATE($C$33,C64))</f>
        <v>46844.0</v>
      </c>
      <c r="E64" s="59">
        <f>IF(B64="","",I63)</f>
        <v>422206.307738721</v>
      </c>
      <c r="F64" s="59">
        <f>IF(B64="","",IF(B64="Básico",$C$24,IF(B64="Sucesivo",$C$25,$C$26)))</f>
        <v>24526.5066459098</v>
      </c>
      <c r="G64" s="59">
        <f>IF(B64="","",IF(B64="Opción de compra",0,(E64-$C$7*F64)*IF(B64="Sucesivo",$C$11,$C$9)))</f>
        <v>5633.79718214815</v>
      </c>
      <c r="H64" s="59">
        <f>IF(B64="","",F64-G64)</f>
        <v>18892.7094637617</v>
      </c>
      <c r="I64" s="59">
        <f>IF(B64="","",E64-H64)</f>
        <v>403313.598274959</v>
      </c>
      <c r="J64" s="59">
        <f>IF(B64="","",IF(OR(inp_Tipo="Arrendamiento Puro",par_BaseIVAFin="Sobre renta",B64="Opción de compra"),F64,G64)*$C$14)</f>
        <v>3924.24106334557</v>
      </c>
      <c r="K64" s="59">
        <f>IF(B64="","",F64+J64)</f>
        <v>28450.7477092554</v>
      </c>
      <c r="L64" s="59">
        <f>IF(B64="","",F64-IF(A64=$C$38,$C$30,0))</f>
        <v>24526.5066459098</v>
      </c>
      <c r="M64" s="78">
        <f>IF(B64="","",$C$37*(1+$C$13)^(-C64))</f>
        <v>0.736775346085336</v>
      </c>
      <c r="N64" s="59">
        <f>IF(B64="","",L64*M64)</f>
        <v>18070.5254223045</v>
      </c>
      <c r="O64" s="59">
        <f>IF(B64="","",IF(B64="Básico",F64,0)-IF(A64=$C$38,$C$30,0))</f>
        <v>24526.5066459098</v>
      </c>
      <c r="P64" s="77">
        <f>IF(B64="",$C$31,D64)</f>
        <v>46844.0</v>
      </c>
      <c r="Q64" s="59">
        <f>IF(B64="",0,L64)</f>
        <v>24526.5066459098</v>
      </c>
      <c r="R64" s="59">
        <f>IF(B64="",0,-F64)</f>
        <v>-24526.5066459098</v>
      </c>
      <c r="S64" s="59">
        <f>IF(B64="","",O64*M64)</f>
        <v>18070.5254223045</v>
      </c>
    </row>
    <row r="65">
      <c r="A65" s="7" t="n">
        <v>20</v>
      </c>
      <c r="B65" s="7" t="str">
        <f>IF(A65&gt;$C$38,"",IF(A65&lt;=$C$5,"Básico",IF($C$6&gt;0,"Sucesivo","Opción de compra")))</f>
        <v>Básico</v>
      </c>
      <c r="C65" s="7">
        <f>IF(B65="","",IF(B65="Opción de compra",$C$5,A65-$C$7))</f>
        <v>19</v>
      </c>
      <c r="D65" s="77">
        <f>IF(B65="","",EDATE($C$33,C65))</f>
        <v>46874.0</v>
      </c>
      <c r="E65" s="59">
        <f>IF(B65="","",I64)</f>
        <v>403313.598274959</v>
      </c>
      <c r="F65" s="59">
        <f>IF(B65="","",IF(B65="Básico",$C$24,IF(B65="Sucesivo",$C$25,$C$26)))</f>
        <v>24526.5066459098</v>
      </c>
      <c r="G65" s="59">
        <f>IF(B65="","",IF(B65="Opción de compra",0,(E65-$C$7*F65)*IF(B65="Sucesivo",$C$11,$C$9)))</f>
        <v>5366.15046474486</v>
      </c>
      <c r="H65" s="59">
        <f>IF(B65="","",F65-G65)</f>
        <v>19160.356181165</v>
      </c>
      <c r="I65" s="59">
        <f>IF(B65="","",E65-H65)</f>
        <v>384153.242093794</v>
      </c>
      <c r="J65" s="59">
        <f>IF(B65="","",IF(OR(inp_Tipo="Arrendamiento Puro",par_BaseIVAFin="Sobre renta",B65="Opción de compra"),F65,G65)*$C$14)</f>
        <v>3924.24106334557</v>
      </c>
      <c r="K65" s="59">
        <f>IF(B65="","",F65+J65)</f>
        <v>28450.7477092554</v>
      </c>
      <c r="L65" s="59">
        <f>IF(B65="","",F65-IF(A65=$C$38,$C$30,0))</f>
        <v>24526.5066459098</v>
      </c>
      <c r="M65" s="78">
        <f>IF(B65="","",$C$37*(1+$C$13)^(-C65))</f>
        <v>0.724400176405083</v>
      </c>
      <c r="N65" s="59">
        <f>IF(B65="","",L65*M65)</f>
        <v>17767.0057408975</v>
      </c>
      <c r="O65" s="59">
        <f>IF(B65="","",IF(B65="Básico",F65,0)-IF(A65=$C$38,$C$30,0))</f>
        <v>24526.5066459098</v>
      </c>
      <c r="P65" s="77">
        <f>IF(B65="",$C$31,D65)</f>
        <v>46874.0</v>
      </c>
      <c r="Q65" s="59">
        <f>IF(B65="",0,L65)</f>
        <v>24526.5066459098</v>
      </c>
      <c r="R65" s="59">
        <f>IF(B65="",0,-F65)</f>
        <v>-24526.5066459098</v>
      </c>
      <c r="S65" s="59">
        <f>IF(B65="","",O65*M65)</f>
        <v>17767.0057408975</v>
      </c>
    </row>
    <row r="66">
      <c r="A66" s="7" t="n">
        <v>21</v>
      </c>
      <c r="B66" s="7" t="str">
        <f>IF(A66&gt;$C$38,"",IF(A66&lt;=$C$5,"Básico",IF($C$6&gt;0,"Sucesivo","Opción de compra")))</f>
        <v>Básico</v>
      </c>
      <c r="C66" s="7">
        <f>IF(B66="","",IF(B66="Opción de compra",$C$5,A66-$C$7))</f>
        <v>20</v>
      </c>
      <c r="D66" s="77">
        <f>IF(B66="","",EDATE($C$33,C66))</f>
        <v>46905.0</v>
      </c>
      <c r="E66" s="59">
        <f>IF(B66="","",I65)</f>
        <v>384153.242093794</v>
      </c>
      <c r="F66" s="59">
        <f>IF(B66="","",IF(B66="Básico",$C$24,IF(B66="Sucesivo",$C$25,$C$26)))</f>
        <v>24526.5066459098</v>
      </c>
      <c r="G66" s="59">
        <f>IF(B66="","",IF(B66="Opción de compra",0,(E66-$C$7*F66)*IF(B66="Sucesivo",$C$11,$C$9)))</f>
        <v>5094.71208551169</v>
      </c>
      <c r="H66" s="59">
        <f>IF(B66="","",F66-G66)</f>
        <v>19431.7945603981</v>
      </c>
      <c r="I66" s="59">
        <f>IF(B66="","",E66-H66)</f>
        <v>364721.447533396</v>
      </c>
      <c r="J66" s="59">
        <f>IF(B66="","",IF(OR(inp_Tipo="Arrendamiento Puro",par_BaseIVAFin="Sobre renta",B66="Opción de compra"),F66,G66)*$C$14)</f>
        <v>3924.24106334557</v>
      </c>
      <c r="K66" s="59">
        <f>IF(B66="","",F66+J66)</f>
        <v>28450.7477092554</v>
      </c>
      <c r="L66" s="59">
        <f>IF(B66="","",F66-IF(A66=$C$38,$C$30,0))</f>
        <v>24526.5066459098</v>
      </c>
      <c r="M66" s="78">
        <f>IF(B66="","",$C$37*(1+$C$13)^(-C66))</f>
        <v>0.712232864961982</v>
      </c>
      <c r="N66" s="59">
        <f>IF(B66="","",L66*M66)</f>
        <v>17468.5840959255</v>
      </c>
      <c r="O66" s="59">
        <f>IF(B66="","",IF(B66="Básico",F66,0)-IF(A66=$C$38,$C$30,0))</f>
        <v>24526.5066459098</v>
      </c>
      <c r="P66" s="77">
        <f>IF(B66="",$C$31,D66)</f>
        <v>46905.0</v>
      </c>
      <c r="Q66" s="59">
        <f>IF(B66="",0,L66)</f>
        <v>24526.5066459098</v>
      </c>
      <c r="R66" s="59">
        <f>IF(B66="",0,-F66)</f>
        <v>-24526.5066459098</v>
      </c>
      <c r="S66" s="59">
        <f>IF(B66="","",O66*M66)</f>
        <v>17468.5840959255</v>
      </c>
    </row>
    <row r="67">
      <c r="A67" s="7" t="n">
        <v>22</v>
      </c>
      <c r="B67" s="7" t="str">
        <f>IF(A67&gt;$C$38,"",IF(A67&lt;=$C$5,"Básico",IF($C$6&gt;0,"Sucesivo","Opción de compra")))</f>
        <v>Básico</v>
      </c>
      <c r="C67" s="7">
        <f>IF(B67="","",IF(B67="Opción de compra",$C$5,A67-$C$7))</f>
        <v>21</v>
      </c>
      <c r="D67" s="77">
        <f>IF(B67="","",EDATE($C$33,C67))</f>
        <v>46935.0</v>
      </c>
      <c r="E67" s="59">
        <f>IF(B67="","",I66)</f>
        <v>364721.447533396</v>
      </c>
      <c r="F67" s="59">
        <f>IF(B67="","",IF(B67="Básico",$C$24,IF(B67="Sucesivo",$C$25,$C$26)))</f>
        <v>24526.5066459098</v>
      </c>
      <c r="G67" s="59">
        <f>IF(B67="","",IF(B67="Opción de compra",0,(E67-$C$7*F67)*IF(B67="Sucesivo",$C$11,$C$9)))</f>
        <v>4819.42832923939</v>
      </c>
      <c r="H67" s="59">
        <f>IF(B67="","",F67-G67)</f>
        <v>19707.0783166704</v>
      </c>
      <c r="I67" s="59">
        <f>IF(B67="","",E67-H67)</f>
        <v>345014.369216725</v>
      </c>
      <c r="J67" s="59">
        <f>IF(B67="","",IF(OR(inp_Tipo="Arrendamiento Puro",par_BaseIVAFin="Sobre renta",B67="Opción de compra"),F67,G67)*$C$14)</f>
        <v>3924.24106334557</v>
      </c>
      <c r="K67" s="59">
        <f>IF(B67="","",F67+J67)</f>
        <v>28450.7477092554</v>
      </c>
      <c r="L67" s="59">
        <f>IF(B67="","",F67-IF(A67=$C$38,$C$30,0))</f>
        <v>24526.5066459098</v>
      </c>
      <c r="M67" s="78">
        <f>IF(B67="","",$C$37*(1+$C$13)^(-C67))</f>
        <v>0.700269920486996</v>
      </c>
      <c r="N67" s="59">
        <f>IF(B67="","",L67*M67)</f>
        <v>17175.1748587551</v>
      </c>
      <c r="O67" s="59">
        <f>IF(B67="","",IF(B67="Básico",F67,0)-IF(A67=$C$38,$C$30,0))</f>
        <v>24526.5066459098</v>
      </c>
      <c r="P67" s="77">
        <f>IF(B67="",$C$31,D67)</f>
        <v>46935.0</v>
      </c>
      <c r="Q67" s="59">
        <f>IF(B67="",0,L67)</f>
        <v>24526.5066459098</v>
      </c>
      <c r="R67" s="59">
        <f>IF(B67="",0,-F67)</f>
        <v>-24526.5066459098</v>
      </c>
      <c r="S67" s="59">
        <f>IF(B67="","",O67*M67)</f>
        <v>17175.1748587551</v>
      </c>
    </row>
    <row r="68">
      <c r="A68" s="7" t="n">
        <v>23</v>
      </c>
      <c r="B68" s="7" t="str">
        <f>IF(A68&gt;$C$38,"",IF(A68&lt;=$C$5,"Básico",IF($C$6&gt;0,"Sucesivo","Opción de compra")))</f>
        <v>Básico</v>
      </c>
      <c r="C68" s="7">
        <f>IF(B68="","",IF(B68="Opción de compra",$C$5,A68-$C$7))</f>
        <v>22</v>
      </c>
      <c r="D68" s="77">
        <f>IF(B68="","",EDATE($C$33,C68))</f>
        <v>46966.0</v>
      </c>
      <c r="E68" s="59">
        <f>IF(B68="","",I67)</f>
        <v>345014.369216725</v>
      </c>
      <c r="F68" s="59">
        <f>IF(B68="","",IF(B68="Básico",$C$24,IF(B68="Sucesivo",$C$25,$C$26)))</f>
        <v>24526.5066459098</v>
      </c>
      <c r="G68" s="59">
        <f>IF(B68="","",IF(B68="Opción de compra",0,(E68-$C$7*F68)*IF(B68="Sucesivo",$C$11,$C$9)))</f>
        <v>4540.24471975322</v>
      </c>
      <c r="H68" s="59">
        <f>IF(B68="","",F68-G68)</f>
        <v>19986.2619261566</v>
      </c>
      <c r="I68" s="59">
        <f>IF(B68="","",E68-H68)</f>
        <v>325028.107290569</v>
      </c>
      <c r="J68" s="59">
        <f>IF(B68="","",IF(OR(inp_Tipo="Arrendamiento Puro",par_BaseIVAFin="Sobre renta",B68="Opción de compra"),F68,G68)*$C$14)</f>
        <v>3924.24106334557</v>
      </c>
      <c r="K68" s="59">
        <f>IF(B68="","",F68+J68)</f>
        <v>28450.7477092554</v>
      </c>
      <c r="L68" s="59">
        <f>IF(B68="","",F68-IF(A68=$C$38,$C$30,0))</f>
        <v>24526.5066459098</v>
      </c>
      <c r="M68" s="78">
        <f>IF(B68="","",$C$37*(1+$C$13)^(-C68))</f>
        <v>0.688507910351819</v>
      </c>
      <c r="N68" s="59">
        <f>IF(B68="","",L68*M68)</f>
        <v>16886.6938390054</v>
      </c>
      <c r="O68" s="59">
        <f>IF(B68="","",IF(B68="Básico",F68,0)-IF(A68=$C$38,$C$30,0))</f>
        <v>24526.5066459098</v>
      </c>
      <c r="P68" s="77">
        <f>IF(B68="",$C$31,D68)</f>
        <v>46966.0</v>
      </c>
      <c r="Q68" s="59">
        <f>IF(B68="",0,L68)</f>
        <v>24526.5066459098</v>
      </c>
      <c r="R68" s="59">
        <f>IF(B68="",0,-F68)</f>
        <v>-24526.5066459098</v>
      </c>
      <c r="S68" s="59">
        <f>IF(B68="","",O68*M68)</f>
        <v>16886.6938390054</v>
      </c>
    </row>
    <row r="69">
      <c r="A69" s="7" t="n">
        <v>24</v>
      </c>
      <c r="B69" s="7" t="str">
        <f>IF(A69&gt;$C$38,"",IF(A69&lt;=$C$5,"Básico",IF($C$6&gt;0,"Sucesivo","Opción de compra")))</f>
        <v>Básico</v>
      </c>
      <c r="C69" s="7">
        <f>IF(B69="","",IF(B69="Opción de compra",$C$5,A69-$C$7))</f>
        <v>23</v>
      </c>
      <c r="D69" s="77">
        <f>IF(B69="","",EDATE($C$33,C69))</f>
        <v>46997.0</v>
      </c>
      <c r="E69" s="59">
        <f>IF(B69="","",I68)</f>
        <v>325028.107290569</v>
      </c>
      <c r="F69" s="59">
        <f>IF(B69="","",IF(B69="Básico",$C$24,IF(B69="Sucesivo",$C$25,$C$26)))</f>
        <v>24526.5066459098</v>
      </c>
      <c r="G69" s="59">
        <f>IF(B69="","",IF(B69="Opción de compra",0,(E69-$C$7*F69)*IF(B69="Sucesivo",$C$11,$C$9)))</f>
        <v>4257.10600913267</v>
      </c>
      <c r="H69" s="59">
        <f>IF(B69="","",F69-G69)</f>
        <v>20269.4006367772</v>
      </c>
      <c r="I69" s="59">
        <f>IF(B69="","",E69-H69)</f>
        <v>304758.706653792</v>
      </c>
      <c r="J69" s="59">
        <f>IF(B69="","",IF(OR(inp_Tipo="Arrendamiento Puro",par_BaseIVAFin="Sobre renta",B69="Opción de compra"),F69,G69)*$C$14)</f>
        <v>3924.24106334557</v>
      </c>
      <c r="K69" s="59">
        <f>IF(B69="","",F69+J69)</f>
        <v>28450.7477092554</v>
      </c>
      <c r="L69" s="59">
        <f>IF(B69="","",F69-IF(A69=$C$38,$C$30,0))</f>
        <v>24526.5066459098</v>
      </c>
      <c r="M69" s="78">
        <f>IF(B69="","",$C$37*(1+$C$13)^(-C69))</f>
        <v>0.676943459583927</v>
      </c>
      <c r="N69" s="59">
        <f>IF(B69="","",L69*M69)</f>
        <v>16603.0582603904</v>
      </c>
      <c r="O69" s="59">
        <f>IF(B69="","",IF(B69="Básico",F69,0)-IF(A69=$C$38,$C$30,0))</f>
        <v>24526.5066459098</v>
      </c>
      <c r="P69" s="77">
        <f>IF(B69="",$C$31,D69)</f>
        <v>46997.0</v>
      </c>
      <c r="Q69" s="59">
        <f>IF(B69="",0,L69)</f>
        <v>24526.5066459098</v>
      </c>
      <c r="R69" s="59">
        <f>IF(B69="",0,-F69)</f>
        <v>-24526.5066459098</v>
      </c>
      <c r="S69" s="59">
        <f>IF(B69="","",O69*M69)</f>
        <v>16603.0582603904</v>
      </c>
    </row>
    <row r="70">
      <c r="A70" s="7" t="n">
        <v>25</v>
      </c>
      <c r="B70" s="7" t="str">
        <f>IF(A70&gt;$C$38,"",IF(A70&lt;=$C$5,"Básico",IF($C$6&gt;0,"Sucesivo","Opción de compra")))</f>
        <v>Básico</v>
      </c>
      <c r="C70" s="7">
        <f>IF(B70="","",IF(B70="Opción de compra",$C$5,A70-$C$7))</f>
        <v>24</v>
      </c>
      <c r="D70" s="77">
        <f>IF(B70="","",EDATE($C$33,C70))</f>
        <v>47027.0</v>
      </c>
      <c r="E70" s="59">
        <f>IF(B70="","",I69)</f>
        <v>304758.706653792</v>
      </c>
      <c r="F70" s="59">
        <f>IF(B70="","",IF(B70="Básico",$C$24,IF(B70="Sucesivo",$C$25,$C$26)))</f>
        <v>24526.5066459098</v>
      </c>
      <c r="G70" s="59">
        <f>IF(B70="","",IF(B70="Opción de compra",0,(E70-$C$7*F70)*IF(B70="Sucesivo",$C$11,$C$9)))</f>
        <v>3969.95616677833</v>
      </c>
      <c r="H70" s="59">
        <f>IF(B70="","",F70-G70)</f>
        <v>20556.5504791315</v>
      </c>
      <c r="I70" s="59">
        <f>IF(B70="","",E70-H70)</f>
        <v>284202.15617466</v>
      </c>
      <c r="J70" s="59">
        <f>IF(B70="","",IF(OR(inp_Tipo="Arrendamiento Puro",par_BaseIVAFin="Sobre renta",B70="Opción de compra"),F70,G70)*$C$14)</f>
        <v>3924.24106334557</v>
      </c>
      <c r="K70" s="59">
        <f>IF(B70="","",F70+J70)</f>
        <v>28450.7477092554</v>
      </c>
      <c r="L70" s="59">
        <f>IF(B70="","",F70-IF(A70=$C$38,$C$30,0))</f>
        <v>24526.5066459098</v>
      </c>
      <c r="M70" s="78">
        <f>IF(B70="","",$C$37*(1+$C$13)^(-C70))</f>
        <v>0.665573249898167</v>
      </c>
      <c r="N70" s="59">
        <f>IF(B70="","",L70*M70)</f>
        <v>16324.1867369672</v>
      </c>
      <c r="O70" s="59">
        <f>IF(B70="","",IF(B70="Básico",F70,0)-IF(A70=$C$38,$C$30,0))</f>
        <v>24526.5066459098</v>
      </c>
      <c r="P70" s="77">
        <f>IF(B70="",$C$31,D70)</f>
        <v>47027.0</v>
      </c>
      <c r="Q70" s="59">
        <f>IF(B70="",0,L70)</f>
        <v>24526.5066459098</v>
      </c>
      <c r="R70" s="59">
        <f>IF(B70="",0,-F70)</f>
        <v>-24526.5066459098</v>
      </c>
      <c r="S70" s="59">
        <f>IF(B70="","",O70*M70)</f>
        <v>16324.1867369672</v>
      </c>
    </row>
    <row r="71">
      <c r="A71" s="7" t="n">
        <v>26</v>
      </c>
      <c r="B71" s="7" t="str">
        <f>IF(A71&gt;$C$38,"",IF(A71&lt;=$C$5,"Básico",IF($C$6&gt;0,"Sucesivo","Opción de compra")))</f>
        <v>Básico</v>
      </c>
      <c r="C71" s="7">
        <f>IF(B71="","",IF(B71="Opción de compra",$C$5,A71-$C$7))</f>
        <v>25</v>
      </c>
      <c r="D71" s="77">
        <f>IF(B71="","",EDATE($C$33,C71))</f>
        <v>47058.0</v>
      </c>
      <c r="E71" s="59">
        <f>IF(B71="","",I70)</f>
        <v>284202.15617466</v>
      </c>
      <c r="F71" s="59">
        <f>IF(B71="","",IF(B71="Básico",$C$24,IF(B71="Sucesivo",$C$25,$C$26)))</f>
        <v>24526.5066459098</v>
      </c>
      <c r="G71" s="59">
        <f>IF(B71="","",IF(B71="Opción de compra",0,(E71-$C$7*F71)*IF(B71="Sucesivo",$C$11,$C$9)))</f>
        <v>3678.73836832396</v>
      </c>
      <c r="H71" s="59">
        <f>IF(B71="","",F71-G71)</f>
        <v>20847.7682775859</v>
      </c>
      <c r="I71" s="59">
        <f>IF(B71="","",E71-H71)</f>
        <v>263354.387897074</v>
      </c>
      <c r="J71" s="59">
        <f>IF(B71="","",IF(OR(inp_Tipo="Arrendamiento Puro",par_BaseIVAFin="Sobre renta",B71="Opción de compra"),F71,G71)*$C$14)</f>
        <v>3924.24106334557</v>
      </c>
      <c r="K71" s="59">
        <f>IF(B71="","",F71+J71)</f>
        <v>28450.7477092554</v>
      </c>
      <c r="L71" s="59">
        <f>IF(B71="","",F71-IF(A71=$C$38,$C$30,0))</f>
        <v>24526.5066459098</v>
      </c>
      <c r="M71" s="78">
        <f>IF(B71="","",$C$37*(1+$C$13)^(-C71))</f>
        <v>0.654394018744613</v>
      </c>
      <c r="N71" s="59">
        <f>IF(B71="","",L71*M71)</f>
        <v>16049.9992497834</v>
      </c>
      <c r="O71" s="59">
        <f>IF(B71="","",IF(B71="Básico",F71,0)-IF(A71=$C$38,$C$30,0))</f>
        <v>24526.5066459098</v>
      </c>
      <c r="P71" s="77">
        <f>IF(B71="",$C$31,D71)</f>
        <v>47058.0</v>
      </c>
      <c r="Q71" s="59">
        <f>IF(B71="",0,L71)</f>
        <v>24526.5066459098</v>
      </c>
      <c r="R71" s="59">
        <f>IF(B71="",0,-F71)</f>
        <v>-24526.5066459098</v>
      </c>
      <c r="S71" s="59">
        <f>IF(B71="","",O71*M71)</f>
        <v>16049.9992497834</v>
      </c>
    </row>
    <row r="72">
      <c r="A72" s="7" t="n">
        <v>27</v>
      </c>
      <c r="B72" s="7" t="str">
        <f>IF(A72&gt;$C$38,"",IF(A72&lt;=$C$5,"Básico",IF($C$6&gt;0,"Sucesivo","Opción de compra")))</f>
        <v>Básico</v>
      </c>
      <c r="C72" s="7">
        <f>IF(B72="","",IF(B72="Opción de compra",$C$5,A72-$C$7))</f>
        <v>26</v>
      </c>
      <c r="D72" s="77">
        <f>IF(B72="","",EDATE($C$33,C72))</f>
        <v>47088.0</v>
      </c>
      <c r="E72" s="59">
        <f>IF(B72="","",I71)</f>
        <v>263354.387897074</v>
      </c>
      <c r="F72" s="59">
        <f>IF(B72="","",IF(B72="Básico",$C$24,IF(B72="Sucesivo",$C$25,$C$26)))</f>
        <v>24526.5066459098</v>
      </c>
      <c r="G72" s="59">
        <f>IF(B72="","",IF(B72="Opción de compra",0,(E72-$C$7*F72)*IF(B72="Sucesivo",$C$11,$C$9)))</f>
        <v>3383.3949843915</v>
      </c>
      <c r="H72" s="59">
        <f>IF(B72="","",F72-G72)</f>
        <v>21143.1116615183</v>
      </c>
      <c r="I72" s="59">
        <f>IF(B72="","",E72-H72)</f>
        <v>242211.276235556</v>
      </c>
      <c r="J72" s="59">
        <f>IF(B72="","",IF(OR(inp_Tipo="Arrendamiento Puro",par_BaseIVAFin="Sobre renta",B72="Opción de compra"),F72,G72)*$C$14)</f>
        <v>3924.24106334557</v>
      </c>
      <c r="K72" s="59">
        <f>IF(B72="","",F72+J72)</f>
        <v>28450.7477092554</v>
      </c>
      <c r="L72" s="59">
        <f>IF(B72="","",F72-IF(A72=$C$38,$C$30,0))</f>
        <v>24526.5066459098</v>
      </c>
      <c r="M72" s="78">
        <f>IF(B72="","",$C$37*(1+$C$13)^(-C72))</f>
        <v>0.643402558372418</v>
      </c>
      <c r="N72" s="59">
        <f>IF(B72="","",L72*M72)</f>
        <v>15780.4171239165</v>
      </c>
      <c r="O72" s="59">
        <f>IF(B72="","",IF(B72="Básico",F72,0)-IF(A72=$C$38,$C$30,0))</f>
        <v>24526.5066459098</v>
      </c>
      <c r="P72" s="77">
        <f>IF(B72="",$C$31,D72)</f>
        <v>47088.0</v>
      </c>
      <c r="Q72" s="59">
        <f>IF(B72="",0,L72)</f>
        <v>24526.5066459098</v>
      </c>
      <c r="R72" s="59">
        <f>IF(B72="",0,-F72)</f>
        <v>-24526.5066459098</v>
      </c>
      <c r="S72" s="59">
        <f>IF(B72="","",O72*M72)</f>
        <v>15780.4171239165</v>
      </c>
    </row>
    <row r="73">
      <c r="A73" s="7" t="n">
        <v>28</v>
      </c>
      <c r="B73" s="7" t="str">
        <f>IF(A73&gt;$C$38,"",IF(A73&lt;=$C$5,"Básico",IF($C$6&gt;0,"Sucesivo","Opción de compra")))</f>
        <v>Básico</v>
      </c>
      <c r="C73" s="7">
        <f>IF(B73="","",IF(B73="Opción de compra",$C$5,A73-$C$7))</f>
        <v>27</v>
      </c>
      <c r="D73" s="77">
        <f>IF(B73="","",EDATE($C$33,C73))</f>
        <v>47119.0</v>
      </c>
      <c r="E73" s="59">
        <f>IF(B73="","",I72)</f>
        <v>242211.276235556</v>
      </c>
      <c r="F73" s="59">
        <f>IF(B73="","",IF(B73="Básico",$C$24,IF(B73="Sucesivo",$C$25,$C$26)))</f>
        <v>24526.5066459098</v>
      </c>
      <c r="G73" s="59">
        <f>IF(B73="","",IF(B73="Opción de compra",0,(E73-$C$7*F73)*IF(B73="Sucesivo",$C$11,$C$9)))</f>
        <v>3083.86756918665</v>
      </c>
      <c r="H73" s="59">
        <f>IF(B73="","",F73-G73)</f>
        <v>21442.6390767232</v>
      </c>
      <c r="I73" s="59">
        <f>IF(B73="","",E73-H73)</f>
        <v>220768.637158833</v>
      </c>
      <c r="J73" s="59">
        <f>IF(B73="","",IF(OR(inp_Tipo="Arrendamiento Puro",par_BaseIVAFin="Sobre renta",B73="Opción de compra"),F73,G73)*$C$14)</f>
        <v>3924.24106334557</v>
      </c>
      <c r="K73" s="59">
        <f>IF(B73="","",F73+J73)</f>
        <v>28450.7477092554</v>
      </c>
      <c r="L73" s="59">
        <f>IF(B73="","",F73-IF(A73=$C$38,$C$30,0))</f>
        <v>24526.5066459098</v>
      </c>
      <c r="M73" s="78">
        <f>IF(B73="","",$C$37*(1+$C$13)^(-C73))</f>
        <v>0.632595714909382</v>
      </c>
      <c r="N73" s="59">
        <f>IF(B73="","",L73*M73)</f>
        <v>15515.363005899</v>
      </c>
      <c r="O73" s="59">
        <f>IF(B73="","",IF(B73="Básico",F73,0)-IF(A73=$C$38,$C$30,0))</f>
        <v>24526.5066459098</v>
      </c>
      <c r="P73" s="77">
        <f>IF(B73="",$C$31,D73)</f>
        <v>47119.0</v>
      </c>
      <c r="Q73" s="59">
        <f>IF(B73="",0,L73)</f>
        <v>24526.5066459098</v>
      </c>
      <c r="R73" s="59">
        <f>IF(B73="",0,-F73)</f>
        <v>-24526.5066459098</v>
      </c>
      <c r="S73" s="59">
        <f>IF(B73="","",O73*M73)</f>
        <v>15515.363005899</v>
      </c>
    </row>
    <row r="74">
      <c r="A74" s="7" t="n">
        <v>29</v>
      </c>
      <c r="B74" s="7" t="str">
        <f>IF(A74&gt;$C$38,"",IF(A74&lt;=$C$5,"Básico",IF($C$6&gt;0,"Sucesivo","Opción de compra")))</f>
        <v>Básico</v>
      </c>
      <c r="C74" s="7">
        <f>IF(B74="","",IF(B74="Opción de compra",$C$5,A74-$C$7))</f>
        <v>28</v>
      </c>
      <c r="D74" s="77">
        <f>IF(B74="","",EDATE($C$33,C74))</f>
        <v>47150.0</v>
      </c>
      <c r="E74" s="59">
        <f>IF(B74="","",I73)</f>
        <v>220768.637158833</v>
      </c>
      <c r="F74" s="59">
        <f>IF(B74="","",IF(B74="Básico",$C$24,IF(B74="Sucesivo",$C$25,$C$26)))</f>
        <v>24526.5066459098</v>
      </c>
      <c r="G74" s="59">
        <f>IF(B74="","",IF(B74="Opción de compra",0,(E74-$C$7*F74)*IF(B74="Sucesivo",$C$11,$C$9)))</f>
        <v>2780.09684893307</v>
      </c>
      <c r="H74" s="59">
        <f>IF(B74="","",F74-G74)</f>
        <v>21746.4097969768</v>
      </c>
      <c r="I74" s="59">
        <f>IF(B74="","",E74-H74)</f>
        <v>199022.227361856</v>
      </c>
      <c r="J74" s="59">
        <f>IF(B74="","",IF(OR(inp_Tipo="Arrendamiento Puro",par_BaseIVAFin="Sobre renta",B74="Opción de compra"),F74,G74)*$C$14)</f>
        <v>3924.24106334557</v>
      </c>
      <c r="K74" s="59">
        <f>IF(B74="","",F74+J74)</f>
        <v>28450.7477092554</v>
      </c>
      <c r="L74" s="59">
        <f>IF(B74="","",F74-IF(A74=$C$38,$C$30,0))</f>
        <v>24526.5066459098</v>
      </c>
      <c r="M74" s="78">
        <f>IF(B74="","",$C$37*(1+$C$13)^(-C74))</f>
        <v>0.621970387456992</v>
      </c>
      <c r="N74" s="59">
        <f>IF(B74="","",L74*M74)</f>
        <v>15254.760841523</v>
      </c>
      <c r="O74" s="59">
        <f>IF(B74="","",IF(B74="Básico",F74,0)-IF(A74=$C$38,$C$30,0))</f>
        <v>24526.5066459098</v>
      </c>
      <c r="P74" s="77">
        <f>IF(B74="",$C$31,D74)</f>
        <v>47150.0</v>
      </c>
      <c r="Q74" s="59">
        <f>IF(B74="",0,L74)</f>
        <v>24526.5066459098</v>
      </c>
      <c r="R74" s="59">
        <f>IF(B74="",0,-F74)</f>
        <v>-24526.5066459098</v>
      </c>
      <c r="S74" s="59">
        <f>IF(B74="","",O74*M74)</f>
        <v>15254.760841523</v>
      </c>
    </row>
    <row r="75">
      <c r="A75" s="7" t="n">
        <v>30</v>
      </c>
      <c r="B75" s="7" t="str">
        <f>IF(A75&gt;$C$38,"",IF(A75&lt;=$C$5,"Básico",IF($C$6&gt;0,"Sucesivo","Opción de compra")))</f>
        <v>Básico</v>
      </c>
      <c r="C75" s="7">
        <f>IF(B75="","",IF(B75="Opción de compra",$C$5,A75-$C$7))</f>
        <v>29</v>
      </c>
      <c r="D75" s="77">
        <f>IF(B75="","",EDATE($C$33,C75))</f>
        <v>47178.0</v>
      </c>
      <c r="E75" s="59">
        <f>IF(B75="","",I74)</f>
        <v>199022.227361856</v>
      </c>
      <c r="F75" s="59">
        <f>IF(B75="","",IF(B75="Básico",$C$24,IF(B75="Sucesivo",$C$25,$C$26)))</f>
        <v>24526.5066459098</v>
      </c>
      <c r="G75" s="59">
        <f>IF(B75="","",IF(B75="Opción de compra",0,(E75-$C$7*F75)*IF(B75="Sucesivo",$C$11,$C$9)))</f>
        <v>2472.02271014257</v>
      </c>
      <c r="H75" s="59">
        <f>IF(B75="","",F75-G75)</f>
        <v>22054.4839357673</v>
      </c>
      <c r="I75" s="59">
        <f>IF(B75="","",E75-H75)</f>
        <v>176967.743426089</v>
      </c>
      <c r="J75" s="59">
        <f>IF(B75="","",IF(OR(inp_Tipo="Arrendamiento Puro",par_BaseIVAFin="Sobre renta",B75="Opción de compra"),F75,G75)*$C$14)</f>
        <v>3924.24106334557</v>
      </c>
      <c r="K75" s="59">
        <f>IF(B75="","",F75+J75)</f>
        <v>28450.7477092554</v>
      </c>
      <c r="L75" s="59">
        <f>IF(B75="","",F75-IF(A75=$C$38,$C$30,0))</f>
        <v>24526.5066459098</v>
      </c>
      <c r="M75" s="78">
        <f>IF(B75="","",$C$37*(1+$C$13)^(-C75))</f>
        <v>0.611523527200648</v>
      </c>
      <c r="N75" s="59">
        <f>IF(B75="","",L75*M75)</f>
        <v>14998.5358540169</v>
      </c>
      <c r="O75" s="59">
        <f>IF(B75="","",IF(B75="Básico",F75,0)-IF(A75=$C$38,$C$30,0))</f>
        <v>24526.5066459098</v>
      </c>
      <c r="P75" s="77">
        <f>IF(B75="",$C$31,D75)</f>
        <v>47178.0</v>
      </c>
      <c r="Q75" s="59">
        <f>IF(B75="",0,L75)</f>
        <v>24526.5066459098</v>
      </c>
      <c r="R75" s="59">
        <f>IF(B75="",0,-F75)</f>
        <v>-24526.5066459098</v>
      </c>
      <c r="S75" s="59">
        <f>IF(B75="","",O75*M75)</f>
        <v>14998.5358540169</v>
      </c>
    </row>
    <row r="76">
      <c r="A76" s="7" t="n">
        <v>31</v>
      </c>
      <c r="B76" s="7" t="str">
        <f>IF(A76&gt;$C$38,"",IF(A76&lt;=$C$5,"Básico",IF($C$6&gt;0,"Sucesivo","Opción de compra")))</f>
        <v>Básico</v>
      </c>
      <c r="C76" s="7">
        <f>IF(B76="","",IF(B76="Opción de compra",$C$5,A76-$C$7))</f>
        <v>30</v>
      </c>
      <c r="D76" s="77">
        <f>IF(B76="","",EDATE($C$33,C76))</f>
        <v>47209.0</v>
      </c>
      <c r="E76" s="59">
        <f>IF(B76="","",I75)</f>
        <v>176967.743426089</v>
      </c>
      <c r="F76" s="59">
        <f>IF(B76="","",IF(B76="Básico",$C$24,IF(B76="Sucesivo",$C$25,$C$26)))</f>
        <v>24526.5066459098</v>
      </c>
      <c r="G76" s="59">
        <f>IF(B76="","",IF(B76="Opción de compra",0,(E76-$C$7*F76)*IF(B76="Sucesivo",$C$11,$C$9)))</f>
        <v>2159.5841877192</v>
      </c>
      <c r="H76" s="59">
        <f>IF(B76="","",F76-G76)</f>
        <v>22366.9224581906</v>
      </c>
      <c r="I76" s="59">
        <f>IF(B76="","",E76-H76)</f>
        <v>154600.820967898</v>
      </c>
      <c r="J76" s="59">
        <f>IF(B76="","",IF(OR(inp_Tipo="Arrendamiento Puro",par_BaseIVAFin="Sobre renta",B76="Opción de compra"),F76,G76)*$C$14)</f>
        <v>3924.24106334557</v>
      </c>
      <c r="K76" s="59">
        <f>IF(B76="","",F76+J76)</f>
        <v>28450.7477092554</v>
      </c>
      <c r="L76" s="59">
        <f>IF(B76="","",F76-IF(A76=$C$38,$C$30,0))</f>
        <v>24526.5066459098</v>
      </c>
      <c r="M76" s="78">
        <f>IF(B76="","",$C$37*(1+$C$13)^(-C76))</f>
        <v>0.601252136534844</v>
      </c>
      <c r="N76" s="59">
        <f>IF(B76="","",L76*M76)</f>
        <v>14746.6145225893</v>
      </c>
      <c r="O76" s="59">
        <f>IF(B76="","",IF(B76="Básico",F76,0)-IF(A76=$C$38,$C$30,0))</f>
        <v>24526.5066459098</v>
      </c>
      <c r="P76" s="77">
        <f>IF(B76="",$C$31,D76)</f>
        <v>47209.0</v>
      </c>
      <c r="Q76" s="59">
        <f>IF(B76="",0,L76)</f>
        <v>24526.5066459098</v>
      </c>
      <c r="R76" s="59">
        <f>IF(B76="",0,-F76)</f>
        <v>-24526.5066459098</v>
      </c>
      <c r="S76" s="59">
        <f>IF(B76="","",O76*M76)</f>
        <v>14746.6145225893</v>
      </c>
    </row>
    <row r="77">
      <c r="A77" s="7" t="n">
        <v>32</v>
      </c>
      <c r="B77" s="7" t="str">
        <f>IF(A77&gt;$C$38,"",IF(A77&lt;=$C$5,"Básico",IF($C$6&gt;0,"Sucesivo","Opción de compra")))</f>
        <v>Básico</v>
      </c>
      <c r="C77" s="7">
        <f>IF(B77="","",IF(B77="Opción de compra",$C$5,A77-$C$7))</f>
        <v>31</v>
      </c>
      <c r="D77" s="77">
        <f>IF(B77="","",EDATE($C$33,C77))</f>
        <v>47239.0</v>
      </c>
      <c r="E77" s="59">
        <f>IF(B77="","",I76)</f>
        <v>154600.820967898</v>
      </c>
      <c r="F77" s="59">
        <f>IF(B77="","",IF(B77="Básico",$C$24,IF(B77="Sucesivo",$C$25,$C$26)))</f>
        <v>24526.5066459098</v>
      </c>
      <c r="G77" s="59">
        <f>IF(B77="","",IF(B77="Opción de compra",0,(E77-$C$7*F77)*IF(B77="Sucesivo",$C$11,$C$9)))</f>
        <v>1842.71945289483</v>
      </c>
      <c r="H77" s="59">
        <f>IF(B77="","",F77-G77)</f>
        <v>22683.787193015</v>
      </c>
      <c r="I77" s="59">
        <f>IF(B77="","",E77-H77)</f>
        <v>131917.033774883</v>
      </c>
      <c r="J77" s="59">
        <f>IF(B77="","",IF(OR(inp_Tipo="Arrendamiento Puro",par_BaseIVAFin="Sobre renta",B77="Opción de compra"),F77,G77)*$C$14)</f>
        <v>3924.24106334557</v>
      </c>
      <c r="K77" s="59">
        <f>IF(B77="","",F77+J77)</f>
        <v>28450.7477092554</v>
      </c>
      <c r="L77" s="59">
        <f>IF(B77="","",F77-IF(A77=$C$38,$C$30,0))</f>
        <v>24526.5066459098</v>
      </c>
      <c r="M77" s="78">
        <f>IF(B77="","",$C$37*(1+$C$13)^(-C77))</f>
        <v>0.591153268203042</v>
      </c>
      <c r="N77" s="59">
        <f>IF(B77="","",L77*M77)</f>
        <v>14498.9245613332</v>
      </c>
      <c r="O77" s="59">
        <f>IF(B77="","",IF(B77="Básico",F77,0)-IF(A77=$C$38,$C$30,0))</f>
        <v>24526.5066459098</v>
      </c>
      <c r="P77" s="77">
        <f>IF(B77="",$C$31,D77)</f>
        <v>47239.0</v>
      </c>
      <c r="Q77" s="59">
        <f>IF(B77="",0,L77)</f>
        <v>24526.5066459098</v>
      </c>
      <c r="R77" s="59">
        <f>IF(B77="",0,-F77)</f>
        <v>-24526.5066459098</v>
      </c>
      <c r="S77" s="59">
        <f>IF(B77="","",O77*M77)</f>
        <v>14498.9245613332</v>
      </c>
    </row>
    <row r="78">
      <c r="A78" s="7" t="n">
        <v>33</v>
      </c>
      <c r="B78" s="7" t="str">
        <f>IF(A78&gt;$C$38,"",IF(A78&lt;=$C$5,"Básico",IF($C$6&gt;0,"Sucesivo","Opción de compra")))</f>
        <v>Básico</v>
      </c>
      <c r="C78" s="7">
        <f>IF(B78="","",IF(B78="Opción de compra",$C$5,A78-$C$7))</f>
        <v>32</v>
      </c>
      <c r="D78" s="77">
        <f>IF(B78="","",EDATE($C$33,C78))</f>
        <v>47270.0</v>
      </c>
      <c r="E78" s="59">
        <f>IF(B78="","",I77)</f>
        <v>131917.033774883</v>
      </c>
      <c r="F78" s="59">
        <f>IF(B78="","",IF(B78="Básico",$C$24,IF(B78="Sucesivo",$C$25,$C$26)))</f>
        <v>24526.5066459098</v>
      </c>
      <c r="G78" s="59">
        <f>IF(B78="","",IF(B78="Opción de compra",0,(E78-$C$7*F78)*IF(B78="Sucesivo",$C$11,$C$9)))</f>
        <v>1521.36580099379</v>
      </c>
      <c r="H78" s="59">
        <f>IF(B78="","",F78-G78)</f>
        <v>23005.140844916</v>
      </c>
      <c r="I78" s="59">
        <f>IF(B78="","",E78-H78)</f>
        <v>108911.892929967</v>
      </c>
      <c r="J78" s="59">
        <f>IF(B78="","",IF(OR(inp_Tipo="Arrendamiento Puro",par_BaseIVAFin="Sobre renta",B78="Opción de compra"),F78,G78)*$C$14)</f>
        <v>3924.24106334557</v>
      </c>
      <c r="K78" s="59">
        <f>IF(B78="","",F78+J78)</f>
        <v>28450.7477092554</v>
      </c>
      <c r="L78" s="59">
        <f>IF(B78="","",F78-IF(A78=$C$38,$C$30,0))</f>
        <v>24526.5066459098</v>
      </c>
      <c r="M78" s="78">
        <f>IF(B78="","",$C$37*(1+$C$13)^(-C78))</f>
        <v>0.581224024451987</v>
      </c>
      <c r="N78" s="59">
        <f>IF(B78="","",L78*M78)</f>
        <v>14255.3948984841</v>
      </c>
      <c r="O78" s="59">
        <f>IF(B78="","",IF(B78="Básico",F78,0)-IF(A78=$C$38,$C$30,0))</f>
        <v>24526.5066459098</v>
      </c>
      <c r="P78" s="77">
        <f>IF(B78="",$C$31,D78)</f>
        <v>47270.0</v>
      </c>
      <c r="Q78" s="59">
        <f>IF(B78="",0,L78)</f>
        <v>24526.5066459098</v>
      </c>
      <c r="R78" s="59">
        <f>IF(B78="",0,-F78)</f>
        <v>-24526.5066459098</v>
      </c>
      <c r="S78" s="59">
        <f>IF(B78="","",O78*M78)</f>
        <v>14255.3948984841</v>
      </c>
    </row>
    <row r="79">
      <c r="A79" s="7" t="n">
        <v>34</v>
      </c>
      <c r="B79" s="7" t="str">
        <f>IF(A79&gt;$C$38,"",IF(A79&lt;=$C$5,"Básico",IF($C$6&gt;0,"Sucesivo","Opción de compra")))</f>
        <v>Básico</v>
      </c>
      <c r="C79" s="7">
        <f>IF(B79="","",IF(B79="Opción de compra",$C$5,A79-$C$7))</f>
        <v>33</v>
      </c>
      <c r="D79" s="77">
        <f>IF(B79="","",EDATE($C$33,C79))</f>
        <v>47300.0</v>
      </c>
      <c r="E79" s="59">
        <f>IF(B79="","",I78)</f>
        <v>108911.892929967</v>
      </c>
      <c r="F79" s="59">
        <f>IF(B79="","",IF(B79="Básico",$C$24,IF(B79="Sucesivo",$C$25,$C$26)))</f>
        <v>24526.5066459098</v>
      </c>
      <c r="G79" s="59">
        <f>IF(B79="","",IF(B79="Opción de compra",0,(E79-$C$7*F79)*IF(B79="Sucesivo",$C$11,$C$9)))</f>
        <v>1195.45963902414</v>
      </c>
      <c r="H79" s="59">
        <f>IF(B79="","",F79-G79)</f>
        <v>23331.0470068857</v>
      </c>
      <c r="I79" s="59">
        <f>IF(B79="","",E79-H79)</f>
        <v>85580.8459230813</v>
      </c>
      <c r="J79" s="59">
        <f>IF(B79="","",IF(OR(inp_Tipo="Arrendamiento Puro",par_BaseIVAFin="Sobre renta",B79="Opción de compra"),F79,G79)*$C$14)</f>
        <v>3924.24106334557</v>
      </c>
      <c r="K79" s="59">
        <f>IF(B79="","",F79+J79)</f>
        <v>28450.7477092554</v>
      </c>
      <c r="L79" s="59">
        <f>IF(B79="","",F79-IF(A79=$C$38,$C$30,0))</f>
        <v>24526.5066459098</v>
      </c>
      <c r="M79" s="78">
        <f>IF(B79="","",$C$37*(1+$C$13)^(-C79))</f>
        <v>0.571461556200233</v>
      </c>
      <c r="N79" s="59">
        <f>IF(B79="","",L79*M79)</f>
        <v>14015.955656027</v>
      </c>
      <c r="O79" s="59">
        <f>IF(B79="","",IF(B79="Básico",F79,0)-IF(A79=$C$38,$C$30,0))</f>
        <v>24526.5066459098</v>
      </c>
      <c r="P79" s="77">
        <f>IF(B79="",$C$31,D79)</f>
        <v>47300.0</v>
      </c>
      <c r="Q79" s="59">
        <f>IF(B79="",0,L79)</f>
        <v>24526.5066459098</v>
      </c>
      <c r="R79" s="59">
        <f>IF(B79="",0,-F79)</f>
        <v>-24526.5066459098</v>
      </c>
      <c r="S79" s="59">
        <f>IF(B79="","",O79*M79)</f>
        <v>14015.955656027</v>
      </c>
    </row>
    <row r="80">
      <c r="A80" s="7" t="n">
        <v>35</v>
      </c>
      <c r="B80" s="7" t="str">
        <f>IF(A80&gt;$C$38,"",IF(A80&lt;=$C$5,"Básico",IF($C$6&gt;0,"Sucesivo","Opción de compra")))</f>
        <v>Básico</v>
      </c>
      <c r="C80" s="7">
        <f>IF(B80="","",IF(B80="Opción de compra",$C$5,A80-$C$7))</f>
        <v>34</v>
      </c>
      <c r="D80" s="77">
        <f>IF(B80="","",EDATE($C$33,C80))</f>
        <v>47331.0</v>
      </c>
      <c r="E80" s="59">
        <f>IF(B80="","",I79)</f>
        <v>85580.8459230813</v>
      </c>
      <c r="F80" s="59">
        <f>IF(B80="","",IF(B80="Básico",$C$24,IF(B80="Sucesivo",$C$25,$C$26)))</f>
        <v>24526.5066459098</v>
      </c>
      <c r="G80" s="59">
        <f>IF(B80="","",IF(B80="Opción de compra",0,(E80-$C$7*F80)*IF(B80="Sucesivo",$C$11,$C$9)))</f>
        <v>864.936473093263</v>
      </c>
      <c r="H80" s="59">
        <f>IF(B80="","",F80-G80)</f>
        <v>23661.5701728166</v>
      </c>
      <c r="I80" s="59">
        <f>IF(B80="","",E80-H80)</f>
        <v>61919.2757502648</v>
      </c>
      <c r="J80" s="59">
        <f>IF(B80="","",IF(OR(inp_Tipo="Arrendamiento Puro",par_BaseIVAFin="Sobre renta",B80="Opción de compra"),F80,G80)*$C$14)</f>
        <v>3924.24106334557</v>
      </c>
      <c r="K80" s="59">
        <f>IF(B80="","",F80+J80)</f>
        <v>28450.7477092554</v>
      </c>
      <c r="L80" s="59">
        <f>IF(B80="","",F80-IF(A80=$C$38,$C$30,0))</f>
        <v>24526.5066459098</v>
      </c>
      <c r="M80" s="78">
        <f>IF(B80="","",$C$37*(1+$C$13)^(-C80))</f>
        <v>0.561863062220631</v>
      </c>
      <c r="N80" s="59">
        <f>IF(B80="","",L80*M80)</f>
        <v>13780.5381296455</v>
      </c>
      <c r="O80" s="59">
        <f>IF(B80="","",IF(B80="Básico",F80,0)-IF(A80=$C$38,$C$30,0))</f>
        <v>24526.5066459098</v>
      </c>
      <c r="P80" s="77">
        <f>IF(B80="",$C$31,D80)</f>
        <v>47331.0</v>
      </c>
      <c r="Q80" s="59">
        <f>IF(B80="",0,L80)</f>
        <v>24526.5066459098</v>
      </c>
      <c r="R80" s="59">
        <f>IF(B80="",0,-F80)</f>
        <v>-24526.5066459098</v>
      </c>
      <c r="S80" s="59">
        <f>IF(B80="","",O80*M80)</f>
        <v>13780.5381296455</v>
      </c>
    </row>
    <row r="81">
      <c r="A81" s="7" t="n">
        <v>36</v>
      </c>
      <c r="B81" s="7" t="str">
        <f>IF(A81&gt;$C$38,"",IF(A81&lt;=$C$5,"Básico",IF($C$6&gt;0,"Sucesivo","Opción de compra")))</f>
        <v>Básico</v>
      </c>
      <c r="C81" s="7">
        <f>IF(B81="","",IF(B81="Opción de compra",$C$5,A81-$C$7))</f>
        <v>35</v>
      </c>
      <c r="D81" s="77">
        <f>IF(B81="","",EDATE($C$33,C81))</f>
        <v>47362.0</v>
      </c>
      <c r="E81" s="59">
        <f>IF(B81="","",I80)</f>
        <v>61919.2757502648</v>
      </c>
      <c r="F81" s="59">
        <f>IF(B81="","",IF(B81="Básico",$C$24,IF(B81="Sucesivo",$C$25,$C$26)))</f>
        <v>24526.5066459098</v>
      </c>
      <c r="G81" s="59">
        <f>IF(B81="","",IF(B81="Opción de compra",0,(E81-$C$7*F81)*IF(B81="Sucesivo",$C$11,$C$9)))</f>
        <v>529.730895645028</v>
      </c>
      <c r="H81" s="59">
        <f>IF(B81="","",F81-G81)</f>
        <v>23996.7757502648</v>
      </c>
      <c r="I81" s="59">
        <f>IF(B81="","",E81-H81)</f>
        <v>37922.5</v>
      </c>
      <c r="J81" s="59">
        <f>IF(B81="","",IF(OR(inp_Tipo="Arrendamiento Puro",par_BaseIVAFin="Sobre renta",B81="Opción de compra"),F81,G81)*$C$14)</f>
        <v>3924.24106334557</v>
      </c>
      <c r="K81" s="59">
        <f>IF(B81="","",F81+J81)</f>
        <v>28450.7477092554</v>
      </c>
      <c r="L81" s="59">
        <f>IF(B81="","",F81-IF(A81=$C$38,$C$30,0))</f>
        <v>24526.5066459098</v>
      </c>
      <c r="M81" s="78">
        <f>IF(B81="","",$C$37*(1+$C$13)^(-C81))</f>
        <v>0.552425788336548</v>
      </c>
      <c r="N81" s="59">
        <f>IF(B81="","",L81*M81)</f>
        <v>13549.0747690083</v>
      </c>
      <c r="O81" s="59">
        <f>IF(B81="","",IF(B81="Básico",F81,0)-IF(A81=$C$38,$C$30,0))</f>
        <v>24526.5066459098</v>
      </c>
      <c r="P81" s="77">
        <f>IF(B81="",$C$31,D81)</f>
        <v>47362.0</v>
      </c>
      <c r="Q81" s="59">
        <f>IF(B81="",0,L81)</f>
        <v>24526.5066459098</v>
      </c>
      <c r="R81" s="59">
        <f>IF(B81="",0,-F81)</f>
        <v>-24526.5066459098</v>
      </c>
      <c r="S81" s="59">
        <f>IF(B81="","",O81*M81)</f>
        <v>13549.0747690083</v>
      </c>
    </row>
    <row r="82">
      <c r="A82" s="7" t="n">
        <v>37</v>
      </c>
      <c r="B82" s="7" t="str">
        <f>IF(A82&gt;$C$38,"",IF(A82&lt;=$C$5,"Básico",IF($C$6&gt;0,"Sucesivo","Opción de compra")))</f>
        <v>Sucesivo</v>
      </c>
      <c r="C82" s="7">
        <f>IF(B82="","",IF(B82="Opción de compra",$C$5,A82-$C$7))</f>
        <v>36</v>
      </c>
      <c r="D82" s="77">
        <f>IF(B82="","",EDATE($C$33,C82))</f>
        <v>47392.0</v>
      </c>
      <c r="E82" s="59">
        <f>IF(B82="","",I81)</f>
        <v>37922.5</v>
      </c>
      <c r="F82" s="59">
        <f>IF(B82="","",IF(B82="Básico",$C$24,IF(B82="Sucesivo",$C$25,$C$26)))</f>
        <v>37922.5</v>
      </c>
      <c r="G82" s="59">
        <f>IF(B82="","",IF(B82="Opción de compra",0,(E82-$C$7*F82)*IF(B82="Sucesivo",$C$11,$C$9)))</f>
        <v>0</v>
      </c>
      <c r="H82" s="59">
        <f>IF(B82="","",F82-G82)</f>
        <v>37922.5</v>
      </c>
      <c r="I82" s="59">
        <f>IF(B82="","",E82-H82)</f>
        <v>0</v>
      </c>
      <c r="J82" s="59">
        <f>IF(B82="","",IF(OR(inp_Tipo="Arrendamiento Puro",par_BaseIVAFin="Sobre renta",B82="Opción de compra"),F82,G82)*$C$14)</f>
        <v>6067.6</v>
      </c>
      <c r="K82" s="59">
        <f>IF(B82="","",F82+J82)</f>
        <v>43990.1</v>
      </c>
      <c r="L82" s="59">
        <f>IF(B82="","",F82-IF(A82=$C$38,$C$30,0))</f>
        <v>9471.7522907446</v>
      </c>
      <c r="M82" s="78">
        <f>IF(B82="","",$C$37*(1+$C$13)^(-C82))</f>
        <v>0.543147026631592</v>
      </c>
      <c r="N82" s="59">
        <f>IF(B82="","",L82*M82)</f>
        <v>5144.5540937089</v>
      </c>
      <c r="O82" s="59">
        <f>IF(B82="","",IF(B82="Básico",F82,0)-IF(A82=$C$38,$C$30,0))</f>
        <v>-28450.7477092554</v>
      </c>
      <c r="P82" s="77">
        <f>IF(B82="",$C$31,D82)</f>
        <v>47392.0</v>
      </c>
      <c r="Q82" s="59">
        <f>IF(B82="",0,L82)</f>
        <v>9471.7522907446</v>
      </c>
      <c r="R82" s="59">
        <f>IF(B82="",0,-F82)</f>
        <v>-37922.5</v>
      </c>
      <c r="S82" s="59">
        <f>IF(B82="","",O82*M82)</f>
        <v>-15452.9390237276</v>
      </c>
    </row>
    <row r="83">
      <c r="A83" s="7" t="n">
        <v>38</v>
      </c>
      <c r="B83" s="7" t="str">
        <f>IF(A83&gt;$C$38,"",IF(A83&lt;=$C$5,"Básico",IF($C$6&gt;0,"Sucesivo","Opción de compra")))</f>
        <v/>
      </c>
      <c r="C83" s="7" t="str">
        <f>IF(B83="","",IF(B83="Opción de compra",$C$5,A83-$C$7))</f>
        <v/>
      </c>
      <c r="D83" s="77" t="str">
        <f>IF(B83="","",EDATE($C$33,C83))</f>
        <v/>
      </c>
      <c r="E83" s="59" t="str">
        <f>IF(B83="","",I82)</f>
        <v/>
      </c>
      <c r="F83" s="59" t="str">
        <f>IF(B83="","",IF(B83="Básico",$C$24,IF(B83="Sucesivo",$C$25,$C$26)))</f>
        <v/>
      </c>
      <c r="G83" s="59" t="str">
        <f>IF(B83="","",IF(B83="Opción de compra",0,(E83-$C$7*F83)*IF(B83="Sucesivo",$C$11,$C$9)))</f>
        <v/>
      </c>
      <c r="H83" s="59" t="str">
        <f>IF(B83="","",F83-G83)</f>
        <v/>
      </c>
      <c r="I83" s="59" t="str">
        <f>IF(B83="","",E83-H83)</f>
        <v/>
      </c>
      <c r="J83" s="59" t="str">
        <f>IF(B83="","",IF(OR(inp_Tipo="Arrendamiento Puro",par_BaseIVAFin="Sobre renta",B83="Opción de compra"),F83,G83)*$C$14)</f>
        <v/>
      </c>
      <c r="K83" s="59" t="str">
        <f>IF(B83="","",F83+J83)</f>
        <v/>
      </c>
      <c r="L83" s="59" t="str">
        <f>IF(B83="","",F83-IF(A83=$C$38,$C$30,0))</f>
        <v/>
      </c>
      <c r="M83" s="78" t="str">
        <f>IF(B83="","",$C$37*(1+$C$13)^(-C83))</f>
        <v/>
      </c>
      <c r="N83" s="59" t="str">
        <f>IF(B83="","",L83*M83)</f>
        <v/>
      </c>
      <c r="O83" s="59" t="str">
        <f>IF(B83="","",IF(B83="Básico",F83,0)-IF(A83=$C$38,$C$30,0))</f>
        <v/>
      </c>
      <c r="P83" s="77">
        <f>IF(B83="",$C$31,D83)</f>
        <v>46295.0</v>
      </c>
      <c r="Q83" s="59">
        <f>IF(B83="",0,L83)</f>
        <v>0</v>
      </c>
      <c r="R83" s="59">
        <f>IF(B83="",0,-F83)</f>
        <v>0</v>
      </c>
      <c r="S83" s="59" t="str">
        <f>IF(B83="","",O83*M83)</f>
        <v/>
      </c>
    </row>
    <row r="84">
      <c r="A84" s="7" t="n">
        <v>39</v>
      </c>
      <c r="B84" s="7" t="str">
        <f>IF(A84&gt;$C$38,"",IF(A84&lt;=$C$5,"Básico",IF($C$6&gt;0,"Sucesivo","Opción de compra")))</f>
        <v/>
      </c>
      <c r="C84" s="7" t="str">
        <f>IF(B84="","",IF(B84="Opción de compra",$C$5,A84-$C$7))</f>
        <v/>
      </c>
      <c r="D84" s="77" t="str">
        <f>IF(B84="","",EDATE($C$33,C84))</f>
        <v/>
      </c>
      <c r="E84" s="59" t="str">
        <f>IF(B84="","",I83)</f>
        <v/>
      </c>
      <c r="F84" s="59" t="str">
        <f>IF(B84="","",IF(B84="Básico",$C$24,IF(B84="Sucesivo",$C$25,$C$26)))</f>
        <v/>
      </c>
      <c r="G84" s="59" t="str">
        <f>IF(B84="","",IF(B84="Opción de compra",0,(E84-$C$7*F84)*IF(B84="Sucesivo",$C$11,$C$9)))</f>
        <v/>
      </c>
      <c r="H84" s="59" t="str">
        <f>IF(B84="","",F84-G84)</f>
        <v/>
      </c>
      <c r="I84" s="59" t="str">
        <f>IF(B84="","",E84-H84)</f>
        <v/>
      </c>
      <c r="J84" s="59" t="str">
        <f>IF(B84="","",IF(OR(inp_Tipo="Arrendamiento Puro",par_BaseIVAFin="Sobre renta",B84="Opción de compra"),F84,G84)*$C$14)</f>
        <v/>
      </c>
      <c r="K84" s="59" t="str">
        <f>IF(B84="","",F84+J84)</f>
        <v/>
      </c>
      <c r="L84" s="59" t="str">
        <f>IF(B84="","",F84-IF(A84=$C$38,$C$30,0))</f>
        <v/>
      </c>
      <c r="M84" s="78" t="str">
        <f>IF(B84="","",$C$37*(1+$C$13)^(-C84))</f>
        <v/>
      </c>
      <c r="N84" s="59" t="str">
        <f>IF(B84="","",L84*M84)</f>
        <v/>
      </c>
      <c r="O84" s="59" t="str">
        <f>IF(B84="","",IF(B84="Básico",F84,0)-IF(A84=$C$38,$C$30,0))</f>
        <v/>
      </c>
      <c r="P84" s="77">
        <f>IF(B84="",$C$31,D84)</f>
        <v>46295.0</v>
      </c>
      <c r="Q84" s="59">
        <f>IF(B84="",0,L84)</f>
        <v>0</v>
      </c>
      <c r="R84" s="59">
        <f>IF(B84="",0,-F84)</f>
        <v>0</v>
      </c>
      <c r="S84" s="59" t="str">
        <f>IF(B84="","",O84*M84)</f>
        <v/>
      </c>
    </row>
    <row r="85">
      <c r="A85" s="7" t="n">
        <v>40</v>
      </c>
      <c r="B85" s="7" t="str">
        <f>IF(A85&gt;$C$38,"",IF(A85&lt;=$C$5,"Básico",IF($C$6&gt;0,"Sucesivo","Opción de compra")))</f>
        <v/>
      </c>
      <c r="C85" s="7" t="str">
        <f>IF(B85="","",IF(B85="Opción de compra",$C$5,A85-$C$7))</f>
        <v/>
      </c>
      <c r="D85" s="77" t="str">
        <f>IF(B85="","",EDATE($C$33,C85))</f>
        <v/>
      </c>
      <c r="E85" s="59" t="str">
        <f>IF(B85="","",I84)</f>
        <v/>
      </c>
      <c r="F85" s="59" t="str">
        <f>IF(B85="","",IF(B85="Básico",$C$24,IF(B85="Sucesivo",$C$25,$C$26)))</f>
        <v/>
      </c>
      <c r="G85" s="59" t="str">
        <f>IF(B85="","",IF(B85="Opción de compra",0,(E85-$C$7*F85)*IF(B85="Sucesivo",$C$11,$C$9)))</f>
        <v/>
      </c>
      <c r="H85" s="59" t="str">
        <f>IF(B85="","",F85-G85)</f>
        <v/>
      </c>
      <c r="I85" s="59" t="str">
        <f>IF(B85="","",E85-H85)</f>
        <v/>
      </c>
      <c r="J85" s="59" t="str">
        <f>IF(B85="","",IF(OR(inp_Tipo="Arrendamiento Puro",par_BaseIVAFin="Sobre renta",B85="Opción de compra"),F85,G85)*$C$14)</f>
        <v/>
      </c>
      <c r="K85" s="59" t="str">
        <f>IF(B85="","",F85+J85)</f>
        <v/>
      </c>
      <c r="L85" s="59" t="str">
        <f>IF(B85="","",F85-IF(A85=$C$38,$C$30,0))</f>
        <v/>
      </c>
      <c r="M85" s="78" t="str">
        <f>IF(B85="","",$C$37*(1+$C$13)^(-C85))</f>
        <v/>
      </c>
      <c r="N85" s="59" t="str">
        <f>IF(B85="","",L85*M85)</f>
        <v/>
      </c>
      <c r="O85" s="59" t="str">
        <f>IF(B85="","",IF(B85="Básico",F85,0)-IF(A85=$C$38,$C$30,0))</f>
        <v/>
      </c>
      <c r="P85" s="77">
        <f>IF(B85="",$C$31,D85)</f>
        <v>46295.0</v>
      </c>
      <c r="Q85" s="59">
        <f>IF(B85="",0,L85)</f>
        <v>0</v>
      </c>
      <c r="R85" s="59">
        <f>IF(B85="",0,-F85)</f>
        <v>0</v>
      </c>
      <c r="S85" s="59" t="str">
        <f>IF(B85="","",O85*M85)</f>
        <v/>
      </c>
    </row>
    <row r="86">
      <c r="A86" s="7" t="n">
        <v>41</v>
      </c>
      <c r="B86" s="7" t="str">
        <f>IF(A86&gt;$C$38,"",IF(A86&lt;=$C$5,"Básico",IF($C$6&gt;0,"Sucesivo","Opción de compra")))</f>
        <v/>
      </c>
      <c r="C86" s="7" t="str">
        <f>IF(B86="","",IF(B86="Opción de compra",$C$5,A86-$C$7))</f>
        <v/>
      </c>
      <c r="D86" s="77" t="str">
        <f>IF(B86="","",EDATE($C$33,C86))</f>
        <v/>
      </c>
      <c r="E86" s="59" t="str">
        <f>IF(B86="","",I85)</f>
        <v/>
      </c>
      <c r="F86" s="59" t="str">
        <f>IF(B86="","",IF(B86="Básico",$C$24,IF(B86="Sucesivo",$C$25,$C$26)))</f>
        <v/>
      </c>
      <c r="G86" s="59" t="str">
        <f>IF(B86="","",IF(B86="Opción de compra",0,(E86-$C$7*F86)*IF(B86="Sucesivo",$C$11,$C$9)))</f>
        <v/>
      </c>
      <c r="H86" s="59" t="str">
        <f>IF(B86="","",F86-G86)</f>
        <v/>
      </c>
      <c r="I86" s="59" t="str">
        <f>IF(B86="","",E86-H86)</f>
        <v/>
      </c>
      <c r="J86" s="59" t="str">
        <f>IF(B86="","",IF(OR(inp_Tipo="Arrendamiento Puro",par_BaseIVAFin="Sobre renta",B86="Opción de compra"),F86,G86)*$C$14)</f>
        <v/>
      </c>
      <c r="K86" s="59" t="str">
        <f>IF(B86="","",F86+J86)</f>
        <v/>
      </c>
      <c r="L86" s="59" t="str">
        <f>IF(B86="","",F86-IF(A86=$C$38,$C$30,0))</f>
        <v/>
      </c>
      <c r="M86" s="78" t="str">
        <f>IF(B86="","",$C$37*(1+$C$13)^(-C86))</f>
        <v/>
      </c>
      <c r="N86" s="59" t="str">
        <f>IF(B86="","",L86*M86)</f>
        <v/>
      </c>
      <c r="O86" s="59" t="str">
        <f>IF(B86="","",IF(B86="Básico",F86,0)-IF(A86=$C$38,$C$30,0))</f>
        <v/>
      </c>
      <c r="P86" s="77">
        <f>IF(B86="",$C$31,D86)</f>
        <v>46295.0</v>
      </c>
      <c r="Q86" s="59">
        <f>IF(B86="",0,L86)</f>
        <v>0</v>
      </c>
      <c r="R86" s="59">
        <f>IF(B86="",0,-F86)</f>
        <v>0</v>
      </c>
      <c r="S86" s="59" t="str">
        <f>IF(B86="","",O86*M86)</f>
        <v/>
      </c>
    </row>
    <row r="87">
      <c r="A87" s="7" t="n">
        <v>42</v>
      </c>
      <c r="B87" s="7" t="str">
        <f>IF(A87&gt;$C$38,"",IF(A87&lt;=$C$5,"Básico",IF($C$6&gt;0,"Sucesivo","Opción de compra")))</f>
        <v/>
      </c>
      <c r="C87" s="7" t="str">
        <f>IF(B87="","",IF(B87="Opción de compra",$C$5,A87-$C$7))</f>
        <v/>
      </c>
      <c r="D87" s="77" t="str">
        <f>IF(B87="","",EDATE($C$33,C87))</f>
        <v/>
      </c>
      <c r="E87" s="59" t="str">
        <f>IF(B87="","",I86)</f>
        <v/>
      </c>
      <c r="F87" s="59" t="str">
        <f>IF(B87="","",IF(B87="Básico",$C$24,IF(B87="Sucesivo",$C$25,$C$26)))</f>
        <v/>
      </c>
      <c r="G87" s="59" t="str">
        <f>IF(B87="","",IF(B87="Opción de compra",0,(E87-$C$7*F87)*IF(B87="Sucesivo",$C$11,$C$9)))</f>
        <v/>
      </c>
      <c r="H87" s="59" t="str">
        <f>IF(B87="","",F87-G87)</f>
        <v/>
      </c>
      <c r="I87" s="59" t="str">
        <f>IF(B87="","",E87-H87)</f>
        <v/>
      </c>
      <c r="J87" s="59" t="str">
        <f>IF(B87="","",IF(OR(inp_Tipo="Arrendamiento Puro",par_BaseIVAFin="Sobre renta",B87="Opción de compra"),F87,G87)*$C$14)</f>
        <v/>
      </c>
      <c r="K87" s="59" t="str">
        <f>IF(B87="","",F87+J87)</f>
        <v/>
      </c>
      <c r="L87" s="59" t="str">
        <f>IF(B87="","",F87-IF(A87=$C$38,$C$30,0))</f>
        <v/>
      </c>
      <c r="M87" s="78" t="str">
        <f>IF(B87="","",$C$37*(1+$C$13)^(-C87))</f>
        <v/>
      </c>
      <c r="N87" s="59" t="str">
        <f>IF(B87="","",L87*M87)</f>
        <v/>
      </c>
      <c r="O87" s="59" t="str">
        <f>IF(B87="","",IF(B87="Básico",F87,0)-IF(A87=$C$38,$C$30,0))</f>
        <v/>
      </c>
      <c r="P87" s="77">
        <f>IF(B87="",$C$31,D87)</f>
        <v>46295.0</v>
      </c>
      <c r="Q87" s="59">
        <f>IF(B87="",0,L87)</f>
        <v>0</v>
      </c>
      <c r="R87" s="59">
        <f>IF(B87="",0,-F87)</f>
        <v>0</v>
      </c>
      <c r="S87" s="59" t="str">
        <f>IF(B87="","",O87*M87)</f>
        <v/>
      </c>
    </row>
    <row r="88">
      <c r="A88" s="7" t="n">
        <v>43</v>
      </c>
      <c r="B88" s="7" t="str">
        <f>IF(A88&gt;$C$38,"",IF(A88&lt;=$C$5,"Básico",IF($C$6&gt;0,"Sucesivo","Opción de compra")))</f>
        <v/>
      </c>
      <c r="C88" s="7" t="str">
        <f>IF(B88="","",IF(B88="Opción de compra",$C$5,A88-$C$7))</f>
        <v/>
      </c>
      <c r="D88" s="77" t="str">
        <f>IF(B88="","",EDATE($C$33,C88))</f>
        <v/>
      </c>
      <c r="E88" s="59" t="str">
        <f>IF(B88="","",I87)</f>
        <v/>
      </c>
      <c r="F88" s="59" t="str">
        <f>IF(B88="","",IF(B88="Básico",$C$24,IF(B88="Sucesivo",$C$25,$C$26)))</f>
        <v/>
      </c>
      <c r="G88" s="59" t="str">
        <f>IF(B88="","",IF(B88="Opción de compra",0,(E88-$C$7*F88)*IF(B88="Sucesivo",$C$11,$C$9)))</f>
        <v/>
      </c>
      <c r="H88" s="59" t="str">
        <f>IF(B88="","",F88-G88)</f>
        <v/>
      </c>
      <c r="I88" s="59" t="str">
        <f>IF(B88="","",E88-H88)</f>
        <v/>
      </c>
      <c r="J88" s="59" t="str">
        <f>IF(B88="","",IF(OR(inp_Tipo="Arrendamiento Puro",par_BaseIVAFin="Sobre renta",B88="Opción de compra"),F88,G88)*$C$14)</f>
        <v/>
      </c>
      <c r="K88" s="59" t="str">
        <f>IF(B88="","",F88+J88)</f>
        <v/>
      </c>
      <c r="L88" s="59" t="str">
        <f>IF(B88="","",F88-IF(A88=$C$38,$C$30,0))</f>
        <v/>
      </c>
      <c r="M88" s="78" t="str">
        <f>IF(B88="","",$C$37*(1+$C$13)^(-C88))</f>
        <v/>
      </c>
      <c r="N88" s="59" t="str">
        <f>IF(B88="","",L88*M88)</f>
        <v/>
      </c>
      <c r="O88" s="59" t="str">
        <f>IF(B88="","",IF(B88="Básico",F88,0)-IF(A88=$C$38,$C$30,0))</f>
        <v/>
      </c>
      <c r="P88" s="77">
        <f>IF(B88="",$C$31,D88)</f>
        <v>46295.0</v>
      </c>
      <c r="Q88" s="59">
        <f>IF(B88="",0,L88)</f>
        <v>0</v>
      </c>
      <c r="R88" s="59">
        <f>IF(B88="",0,-F88)</f>
        <v>0</v>
      </c>
      <c r="S88" s="59" t="str">
        <f>IF(B88="","",O88*M88)</f>
        <v/>
      </c>
    </row>
    <row r="89">
      <c r="A89" s="7" t="n">
        <v>44</v>
      </c>
      <c r="B89" s="7" t="str">
        <f>IF(A89&gt;$C$38,"",IF(A89&lt;=$C$5,"Básico",IF($C$6&gt;0,"Sucesivo","Opción de compra")))</f>
        <v/>
      </c>
      <c r="C89" s="7" t="str">
        <f>IF(B89="","",IF(B89="Opción de compra",$C$5,A89-$C$7))</f>
        <v/>
      </c>
      <c r="D89" s="77" t="str">
        <f>IF(B89="","",EDATE($C$33,C89))</f>
        <v/>
      </c>
      <c r="E89" s="59" t="str">
        <f>IF(B89="","",I88)</f>
        <v/>
      </c>
      <c r="F89" s="59" t="str">
        <f>IF(B89="","",IF(B89="Básico",$C$24,IF(B89="Sucesivo",$C$25,$C$26)))</f>
        <v/>
      </c>
      <c r="G89" s="59" t="str">
        <f>IF(B89="","",IF(B89="Opción de compra",0,(E89-$C$7*F89)*IF(B89="Sucesivo",$C$11,$C$9)))</f>
        <v/>
      </c>
      <c r="H89" s="59" t="str">
        <f>IF(B89="","",F89-G89)</f>
        <v/>
      </c>
      <c r="I89" s="59" t="str">
        <f>IF(B89="","",E89-H89)</f>
        <v/>
      </c>
      <c r="J89" s="59" t="str">
        <f>IF(B89="","",IF(OR(inp_Tipo="Arrendamiento Puro",par_BaseIVAFin="Sobre renta",B89="Opción de compra"),F89,G89)*$C$14)</f>
        <v/>
      </c>
      <c r="K89" s="59" t="str">
        <f>IF(B89="","",F89+J89)</f>
        <v/>
      </c>
      <c r="L89" s="59" t="str">
        <f>IF(B89="","",F89-IF(A89=$C$38,$C$30,0))</f>
        <v/>
      </c>
      <c r="M89" s="78" t="str">
        <f>IF(B89="","",$C$37*(1+$C$13)^(-C89))</f>
        <v/>
      </c>
      <c r="N89" s="59" t="str">
        <f>IF(B89="","",L89*M89)</f>
        <v/>
      </c>
      <c r="O89" s="59" t="str">
        <f>IF(B89="","",IF(B89="Básico",F89,0)-IF(A89=$C$38,$C$30,0))</f>
        <v/>
      </c>
      <c r="P89" s="77">
        <f>IF(B89="",$C$31,D89)</f>
        <v>46295.0</v>
      </c>
      <c r="Q89" s="59">
        <f>IF(B89="",0,L89)</f>
        <v>0</v>
      </c>
      <c r="R89" s="59">
        <f>IF(B89="",0,-F89)</f>
        <v>0</v>
      </c>
      <c r="S89" s="59" t="str">
        <f>IF(B89="","",O89*M89)</f>
        <v/>
      </c>
    </row>
    <row r="90">
      <c r="A90" s="7" t="n">
        <v>45</v>
      </c>
      <c r="B90" s="7" t="str">
        <f>IF(A90&gt;$C$38,"",IF(A90&lt;=$C$5,"Básico",IF($C$6&gt;0,"Sucesivo","Opción de compra")))</f>
        <v/>
      </c>
      <c r="C90" s="7" t="str">
        <f>IF(B90="","",IF(B90="Opción de compra",$C$5,A90-$C$7))</f>
        <v/>
      </c>
      <c r="D90" s="77" t="str">
        <f>IF(B90="","",EDATE($C$33,C90))</f>
        <v/>
      </c>
      <c r="E90" s="59" t="str">
        <f>IF(B90="","",I89)</f>
        <v/>
      </c>
      <c r="F90" s="59" t="str">
        <f>IF(B90="","",IF(B90="Básico",$C$24,IF(B90="Sucesivo",$C$25,$C$26)))</f>
        <v/>
      </c>
      <c r="G90" s="59" t="str">
        <f>IF(B90="","",IF(B90="Opción de compra",0,(E90-$C$7*F90)*IF(B90="Sucesivo",$C$11,$C$9)))</f>
        <v/>
      </c>
      <c r="H90" s="59" t="str">
        <f>IF(B90="","",F90-G90)</f>
        <v/>
      </c>
      <c r="I90" s="59" t="str">
        <f>IF(B90="","",E90-H90)</f>
        <v/>
      </c>
      <c r="J90" s="59" t="str">
        <f>IF(B90="","",IF(OR(inp_Tipo="Arrendamiento Puro",par_BaseIVAFin="Sobre renta",B90="Opción de compra"),F90,G90)*$C$14)</f>
        <v/>
      </c>
      <c r="K90" s="59" t="str">
        <f>IF(B90="","",F90+J90)</f>
        <v/>
      </c>
      <c r="L90" s="59" t="str">
        <f>IF(B90="","",F90-IF(A90=$C$38,$C$30,0))</f>
        <v/>
      </c>
      <c r="M90" s="78" t="str">
        <f>IF(B90="","",$C$37*(1+$C$13)^(-C90))</f>
        <v/>
      </c>
      <c r="N90" s="59" t="str">
        <f>IF(B90="","",L90*M90)</f>
        <v/>
      </c>
      <c r="O90" s="59" t="str">
        <f>IF(B90="","",IF(B90="Básico",F90,0)-IF(A90=$C$38,$C$30,0))</f>
        <v/>
      </c>
      <c r="P90" s="77">
        <f>IF(B90="",$C$31,D90)</f>
        <v>46295.0</v>
      </c>
      <c r="Q90" s="59">
        <f>IF(B90="",0,L90)</f>
        <v>0</v>
      </c>
      <c r="R90" s="59">
        <f>IF(B90="",0,-F90)</f>
        <v>0</v>
      </c>
      <c r="S90" s="59" t="str">
        <f>IF(B90="","",O90*M90)</f>
        <v/>
      </c>
    </row>
    <row r="91">
      <c r="A91" s="7" t="n">
        <v>46</v>
      </c>
      <c r="B91" s="7" t="str">
        <f>IF(A91&gt;$C$38,"",IF(A91&lt;=$C$5,"Básico",IF($C$6&gt;0,"Sucesivo","Opción de compra")))</f>
        <v/>
      </c>
      <c r="C91" s="7" t="str">
        <f>IF(B91="","",IF(B91="Opción de compra",$C$5,A91-$C$7))</f>
        <v/>
      </c>
      <c r="D91" s="77" t="str">
        <f>IF(B91="","",EDATE($C$33,C91))</f>
        <v/>
      </c>
      <c r="E91" s="59" t="str">
        <f>IF(B91="","",I90)</f>
        <v/>
      </c>
      <c r="F91" s="59" t="str">
        <f>IF(B91="","",IF(B91="Básico",$C$24,IF(B91="Sucesivo",$C$25,$C$26)))</f>
        <v/>
      </c>
      <c r="G91" s="59" t="str">
        <f>IF(B91="","",IF(B91="Opción de compra",0,(E91-$C$7*F91)*IF(B91="Sucesivo",$C$11,$C$9)))</f>
        <v/>
      </c>
      <c r="H91" s="59" t="str">
        <f>IF(B91="","",F91-G91)</f>
        <v/>
      </c>
      <c r="I91" s="59" t="str">
        <f>IF(B91="","",E91-H91)</f>
        <v/>
      </c>
      <c r="J91" s="59" t="str">
        <f>IF(B91="","",IF(OR(inp_Tipo="Arrendamiento Puro",par_BaseIVAFin="Sobre renta",B91="Opción de compra"),F91,G91)*$C$14)</f>
        <v/>
      </c>
      <c r="K91" s="59" t="str">
        <f>IF(B91="","",F91+J91)</f>
        <v/>
      </c>
      <c r="L91" s="59" t="str">
        <f>IF(B91="","",F91-IF(A91=$C$38,$C$30,0))</f>
        <v/>
      </c>
      <c r="M91" s="78" t="str">
        <f>IF(B91="","",$C$37*(1+$C$13)^(-C91))</f>
        <v/>
      </c>
      <c r="N91" s="59" t="str">
        <f>IF(B91="","",L91*M91)</f>
        <v/>
      </c>
      <c r="O91" s="59" t="str">
        <f>IF(B91="","",IF(B91="Básico",F91,0)-IF(A91=$C$38,$C$30,0))</f>
        <v/>
      </c>
      <c r="P91" s="77">
        <f>IF(B91="",$C$31,D91)</f>
        <v>46295.0</v>
      </c>
      <c r="Q91" s="59">
        <f>IF(B91="",0,L91)</f>
        <v>0</v>
      </c>
      <c r="R91" s="59">
        <f>IF(B91="",0,-F91)</f>
        <v>0</v>
      </c>
      <c r="S91" s="59" t="str">
        <f>IF(B91="","",O91*M91)</f>
        <v/>
      </c>
    </row>
    <row r="92">
      <c r="A92" s="7" t="n">
        <v>47</v>
      </c>
      <c r="B92" s="7" t="str">
        <f>IF(A92&gt;$C$38,"",IF(A92&lt;=$C$5,"Básico",IF($C$6&gt;0,"Sucesivo","Opción de compra")))</f>
        <v/>
      </c>
      <c r="C92" s="7" t="str">
        <f>IF(B92="","",IF(B92="Opción de compra",$C$5,A92-$C$7))</f>
        <v/>
      </c>
      <c r="D92" s="77" t="str">
        <f>IF(B92="","",EDATE($C$33,C92))</f>
        <v/>
      </c>
      <c r="E92" s="59" t="str">
        <f>IF(B92="","",I91)</f>
        <v/>
      </c>
      <c r="F92" s="59" t="str">
        <f>IF(B92="","",IF(B92="Básico",$C$24,IF(B92="Sucesivo",$C$25,$C$26)))</f>
        <v/>
      </c>
      <c r="G92" s="59" t="str">
        <f>IF(B92="","",IF(B92="Opción de compra",0,(E92-$C$7*F92)*IF(B92="Sucesivo",$C$11,$C$9)))</f>
        <v/>
      </c>
      <c r="H92" s="59" t="str">
        <f>IF(B92="","",F92-G92)</f>
        <v/>
      </c>
      <c r="I92" s="59" t="str">
        <f>IF(B92="","",E92-H92)</f>
        <v/>
      </c>
      <c r="J92" s="59" t="str">
        <f>IF(B92="","",IF(OR(inp_Tipo="Arrendamiento Puro",par_BaseIVAFin="Sobre renta",B92="Opción de compra"),F92,G92)*$C$14)</f>
        <v/>
      </c>
      <c r="K92" s="59" t="str">
        <f>IF(B92="","",F92+J92)</f>
        <v/>
      </c>
      <c r="L92" s="59" t="str">
        <f>IF(B92="","",F92-IF(A92=$C$38,$C$30,0))</f>
        <v/>
      </c>
      <c r="M92" s="78" t="str">
        <f>IF(B92="","",$C$37*(1+$C$13)^(-C92))</f>
        <v/>
      </c>
      <c r="N92" s="59" t="str">
        <f>IF(B92="","",L92*M92)</f>
        <v/>
      </c>
      <c r="O92" s="59" t="str">
        <f>IF(B92="","",IF(B92="Básico",F92,0)-IF(A92=$C$38,$C$30,0))</f>
        <v/>
      </c>
      <c r="P92" s="77">
        <f>IF(B92="",$C$31,D92)</f>
        <v>46295.0</v>
      </c>
      <c r="Q92" s="59">
        <f>IF(B92="",0,L92)</f>
        <v>0</v>
      </c>
      <c r="R92" s="59">
        <f>IF(B92="",0,-F92)</f>
        <v>0</v>
      </c>
      <c r="S92" s="59" t="str">
        <f>IF(B92="","",O92*M92)</f>
        <v/>
      </c>
    </row>
    <row r="93">
      <c r="A93" s="7" t="n">
        <v>48</v>
      </c>
      <c r="B93" s="7" t="str">
        <f>IF(A93&gt;$C$38,"",IF(A93&lt;=$C$5,"Básico",IF($C$6&gt;0,"Sucesivo","Opción de compra")))</f>
        <v/>
      </c>
      <c r="C93" s="7" t="str">
        <f>IF(B93="","",IF(B93="Opción de compra",$C$5,A93-$C$7))</f>
        <v/>
      </c>
      <c r="D93" s="77" t="str">
        <f>IF(B93="","",EDATE($C$33,C93))</f>
        <v/>
      </c>
      <c r="E93" s="59" t="str">
        <f>IF(B93="","",I92)</f>
        <v/>
      </c>
      <c r="F93" s="59" t="str">
        <f>IF(B93="","",IF(B93="Básico",$C$24,IF(B93="Sucesivo",$C$25,$C$26)))</f>
        <v/>
      </c>
      <c r="G93" s="59" t="str">
        <f>IF(B93="","",IF(B93="Opción de compra",0,(E93-$C$7*F93)*IF(B93="Sucesivo",$C$11,$C$9)))</f>
        <v/>
      </c>
      <c r="H93" s="59" t="str">
        <f>IF(B93="","",F93-G93)</f>
        <v/>
      </c>
      <c r="I93" s="59" t="str">
        <f>IF(B93="","",E93-H93)</f>
        <v/>
      </c>
      <c r="J93" s="59" t="str">
        <f>IF(B93="","",IF(OR(inp_Tipo="Arrendamiento Puro",par_BaseIVAFin="Sobre renta",B93="Opción de compra"),F93,G93)*$C$14)</f>
        <v/>
      </c>
      <c r="K93" s="59" t="str">
        <f>IF(B93="","",F93+J93)</f>
        <v/>
      </c>
      <c r="L93" s="59" t="str">
        <f>IF(B93="","",F93-IF(A93=$C$38,$C$30,0))</f>
        <v/>
      </c>
      <c r="M93" s="78" t="str">
        <f>IF(B93="","",$C$37*(1+$C$13)^(-C93))</f>
        <v/>
      </c>
      <c r="N93" s="59" t="str">
        <f>IF(B93="","",L93*M93)</f>
        <v/>
      </c>
      <c r="O93" s="59" t="str">
        <f>IF(B93="","",IF(B93="Básico",F93,0)-IF(A93=$C$38,$C$30,0))</f>
        <v/>
      </c>
      <c r="P93" s="77">
        <f>IF(B93="",$C$31,D93)</f>
        <v>46295.0</v>
      </c>
      <c r="Q93" s="59">
        <f>IF(B93="",0,L93)</f>
        <v>0</v>
      </c>
      <c r="R93" s="59">
        <f>IF(B93="",0,-F93)</f>
        <v>0</v>
      </c>
      <c r="S93" s="59" t="str">
        <f>IF(B93="","",O93*M93)</f>
        <v/>
      </c>
    </row>
    <row r="94">
      <c r="A94" s="7" t="n">
        <v>49</v>
      </c>
      <c r="B94" s="7" t="str">
        <f>IF(A94&gt;$C$38,"",IF(A94&lt;=$C$5,"Básico",IF($C$6&gt;0,"Sucesivo","Opción de compra")))</f>
        <v/>
      </c>
      <c r="C94" s="7" t="str">
        <f>IF(B94="","",IF(B94="Opción de compra",$C$5,A94-$C$7))</f>
        <v/>
      </c>
      <c r="D94" s="77" t="str">
        <f>IF(B94="","",EDATE($C$33,C94))</f>
        <v/>
      </c>
      <c r="E94" s="59" t="str">
        <f>IF(B94="","",I93)</f>
        <v/>
      </c>
      <c r="F94" s="59" t="str">
        <f>IF(B94="","",IF(B94="Básico",$C$24,IF(B94="Sucesivo",$C$25,$C$26)))</f>
        <v/>
      </c>
      <c r="G94" s="59" t="str">
        <f>IF(B94="","",IF(B94="Opción de compra",0,(E94-$C$7*F94)*IF(B94="Sucesivo",$C$11,$C$9)))</f>
        <v/>
      </c>
      <c r="H94" s="59" t="str">
        <f>IF(B94="","",F94-G94)</f>
        <v/>
      </c>
      <c r="I94" s="59" t="str">
        <f>IF(B94="","",E94-H94)</f>
        <v/>
      </c>
      <c r="J94" s="59" t="str">
        <f>IF(B94="","",IF(OR(inp_Tipo="Arrendamiento Puro",par_BaseIVAFin="Sobre renta",B94="Opción de compra"),F94,G94)*$C$14)</f>
        <v/>
      </c>
      <c r="K94" s="59" t="str">
        <f>IF(B94="","",F94+J94)</f>
        <v/>
      </c>
      <c r="L94" s="59" t="str">
        <f>IF(B94="","",F94-IF(A94=$C$38,$C$30,0))</f>
        <v/>
      </c>
      <c r="M94" s="78" t="str">
        <f>IF(B94="","",$C$37*(1+$C$13)^(-C94))</f>
        <v/>
      </c>
      <c r="N94" s="59" t="str">
        <f>IF(B94="","",L94*M94)</f>
        <v/>
      </c>
      <c r="O94" s="59" t="str">
        <f>IF(B94="","",IF(B94="Básico",F94,0)-IF(A94=$C$38,$C$30,0))</f>
        <v/>
      </c>
      <c r="P94" s="77">
        <f>IF(B94="",$C$31,D94)</f>
        <v>46295.0</v>
      </c>
      <c r="Q94" s="59">
        <f>IF(B94="",0,L94)</f>
        <v>0</v>
      </c>
      <c r="R94" s="59">
        <f>IF(B94="",0,-F94)</f>
        <v>0</v>
      </c>
      <c r="S94" s="59" t="str">
        <f>IF(B94="","",O94*M94)</f>
        <v/>
      </c>
    </row>
    <row r="95">
      <c r="A95" s="7" t="n">
        <v>50</v>
      </c>
      <c r="B95" s="7" t="str">
        <f>IF(A95&gt;$C$38,"",IF(A95&lt;=$C$5,"Básico",IF($C$6&gt;0,"Sucesivo","Opción de compra")))</f>
        <v/>
      </c>
      <c r="C95" s="7" t="str">
        <f>IF(B95="","",IF(B95="Opción de compra",$C$5,A95-$C$7))</f>
        <v/>
      </c>
      <c r="D95" s="77" t="str">
        <f>IF(B95="","",EDATE($C$33,C95))</f>
        <v/>
      </c>
      <c r="E95" s="59" t="str">
        <f>IF(B95="","",I94)</f>
        <v/>
      </c>
      <c r="F95" s="59" t="str">
        <f>IF(B95="","",IF(B95="Básico",$C$24,IF(B95="Sucesivo",$C$25,$C$26)))</f>
        <v/>
      </c>
      <c r="G95" s="59" t="str">
        <f>IF(B95="","",IF(B95="Opción de compra",0,(E95-$C$7*F95)*IF(B95="Sucesivo",$C$11,$C$9)))</f>
        <v/>
      </c>
      <c r="H95" s="59" t="str">
        <f>IF(B95="","",F95-G95)</f>
        <v/>
      </c>
      <c r="I95" s="59" t="str">
        <f>IF(B95="","",E95-H95)</f>
        <v/>
      </c>
      <c r="J95" s="59" t="str">
        <f>IF(B95="","",IF(OR(inp_Tipo="Arrendamiento Puro",par_BaseIVAFin="Sobre renta",B95="Opción de compra"),F95,G95)*$C$14)</f>
        <v/>
      </c>
      <c r="K95" s="59" t="str">
        <f>IF(B95="","",F95+J95)</f>
        <v/>
      </c>
      <c r="L95" s="59" t="str">
        <f>IF(B95="","",F95-IF(A95=$C$38,$C$30,0))</f>
        <v/>
      </c>
      <c r="M95" s="78" t="str">
        <f>IF(B95="","",$C$37*(1+$C$13)^(-C95))</f>
        <v/>
      </c>
      <c r="N95" s="59" t="str">
        <f>IF(B95="","",L95*M95)</f>
        <v/>
      </c>
      <c r="O95" s="59" t="str">
        <f>IF(B95="","",IF(B95="Básico",F95,0)-IF(A95=$C$38,$C$30,0))</f>
        <v/>
      </c>
      <c r="P95" s="77">
        <f>IF(B95="",$C$31,D95)</f>
        <v>46295.0</v>
      </c>
      <c r="Q95" s="59">
        <f>IF(B95="",0,L95)</f>
        <v>0</v>
      </c>
      <c r="R95" s="59">
        <f>IF(B95="",0,-F95)</f>
        <v>0</v>
      </c>
      <c r="S95" s="59" t="str">
        <f>IF(B95="","",O95*M95)</f>
        <v/>
      </c>
    </row>
    <row r="96">
      <c r="A96" s="7" t="n">
        <v>51</v>
      </c>
      <c r="B96" s="7" t="str">
        <f>IF(A96&gt;$C$38,"",IF(A96&lt;=$C$5,"Básico",IF($C$6&gt;0,"Sucesivo","Opción de compra")))</f>
        <v/>
      </c>
      <c r="C96" s="7" t="str">
        <f>IF(B96="","",IF(B96="Opción de compra",$C$5,A96-$C$7))</f>
        <v/>
      </c>
      <c r="D96" s="77" t="str">
        <f>IF(B96="","",EDATE($C$33,C96))</f>
        <v/>
      </c>
      <c r="E96" s="59" t="str">
        <f>IF(B96="","",I95)</f>
        <v/>
      </c>
      <c r="F96" s="59" t="str">
        <f>IF(B96="","",IF(B96="Básico",$C$24,IF(B96="Sucesivo",$C$25,$C$26)))</f>
        <v/>
      </c>
      <c r="G96" s="59" t="str">
        <f>IF(B96="","",IF(B96="Opción de compra",0,(E96-$C$7*F96)*IF(B96="Sucesivo",$C$11,$C$9)))</f>
        <v/>
      </c>
      <c r="H96" s="59" t="str">
        <f>IF(B96="","",F96-G96)</f>
        <v/>
      </c>
      <c r="I96" s="59" t="str">
        <f>IF(B96="","",E96-H96)</f>
        <v/>
      </c>
      <c r="J96" s="59" t="str">
        <f>IF(B96="","",IF(OR(inp_Tipo="Arrendamiento Puro",par_BaseIVAFin="Sobre renta",B96="Opción de compra"),F96,G96)*$C$14)</f>
        <v/>
      </c>
      <c r="K96" s="59" t="str">
        <f>IF(B96="","",F96+J96)</f>
        <v/>
      </c>
      <c r="L96" s="59" t="str">
        <f>IF(B96="","",F96-IF(A96=$C$38,$C$30,0))</f>
        <v/>
      </c>
      <c r="M96" s="78" t="str">
        <f>IF(B96="","",$C$37*(1+$C$13)^(-C96))</f>
        <v/>
      </c>
      <c r="N96" s="59" t="str">
        <f>IF(B96="","",L96*M96)</f>
        <v/>
      </c>
      <c r="O96" s="59" t="str">
        <f>IF(B96="","",IF(B96="Básico",F96,0)-IF(A96=$C$38,$C$30,0))</f>
        <v/>
      </c>
      <c r="P96" s="77">
        <f>IF(B96="",$C$31,D96)</f>
        <v>46295.0</v>
      </c>
      <c r="Q96" s="59">
        <f>IF(B96="",0,L96)</f>
        <v>0</v>
      </c>
      <c r="R96" s="59">
        <f>IF(B96="",0,-F96)</f>
        <v>0</v>
      </c>
      <c r="S96" s="59" t="str">
        <f>IF(B96="","",O96*M96)</f>
        <v/>
      </c>
    </row>
    <row r="97">
      <c r="A97" s="7" t="n">
        <v>52</v>
      </c>
      <c r="B97" s="7" t="str">
        <f>IF(A97&gt;$C$38,"",IF(A97&lt;=$C$5,"Básico",IF($C$6&gt;0,"Sucesivo","Opción de compra")))</f>
        <v/>
      </c>
      <c r="C97" s="7" t="str">
        <f>IF(B97="","",IF(B97="Opción de compra",$C$5,A97-$C$7))</f>
        <v/>
      </c>
      <c r="D97" s="77" t="str">
        <f>IF(B97="","",EDATE($C$33,C97))</f>
        <v/>
      </c>
      <c r="E97" s="59" t="str">
        <f>IF(B97="","",I96)</f>
        <v/>
      </c>
      <c r="F97" s="59" t="str">
        <f>IF(B97="","",IF(B97="Básico",$C$24,IF(B97="Sucesivo",$C$25,$C$26)))</f>
        <v/>
      </c>
      <c r="G97" s="59" t="str">
        <f>IF(B97="","",IF(B97="Opción de compra",0,(E97-$C$7*F97)*IF(B97="Sucesivo",$C$11,$C$9)))</f>
        <v/>
      </c>
      <c r="H97" s="59" t="str">
        <f>IF(B97="","",F97-G97)</f>
        <v/>
      </c>
      <c r="I97" s="59" t="str">
        <f>IF(B97="","",E97-H97)</f>
        <v/>
      </c>
      <c r="J97" s="59" t="str">
        <f>IF(B97="","",IF(OR(inp_Tipo="Arrendamiento Puro",par_BaseIVAFin="Sobre renta",B97="Opción de compra"),F97,G97)*$C$14)</f>
        <v/>
      </c>
      <c r="K97" s="59" t="str">
        <f>IF(B97="","",F97+J97)</f>
        <v/>
      </c>
      <c r="L97" s="59" t="str">
        <f>IF(B97="","",F97-IF(A97=$C$38,$C$30,0))</f>
        <v/>
      </c>
      <c r="M97" s="78" t="str">
        <f>IF(B97="","",$C$37*(1+$C$13)^(-C97))</f>
        <v/>
      </c>
      <c r="N97" s="59" t="str">
        <f>IF(B97="","",L97*M97)</f>
        <v/>
      </c>
      <c r="O97" s="59" t="str">
        <f>IF(B97="","",IF(B97="Básico",F97,0)-IF(A97=$C$38,$C$30,0))</f>
        <v/>
      </c>
      <c r="P97" s="77">
        <f>IF(B97="",$C$31,D97)</f>
        <v>46295.0</v>
      </c>
      <c r="Q97" s="59">
        <f>IF(B97="",0,L97)</f>
        <v>0</v>
      </c>
      <c r="R97" s="59">
        <f>IF(B97="",0,-F97)</f>
        <v>0</v>
      </c>
      <c r="S97" s="59" t="str">
        <f>IF(B97="","",O97*M97)</f>
        <v/>
      </c>
    </row>
    <row r="98">
      <c r="A98" s="7" t="n">
        <v>53</v>
      </c>
      <c r="B98" s="7" t="str">
        <f>IF(A98&gt;$C$38,"",IF(A98&lt;=$C$5,"Básico",IF($C$6&gt;0,"Sucesivo","Opción de compra")))</f>
        <v/>
      </c>
      <c r="C98" s="7" t="str">
        <f>IF(B98="","",IF(B98="Opción de compra",$C$5,A98-$C$7))</f>
        <v/>
      </c>
      <c r="D98" s="77" t="str">
        <f>IF(B98="","",EDATE($C$33,C98))</f>
        <v/>
      </c>
      <c r="E98" s="59" t="str">
        <f>IF(B98="","",I97)</f>
        <v/>
      </c>
      <c r="F98" s="59" t="str">
        <f>IF(B98="","",IF(B98="Básico",$C$24,IF(B98="Sucesivo",$C$25,$C$26)))</f>
        <v/>
      </c>
      <c r="G98" s="59" t="str">
        <f>IF(B98="","",IF(B98="Opción de compra",0,(E98-$C$7*F98)*IF(B98="Sucesivo",$C$11,$C$9)))</f>
        <v/>
      </c>
      <c r="H98" s="59" t="str">
        <f>IF(B98="","",F98-G98)</f>
        <v/>
      </c>
      <c r="I98" s="59" t="str">
        <f>IF(B98="","",E98-H98)</f>
        <v/>
      </c>
      <c r="J98" s="59" t="str">
        <f>IF(B98="","",IF(OR(inp_Tipo="Arrendamiento Puro",par_BaseIVAFin="Sobre renta",B98="Opción de compra"),F98,G98)*$C$14)</f>
        <v/>
      </c>
      <c r="K98" s="59" t="str">
        <f>IF(B98="","",F98+J98)</f>
        <v/>
      </c>
      <c r="L98" s="59" t="str">
        <f>IF(B98="","",F98-IF(A98=$C$38,$C$30,0))</f>
        <v/>
      </c>
      <c r="M98" s="78" t="str">
        <f>IF(B98="","",$C$37*(1+$C$13)^(-C98))</f>
        <v/>
      </c>
      <c r="N98" s="59" t="str">
        <f>IF(B98="","",L98*M98)</f>
        <v/>
      </c>
      <c r="O98" s="59" t="str">
        <f>IF(B98="","",IF(B98="Básico",F98,0)-IF(A98=$C$38,$C$30,0))</f>
        <v/>
      </c>
      <c r="P98" s="77">
        <f>IF(B98="",$C$31,D98)</f>
        <v>46295.0</v>
      </c>
      <c r="Q98" s="59">
        <f>IF(B98="",0,L98)</f>
        <v>0</v>
      </c>
      <c r="R98" s="59">
        <f>IF(B98="",0,-F98)</f>
        <v>0</v>
      </c>
      <c r="S98" s="59" t="str">
        <f>IF(B98="","",O98*M98)</f>
        <v/>
      </c>
    </row>
    <row r="99">
      <c r="A99" s="7" t="n">
        <v>54</v>
      </c>
      <c r="B99" s="7" t="str">
        <f>IF(A99&gt;$C$38,"",IF(A99&lt;=$C$5,"Básico",IF($C$6&gt;0,"Sucesivo","Opción de compra")))</f>
        <v/>
      </c>
      <c r="C99" s="7" t="str">
        <f>IF(B99="","",IF(B99="Opción de compra",$C$5,A99-$C$7))</f>
        <v/>
      </c>
      <c r="D99" s="77" t="str">
        <f>IF(B99="","",EDATE($C$33,C99))</f>
        <v/>
      </c>
      <c r="E99" s="59" t="str">
        <f>IF(B99="","",I98)</f>
        <v/>
      </c>
      <c r="F99" s="59" t="str">
        <f>IF(B99="","",IF(B99="Básico",$C$24,IF(B99="Sucesivo",$C$25,$C$26)))</f>
        <v/>
      </c>
      <c r="G99" s="59" t="str">
        <f>IF(B99="","",IF(B99="Opción de compra",0,(E99-$C$7*F99)*IF(B99="Sucesivo",$C$11,$C$9)))</f>
        <v/>
      </c>
      <c r="H99" s="59" t="str">
        <f>IF(B99="","",F99-G99)</f>
        <v/>
      </c>
      <c r="I99" s="59" t="str">
        <f>IF(B99="","",E99-H99)</f>
        <v/>
      </c>
      <c r="J99" s="59" t="str">
        <f>IF(B99="","",IF(OR(inp_Tipo="Arrendamiento Puro",par_BaseIVAFin="Sobre renta",B99="Opción de compra"),F99,G99)*$C$14)</f>
        <v/>
      </c>
      <c r="K99" s="59" t="str">
        <f>IF(B99="","",F99+J99)</f>
        <v/>
      </c>
      <c r="L99" s="59" t="str">
        <f>IF(B99="","",F99-IF(A99=$C$38,$C$30,0))</f>
        <v/>
      </c>
      <c r="M99" s="78" t="str">
        <f>IF(B99="","",$C$37*(1+$C$13)^(-C99))</f>
        <v/>
      </c>
      <c r="N99" s="59" t="str">
        <f>IF(B99="","",L99*M99)</f>
        <v/>
      </c>
      <c r="O99" s="59" t="str">
        <f>IF(B99="","",IF(B99="Básico",F99,0)-IF(A99=$C$38,$C$30,0))</f>
        <v/>
      </c>
      <c r="P99" s="77">
        <f>IF(B99="",$C$31,D99)</f>
        <v>46295.0</v>
      </c>
      <c r="Q99" s="59">
        <f>IF(B99="",0,L99)</f>
        <v>0</v>
      </c>
      <c r="R99" s="59">
        <f>IF(B99="",0,-F99)</f>
        <v>0</v>
      </c>
      <c r="S99" s="59" t="str">
        <f>IF(B99="","",O99*M99)</f>
        <v/>
      </c>
    </row>
    <row r="100">
      <c r="A100" s="7" t="n">
        <v>55</v>
      </c>
      <c r="B100" s="7" t="str">
        <f>IF(A100&gt;$C$38,"",IF(A100&lt;=$C$5,"Básico",IF($C$6&gt;0,"Sucesivo","Opción de compra")))</f>
        <v/>
      </c>
      <c r="C100" s="7" t="str">
        <f>IF(B100="","",IF(B100="Opción de compra",$C$5,A100-$C$7))</f>
        <v/>
      </c>
      <c r="D100" s="77" t="str">
        <f>IF(B100="","",EDATE($C$33,C100))</f>
        <v/>
      </c>
      <c r="E100" s="59" t="str">
        <f>IF(B100="","",I99)</f>
        <v/>
      </c>
      <c r="F100" s="59" t="str">
        <f>IF(B100="","",IF(B100="Básico",$C$24,IF(B100="Sucesivo",$C$25,$C$26)))</f>
        <v/>
      </c>
      <c r="G100" s="59" t="str">
        <f>IF(B100="","",IF(B100="Opción de compra",0,(E100-$C$7*F100)*IF(B100="Sucesivo",$C$11,$C$9)))</f>
        <v/>
      </c>
      <c r="H100" s="59" t="str">
        <f>IF(B100="","",F100-G100)</f>
        <v/>
      </c>
      <c r="I100" s="59" t="str">
        <f>IF(B100="","",E100-H100)</f>
        <v/>
      </c>
      <c r="J100" s="59" t="str">
        <f>IF(B100="","",IF(OR(inp_Tipo="Arrendamiento Puro",par_BaseIVAFin="Sobre renta",B100="Opción de compra"),F100,G100)*$C$14)</f>
        <v/>
      </c>
      <c r="K100" s="59" t="str">
        <f>IF(B100="","",F100+J100)</f>
        <v/>
      </c>
      <c r="L100" s="59" t="str">
        <f>IF(B100="","",F100-IF(A100=$C$38,$C$30,0))</f>
        <v/>
      </c>
      <c r="M100" s="78" t="str">
        <f>IF(B100="","",$C$37*(1+$C$13)^(-C100))</f>
        <v/>
      </c>
      <c r="N100" s="59" t="str">
        <f>IF(B100="","",L100*M100)</f>
        <v/>
      </c>
      <c r="O100" s="59" t="str">
        <f>IF(B100="","",IF(B100="Básico",F100,0)-IF(A100=$C$38,$C$30,0))</f>
        <v/>
      </c>
      <c r="P100" s="77">
        <f>IF(B100="",$C$31,D100)</f>
        <v>46295.0</v>
      </c>
      <c r="Q100" s="59">
        <f>IF(B100="",0,L100)</f>
        <v>0</v>
      </c>
      <c r="R100" s="59">
        <f>IF(B100="",0,-F100)</f>
        <v>0</v>
      </c>
      <c r="S100" s="59" t="str">
        <f>IF(B100="","",O100*M100)</f>
        <v/>
      </c>
    </row>
    <row r="101">
      <c r="A101" s="7" t="n">
        <v>56</v>
      </c>
      <c r="B101" s="7" t="str">
        <f>IF(A101&gt;$C$38,"",IF(A101&lt;=$C$5,"Básico",IF($C$6&gt;0,"Sucesivo","Opción de compra")))</f>
        <v/>
      </c>
      <c r="C101" s="7" t="str">
        <f>IF(B101="","",IF(B101="Opción de compra",$C$5,A101-$C$7))</f>
        <v/>
      </c>
      <c r="D101" s="77" t="str">
        <f>IF(B101="","",EDATE($C$33,C101))</f>
        <v/>
      </c>
      <c r="E101" s="59" t="str">
        <f>IF(B101="","",I100)</f>
        <v/>
      </c>
      <c r="F101" s="59" t="str">
        <f>IF(B101="","",IF(B101="Básico",$C$24,IF(B101="Sucesivo",$C$25,$C$26)))</f>
        <v/>
      </c>
      <c r="G101" s="59" t="str">
        <f>IF(B101="","",IF(B101="Opción de compra",0,(E101-$C$7*F101)*IF(B101="Sucesivo",$C$11,$C$9)))</f>
        <v/>
      </c>
      <c r="H101" s="59" t="str">
        <f>IF(B101="","",F101-G101)</f>
        <v/>
      </c>
      <c r="I101" s="59" t="str">
        <f>IF(B101="","",E101-H101)</f>
        <v/>
      </c>
      <c r="J101" s="59" t="str">
        <f>IF(B101="","",IF(OR(inp_Tipo="Arrendamiento Puro",par_BaseIVAFin="Sobre renta",B101="Opción de compra"),F101,G101)*$C$14)</f>
        <v/>
      </c>
      <c r="K101" s="59" t="str">
        <f>IF(B101="","",F101+J101)</f>
        <v/>
      </c>
      <c r="L101" s="59" t="str">
        <f>IF(B101="","",F101-IF(A101=$C$38,$C$30,0))</f>
        <v/>
      </c>
      <c r="M101" s="78" t="str">
        <f>IF(B101="","",$C$37*(1+$C$13)^(-C101))</f>
        <v/>
      </c>
      <c r="N101" s="59" t="str">
        <f>IF(B101="","",L101*M101)</f>
        <v/>
      </c>
      <c r="O101" s="59" t="str">
        <f>IF(B101="","",IF(B101="Básico",F101,0)-IF(A101=$C$38,$C$30,0))</f>
        <v/>
      </c>
      <c r="P101" s="77">
        <f>IF(B101="",$C$31,D101)</f>
        <v>46295.0</v>
      </c>
      <c r="Q101" s="59">
        <f>IF(B101="",0,L101)</f>
        <v>0</v>
      </c>
      <c r="R101" s="59">
        <f>IF(B101="",0,-F101)</f>
        <v>0</v>
      </c>
      <c r="S101" s="59" t="str">
        <f>IF(B101="","",O101*M101)</f>
        <v/>
      </c>
    </row>
    <row r="102">
      <c r="A102" s="7" t="n">
        <v>57</v>
      </c>
      <c r="B102" s="7" t="str">
        <f>IF(A102&gt;$C$38,"",IF(A102&lt;=$C$5,"Básico",IF($C$6&gt;0,"Sucesivo","Opción de compra")))</f>
        <v/>
      </c>
      <c r="C102" s="7" t="str">
        <f>IF(B102="","",IF(B102="Opción de compra",$C$5,A102-$C$7))</f>
        <v/>
      </c>
      <c r="D102" s="77" t="str">
        <f>IF(B102="","",EDATE($C$33,C102))</f>
        <v/>
      </c>
      <c r="E102" s="59" t="str">
        <f>IF(B102="","",I101)</f>
        <v/>
      </c>
      <c r="F102" s="59" t="str">
        <f>IF(B102="","",IF(B102="Básico",$C$24,IF(B102="Sucesivo",$C$25,$C$26)))</f>
        <v/>
      </c>
      <c r="G102" s="59" t="str">
        <f>IF(B102="","",IF(B102="Opción de compra",0,(E102-$C$7*F102)*IF(B102="Sucesivo",$C$11,$C$9)))</f>
        <v/>
      </c>
      <c r="H102" s="59" t="str">
        <f>IF(B102="","",F102-G102)</f>
        <v/>
      </c>
      <c r="I102" s="59" t="str">
        <f>IF(B102="","",E102-H102)</f>
        <v/>
      </c>
      <c r="J102" s="59" t="str">
        <f>IF(B102="","",IF(OR(inp_Tipo="Arrendamiento Puro",par_BaseIVAFin="Sobre renta",B102="Opción de compra"),F102,G102)*$C$14)</f>
        <v/>
      </c>
      <c r="K102" s="59" t="str">
        <f>IF(B102="","",F102+J102)</f>
        <v/>
      </c>
      <c r="L102" s="59" t="str">
        <f>IF(B102="","",F102-IF(A102=$C$38,$C$30,0))</f>
        <v/>
      </c>
      <c r="M102" s="78" t="str">
        <f>IF(B102="","",$C$37*(1+$C$13)^(-C102))</f>
        <v/>
      </c>
      <c r="N102" s="59" t="str">
        <f>IF(B102="","",L102*M102)</f>
        <v/>
      </c>
      <c r="O102" s="59" t="str">
        <f>IF(B102="","",IF(B102="Básico",F102,0)-IF(A102=$C$38,$C$30,0))</f>
        <v/>
      </c>
      <c r="P102" s="77">
        <f>IF(B102="",$C$31,D102)</f>
        <v>46295.0</v>
      </c>
      <c r="Q102" s="59">
        <f>IF(B102="",0,L102)</f>
        <v>0</v>
      </c>
      <c r="R102" s="59">
        <f>IF(B102="",0,-F102)</f>
        <v>0</v>
      </c>
      <c r="S102" s="59" t="str">
        <f>IF(B102="","",O102*M102)</f>
        <v/>
      </c>
    </row>
    <row r="103">
      <c r="A103" s="7" t="n">
        <v>58</v>
      </c>
      <c r="B103" s="7" t="str">
        <f>IF(A103&gt;$C$38,"",IF(A103&lt;=$C$5,"Básico",IF($C$6&gt;0,"Sucesivo","Opción de compra")))</f>
        <v/>
      </c>
      <c r="C103" s="7" t="str">
        <f>IF(B103="","",IF(B103="Opción de compra",$C$5,A103-$C$7))</f>
        <v/>
      </c>
      <c r="D103" s="77" t="str">
        <f>IF(B103="","",EDATE($C$33,C103))</f>
        <v/>
      </c>
      <c r="E103" s="59" t="str">
        <f>IF(B103="","",I102)</f>
        <v/>
      </c>
      <c r="F103" s="59" t="str">
        <f>IF(B103="","",IF(B103="Básico",$C$24,IF(B103="Sucesivo",$C$25,$C$26)))</f>
        <v/>
      </c>
      <c r="G103" s="59" t="str">
        <f>IF(B103="","",IF(B103="Opción de compra",0,(E103-$C$7*F103)*IF(B103="Sucesivo",$C$11,$C$9)))</f>
        <v/>
      </c>
      <c r="H103" s="59" t="str">
        <f>IF(B103="","",F103-G103)</f>
        <v/>
      </c>
      <c r="I103" s="59" t="str">
        <f>IF(B103="","",E103-H103)</f>
        <v/>
      </c>
      <c r="J103" s="59" t="str">
        <f>IF(B103="","",IF(OR(inp_Tipo="Arrendamiento Puro",par_BaseIVAFin="Sobre renta",B103="Opción de compra"),F103,G103)*$C$14)</f>
        <v/>
      </c>
      <c r="K103" s="59" t="str">
        <f>IF(B103="","",F103+J103)</f>
        <v/>
      </c>
      <c r="L103" s="59" t="str">
        <f>IF(B103="","",F103-IF(A103=$C$38,$C$30,0))</f>
        <v/>
      </c>
      <c r="M103" s="78" t="str">
        <f>IF(B103="","",$C$37*(1+$C$13)^(-C103))</f>
        <v/>
      </c>
      <c r="N103" s="59" t="str">
        <f>IF(B103="","",L103*M103)</f>
        <v/>
      </c>
      <c r="O103" s="59" t="str">
        <f>IF(B103="","",IF(B103="Básico",F103,0)-IF(A103=$C$38,$C$30,0))</f>
        <v/>
      </c>
      <c r="P103" s="77">
        <f>IF(B103="",$C$31,D103)</f>
        <v>46295.0</v>
      </c>
      <c r="Q103" s="59">
        <f>IF(B103="",0,L103)</f>
        <v>0</v>
      </c>
      <c r="R103" s="59">
        <f>IF(B103="",0,-F103)</f>
        <v>0</v>
      </c>
      <c r="S103" s="59" t="str">
        <f>IF(B103="","",O103*M103)</f>
        <v/>
      </c>
    </row>
    <row r="104">
      <c r="A104" s="7" t="n">
        <v>59</v>
      </c>
      <c r="B104" s="7" t="str">
        <f>IF(A104&gt;$C$38,"",IF(A104&lt;=$C$5,"Básico",IF($C$6&gt;0,"Sucesivo","Opción de compra")))</f>
        <v/>
      </c>
      <c r="C104" s="7" t="str">
        <f>IF(B104="","",IF(B104="Opción de compra",$C$5,A104-$C$7))</f>
        <v/>
      </c>
      <c r="D104" s="77" t="str">
        <f>IF(B104="","",EDATE($C$33,C104))</f>
        <v/>
      </c>
      <c r="E104" s="59" t="str">
        <f>IF(B104="","",I103)</f>
        <v/>
      </c>
      <c r="F104" s="59" t="str">
        <f>IF(B104="","",IF(B104="Básico",$C$24,IF(B104="Sucesivo",$C$25,$C$26)))</f>
        <v/>
      </c>
      <c r="G104" s="59" t="str">
        <f>IF(B104="","",IF(B104="Opción de compra",0,(E104-$C$7*F104)*IF(B104="Sucesivo",$C$11,$C$9)))</f>
        <v/>
      </c>
      <c r="H104" s="59" t="str">
        <f>IF(B104="","",F104-G104)</f>
        <v/>
      </c>
      <c r="I104" s="59" t="str">
        <f>IF(B104="","",E104-H104)</f>
        <v/>
      </c>
      <c r="J104" s="59" t="str">
        <f>IF(B104="","",IF(OR(inp_Tipo="Arrendamiento Puro",par_BaseIVAFin="Sobre renta",B104="Opción de compra"),F104,G104)*$C$14)</f>
        <v/>
      </c>
      <c r="K104" s="59" t="str">
        <f>IF(B104="","",F104+J104)</f>
        <v/>
      </c>
      <c r="L104" s="59" t="str">
        <f>IF(B104="","",F104-IF(A104=$C$38,$C$30,0))</f>
        <v/>
      </c>
      <c r="M104" s="78" t="str">
        <f>IF(B104="","",$C$37*(1+$C$13)^(-C104))</f>
        <v/>
      </c>
      <c r="N104" s="59" t="str">
        <f>IF(B104="","",L104*M104)</f>
        <v/>
      </c>
      <c r="O104" s="59" t="str">
        <f>IF(B104="","",IF(B104="Básico",F104,0)-IF(A104=$C$38,$C$30,0))</f>
        <v/>
      </c>
      <c r="P104" s="77">
        <f>IF(B104="",$C$31,D104)</f>
        <v>46295.0</v>
      </c>
      <c r="Q104" s="59">
        <f>IF(B104="",0,L104)</f>
        <v>0</v>
      </c>
      <c r="R104" s="59">
        <f>IF(B104="",0,-F104)</f>
        <v>0</v>
      </c>
      <c r="S104" s="59" t="str">
        <f>IF(B104="","",O104*M104)</f>
        <v/>
      </c>
    </row>
    <row r="105">
      <c r="A105" s="7" t="n">
        <v>60</v>
      </c>
      <c r="B105" s="7" t="str">
        <f>IF(A105&gt;$C$38,"",IF(A105&lt;=$C$5,"Básico",IF($C$6&gt;0,"Sucesivo","Opción de compra")))</f>
        <v/>
      </c>
      <c r="C105" s="7" t="str">
        <f>IF(B105="","",IF(B105="Opción de compra",$C$5,A105-$C$7))</f>
        <v/>
      </c>
      <c r="D105" s="77" t="str">
        <f>IF(B105="","",EDATE($C$33,C105))</f>
        <v/>
      </c>
      <c r="E105" s="59" t="str">
        <f>IF(B105="","",I104)</f>
        <v/>
      </c>
      <c r="F105" s="59" t="str">
        <f>IF(B105="","",IF(B105="Básico",$C$24,IF(B105="Sucesivo",$C$25,$C$26)))</f>
        <v/>
      </c>
      <c r="G105" s="59" t="str">
        <f>IF(B105="","",IF(B105="Opción de compra",0,(E105-$C$7*F105)*IF(B105="Sucesivo",$C$11,$C$9)))</f>
        <v/>
      </c>
      <c r="H105" s="59" t="str">
        <f>IF(B105="","",F105-G105)</f>
        <v/>
      </c>
      <c r="I105" s="59" t="str">
        <f>IF(B105="","",E105-H105)</f>
        <v/>
      </c>
      <c r="J105" s="59" t="str">
        <f>IF(B105="","",IF(OR(inp_Tipo="Arrendamiento Puro",par_BaseIVAFin="Sobre renta",B105="Opción de compra"),F105,G105)*$C$14)</f>
        <v/>
      </c>
      <c r="K105" s="59" t="str">
        <f>IF(B105="","",F105+J105)</f>
        <v/>
      </c>
      <c r="L105" s="59" t="str">
        <f>IF(B105="","",F105-IF(A105=$C$38,$C$30,0))</f>
        <v/>
      </c>
      <c r="M105" s="78" t="str">
        <f>IF(B105="","",$C$37*(1+$C$13)^(-C105))</f>
        <v/>
      </c>
      <c r="N105" s="59" t="str">
        <f>IF(B105="","",L105*M105)</f>
        <v/>
      </c>
      <c r="O105" s="59" t="str">
        <f>IF(B105="","",IF(B105="Básico",F105,0)-IF(A105=$C$38,$C$30,0))</f>
        <v/>
      </c>
      <c r="P105" s="77">
        <f>IF(B105="",$C$31,D105)</f>
        <v>46295.0</v>
      </c>
      <c r="Q105" s="59">
        <f>IF(B105="",0,L105)</f>
        <v>0</v>
      </c>
      <c r="R105" s="59">
        <f>IF(B105="",0,-F105)</f>
        <v>0</v>
      </c>
      <c r="S105" s="59" t="str">
        <f>IF(B105="","",O105*M105)</f>
        <v/>
      </c>
    </row>
    <row r="106">
      <c r="A106" s="7" t="n">
        <v>61</v>
      </c>
      <c r="B106" s="7" t="str">
        <f>IF(A106&gt;$C$38,"",IF(A106&lt;=$C$5,"Básico",IF($C$6&gt;0,"Sucesivo","Opción de compra")))</f>
        <v/>
      </c>
      <c r="C106" s="7" t="str">
        <f>IF(B106="","",IF(B106="Opción de compra",$C$5,A106-$C$7))</f>
        <v/>
      </c>
      <c r="D106" s="77" t="str">
        <f>IF(B106="","",EDATE($C$33,C106))</f>
        <v/>
      </c>
      <c r="E106" s="59" t="str">
        <f>IF(B106="","",I105)</f>
        <v/>
      </c>
      <c r="F106" s="59" t="str">
        <f>IF(B106="","",IF(B106="Básico",$C$24,IF(B106="Sucesivo",$C$25,$C$26)))</f>
        <v/>
      </c>
      <c r="G106" s="59" t="str">
        <f>IF(B106="","",IF(B106="Opción de compra",0,(E106-$C$7*F106)*IF(B106="Sucesivo",$C$11,$C$9)))</f>
        <v/>
      </c>
      <c r="H106" s="59" t="str">
        <f>IF(B106="","",F106-G106)</f>
        <v/>
      </c>
      <c r="I106" s="59" t="str">
        <f>IF(B106="","",E106-H106)</f>
        <v/>
      </c>
      <c r="J106" s="59" t="str">
        <f>IF(B106="","",IF(OR(inp_Tipo="Arrendamiento Puro",par_BaseIVAFin="Sobre renta",B106="Opción de compra"),F106,G106)*$C$14)</f>
        <v/>
      </c>
      <c r="K106" s="59" t="str">
        <f>IF(B106="","",F106+J106)</f>
        <v/>
      </c>
      <c r="L106" s="59" t="str">
        <f>IF(B106="","",F106-IF(A106=$C$38,$C$30,0))</f>
        <v/>
      </c>
      <c r="M106" s="78" t="str">
        <f>IF(B106="","",$C$37*(1+$C$13)^(-C106))</f>
        <v/>
      </c>
      <c r="N106" s="59" t="str">
        <f>IF(B106="","",L106*M106)</f>
        <v/>
      </c>
      <c r="O106" s="59" t="str">
        <f>IF(B106="","",IF(B106="Básico",F106,0)-IF(A106=$C$38,$C$30,0))</f>
        <v/>
      </c>
      <c r="P106" s="77">
        <f>IF(B106="",$C$31,D106)</f>
        <v>46295.0</v>
      </c>
      <c r="Q106" s="59">
        <f>IF(B106="",0,L106)</f>
        <v>0</v>
      </c>
      <c r="R106" s="59">
        <f>IF(B106="",0,-F106)</f>
        <v>0</v>
      </c>
      <c r="S106" s="59" t="str">
        <f>IF(B106="","",O106*M106)</f>
        <v/>
      </c>
    </row>
    <row r="107">
      <c r="A107" s="7" t="n">
        <v>62</v>
      </c>
      <c r="B107" s="7" t="str">
        <f>IF(A107&gt;$C$38,"",IF(A107&lt;=$C$5,"Básico",IF($C$6&gt;0,"Sucesivo","Opción de compra")))</f>
        <v/>
      </c>
      <c r="C107" s="7" t="str">
        <f>IF(B107="","",IF(B107="Opción de compra",$C$5,A107-$C$7))</f>
        <v/>
      </c>
      <c r="D107" s="77" t="str">
        <f>IF(B107="","",EDATE($C$33,C107))</f>
        <v/>
      </c>
      <c r="E107" s="59" t="str">
        <f>IF(B107="","",I106)</f>
        <v/>
      </c>
      <c r="F107" s="59" t="str">
        <f>IF(B107="","",IF(B107="Básico",$C$24,IF(B107="Sucesivo",$C$25,$C$26)))</f>
        <v/>
      </c>
      <c r="G107" s="59" t="str">
        <f>IF(B107="","",IF(B107="Opción de compra",0,(E107-$C$7*F107)*IF(B107="Sucesivo",$C$11,$C$9)))</f>
        <v/>
      </c>
      <c r="H107" s="59" t="str">
        <f>IF(B107="","",F107-G107)</f>
        <v/>
      </c>
      <c r="I107" s="59" t="str">
        <f>IF(B107="","",E107-H107)</f>
        <v/>
      </c>
      <c r="J107" s="59" t="str">
        <f>IF(B107="","",IF(OR(inp_Tipo="Arrendamiento Puro",par_BaseIVAFin="Sobre renta",B107="Opción de compra"),F107,G107)*$C$14)</f>
        <v/>
      </c>
      <c r="K107" s="59" t="str">
        <f>IF(B107="","",F107+J107)</f>
        <v/>
      </c>
      <c r="L107" s="59" t="str">
        <f>IF(B107="","",F107-IF(A107=$C$38,$C$30,0))</f>
        <v/>
      </c>
      <c r="M107" s="78" t="str">
        <f>IF(B107="","",$C$37*(1+$C$13)^(-C107))</f>
        <v/>
      </c>
      <c r="N107" s="59" t="str">
        <f>IF(B107="","",L107*M107)</f>
        <v/>
      </c>
      <c r="O107" s="59" t="str">
        <f>IF(B107="","",IF(B107="Básico",F107,0)-IF(A107=$C$38,$C$30,0))</f>
        <v/>
      </c>
      <c r="P107" s="77">
        <f>IF(B107="",$C$31,D107)</f>
        <v>46295.0</v>
      </c>
      <c r="Q107" s="59">
        <f>IF(B107="",0,L107)</f>
        <v>0</v>
      </c>
      <c r="R107" s="59">
        <f>IF(B107="",0,-F107)</f>
        <v>0</v>
      </c>
      <c r="S107" s="59" t="str">
        <f>IF(B107="","",O107*M107)</f>
        <v/>
      </c>
    </row>
    <row r="108">
      <c r="A108" s="7" t="n">
        <v>63</v>
      </c>
      <c r="B108" s="7" t="str">
        <f>IF(A108&gt;$C$38,"",IF(A108&lt;=$C$5,"Básico",IF($C$6&gt;0,"Sucesivo","Opción de compra")))</f>
        <v/>
      </c>
      <c r="C108" s="7" t="str">
        <f>IF(B108="","",IF(B108="Opción de compra",$C$5,A108-$C$7))</f>
        <v/>
      </c>
      <c r="D108" s="77" t="str">
        <f>IF(B108="","",EDATE($C$33,C108))</f>
        <v/>
      </c>
      <c r="E108" s="59" t="str">
        <f>IF(B108="","",I107)</f>
        <v/>
      </c>
      <c r="F108" s="59" t="str">
        <f>IF(B108="","",IF(B108="Básico",$C$24,IF(B108="Sucesivo",$C$25,$C$26)))</f>
        <v/>
      </c>
      <c r="G108" s="59" t="str">
        <f>IF(B108="","",IF(B108="Opción de compra",0,(E108-$C$7*F108)*IF(B108="Sucesivo",$C$11,$C$9)))</f>
        <v/>
      </c>
      <c r="H108" s="59" t="str">
        <f>IF(B108="","",F108-G108)</f>
        <v/>
      </c>
      <c r="I108" s="59" t="str">
        <f>IF(B108="","",E108-H108)</f>
        <v/>
      </c>
      <c r="J108" s="59" t="str">
        <f>IF(B108="","",IF(OR(inp_Tipo="Arrendamiento Puro",par_BaseIVAFin="Sobre renta",B108="Opción de compra"),F108,G108)*$C$14)</f>
        <v/>
      </c>
      <c r="K108" s="59" t="str">
        <f>IF(B108="","",F108+J108)</f>
        <v/>
      </c>
      <c r="L108" s="59" t="str">
        <f>IF(B108="","",F108-IF(A108=$C$38,$C$30,0))</f>
        <v/>
      </c>
      <c r="M108" s="78" t="str">
        <f>IF(B108="","",$C$37*(1+$C$13)^(-C108))</f>
        <v/>
      </c>
      <c r="N108" s="59" t="str">
        <f>IF(B108="","",L108*M108)</f>
        <v/>
      </c>
      <c r="O108" s="59" t="str">
        <f>IF(B108="","",IF(B108="Básico",F108,0)-IF(A108=$C$38,$C$30,0))</f>
        <v/>
      </c>
      <c r="P108" s="77">
        <f>IF(B108="",$C$31,D108)</f>
        <v>46295.0</v>
      </c>
      <c r="Q108" s="59">
        <f>IF(B108="",0,L108)</f>
        <v>0</v>
      </c>
      <c r="R108" s="59">
        <f>IF(B108="",0,-F108)</f>
        <v>0</v>
      </c>
      <c r="S108" s="59" t="str">
        <f>IF(B108="","",O108*M108)</f>
        <v/>
      </c>
    </row>
    <row r="109">
      <c r="A109" s="7" t="n">
        <v>64</v>
      </c>
      <c r="B109" s="7" t="str">
        <f>IF(A109&gt;$C$38,"",IF(A109&lt;=$C$5,"Básico",IF($C$6&gt;0,"Sucesivo","Opción de compra")))</f>
        <v/>
      </c>
      <c r="C109" s="7" t="str">
        <f>IF(B109="","",IF(B109="Opción de compra",$C$5,A109-$C$7))</f>
        <v/>
      </c>
      <c r="D109" s="77" t="str">
        <f>IF(B109="","",EDATE($C$33,C109))</f>
        <v/>
      </c>
      <c r="E109" s="59" t="str">
        <f>IF(B109="","",I108)</f>
        <v/>
      </c>
      <c r="F109" s="59" t="str">
        <f>IF(B109="","",IF(B109="Básico",$C$24,IF(B109="Sucesivo",$C$25,$C$26)))</f>
        <v/>
      </c>
      <c r="G109" s="59" t="str">
        <f>IF(B109="","",IF(B109="Opción de compra",0,(E109-$C$7*F109)*IF(B109="Sucesivo",$C$11,$C$9)))</f>
        <v/>
      </c>
      <c r="H109" s="59" t="str">
        <f>IF(B109="","",F109-G109)</f>
        <v/>
      </c>
      <c r="I109" s="59" t="str">
        <f>IF(B109="","",E109-H109)</f>
        <v/>
      </c>
      <c r="J109" s="59" t="str">
        <f>IF(B109="","",IF(OR(inp_Tipo="Arrendamiento Puro",par_BaseIVAFin="Sobre renta",B109="Opción de compra"),F109,G109)*$C$14)</f>
        <v/>
      </c>
      <c r="K109" s="59" t="str">
        <f>IF(B109="","",F109+J109)</f>
        <v/>
      </c>
      <c r="L109" s="59" t="str">
        <f>IF(B109="","",F109-IF(A109=$C$38,$C$30,0))</f>
        <v/>
      </c>
      <c r="M109" s="78" t="str">
        <f>IF(B109="","",$C$37*(1+$C$13)^(-C109))</f>
        <v/>
      </c>
      <c r="N109" s="59" t="str">
        <f>IF(B109="","",L109*M109)</f>
        <v/>
      </c>
      <c r="O109" s="59" t="str">
        <f>IF(B109="","",IF(B109="Básico",F109,0)-IF(A109=$C$38,$C$30,0))</f>
        <v/>
      </c>
      <c r="P109" s="77">
        <f>IF(B109="",$C$31,D109)</f>
        <v>46295.0</v>
      </c>
      <c r="Q109" s="59">
        <f>IF(B109="",0,L109)</f>
        <v>0</v>
      </c>
      <c r="R109" s="59">
        <f>IF(B109="",0,-F109)</f>
        <v>0</v>
      </c>
      <c r="S109" s="59" t="str">
        <f>IF(B109="","",O109*M109)</f>
        <v/>
      </c>
    </row>
    <row r="110">
      <c r="A110" s="7" t="n">
        <v>65</v>
      </c>
      <c r="B110" s="7" t="str">
        <f>IF(A110&gt;$C$38,"",IF(A110&lt;=$C$5,"Básico",IF($C$6&gt;0,"Sucesivo","Opción de compra")))</f>
        <v/>
      </c>
      <c r="C110" s="7" t="str">
        <f>IF(B110="","",IF(B110="Opción de compra",$C$5,A110-$C$7))</f>
        <v/>
      </c>
      <c r="D110" s="77" t="str">
        <f>IF(B110="","",EDATE($C$33,C110))</f>
        <v/>
      </c>
      <c r="E110" s="59" t="str">
        <f>IF(B110="","",I109)</f>
        <v/>
      </c>
      <c r="F110" s="59" t="str">
        <f>IF(B110="","",IF(B110="Básico",$C$24,IF(B110="Sucesivo",$C$25,$C$26)))</f>
        <v/>
      </c>
      <c r="G110" s="59" t="str">
        <f>IF(B110="","",IF(B110="Opción de compra",0,(E110-$C$7*F110)*IF(B110="Sucesivo",$C$11,$C$9)))</f>
        <v/>
      </c>
      <c r="H110" s="59" t="str">
        <f>IF(B110="","",F110-G110)</f>
        <v/>
      </c>
      <c r="I110" s="59" t="str">
        <f>IF(B110="","",E110-H110)</f>
        <v/>
      </c>
      <c r="J110" s="59" t="str">
        <f>IF(B110="","",IF(OR(inp_Tipo="Arrendamiento Puro",par_BaseIVAFin="Sobre renta",B110="Opción de compra"),F110,G110)*$C$14)</f>
        <v/>
      </c>
      <c r="K110" s="59" t="str">
        <f>IF(B110="","",F110+J110)</f>
        <v/>
      </c>
      <c r="L110" s="59" t="str">
        <f>IF(B110="","",F110-IF(A110=$C$38,$C$30,0))</f>
        <v/>
      </c>
      <c r="M110" s="78" t="str">
        <f>IF(B110="","",$C$37*(1+$C$13)^(-C110))</f>
        <v/>
      </c>
      <c r="N110" s="59" t="str">
        <f>IF(B110="","",L110*M110)</f>
        <v/>
      </c>
      <c r="O110" s="59" t="str">
        <f>IF(B110="","",IF(B110="Básico",F110,0)-IF(A110=$C$38,$C$30,0))</f>
        <v/>
      </c>
      <c r="P110" s="77">
        <f>IF(B110="",$C$31,D110)</f>
        <v>46295.0</v>
      </c>
      <c r="Q110" s="59">
        <f>IF(B110="",0,L110)</f>
        <v>0</v>
      </c>
      <c r="R110" s="59">
        <f>IF(B110="",0,-F110)</f>
        <v>0</v>
      </c>
      <c r="S110" s="59" t="str">
        <f>IF(B110="","",O110*M110)</f>
        <v/>
      </c>
    </row>
    <row r="111">
      <c r="A111" s="7" t="n">
        <v>66</v>
      </c>
      <c r="B111" s="7" t="str">
        <f>IF(A111&gt;$C$38,"",IF(A111&lt;=$C$5,"Básico",IF($C$6&gt;0,"Sucesivo","Opción de compra")))</f>
        <v/>
      </c>
      <c r="C111" s="7" t="str">
        <f>IF(B111="","",IF(B111="Opción de compra",$C$5,A111-$C$7))</f>
        <v/>
      </c>
      <c r="D111" s="77" t="str">
        <f>IF(B111="","",EDATE($C$33,C111))</f>
        <v/>
      </c>
      <c r="E111" s="59" t="str">
        <f>IF(B111="","",I110)</f>
        <v/>
      </c>
      <c r="F111" s="59" t="str">
        <f>IF(B111="","",IF(B111="Básico",$C$24,IF(B111="Sucesivo",$C$25,$C$26)))</f>
        <v/>
      </c>
      <c r="G111" s="59" t="str">
        <f>IF(B111="","",IF(B111="Opción de compra",0,(E111-$C$7*F111)*IF(B111="Sucesivo",$C$11,$C$9)))</f>
        <v/>
      </c>
      <c r="H111" s="59" t="str">
        <f>IF(B111="","",F111-G111)</f>
        <v/>
      </c>
      <c r="I111" s="59" t="str">
        <f>IF(B111="","",E111-H111)</f>
        <v/>
      </c>
      <c r="J111" s="59" t="str">
        <f>IF(B111="","",IF(OR(inp_Tipo="Arrendamiento Puro",par_BaseIVAFin="Sobre renta",B111="Opción de compra"),F111,G111)*$C$14)</f>
        <v/>
      </c>
      <c r="K111" s="59" t="str">
        <f>IF(B111="","",F111+J111)</f>
        <v/>
      </c>
      <c r="L111" s="59" t="str">
        <f>IF(B111="","",F111-IF(A111=$C$38,$C$30,0))</f>
        <v/>
      </c>
      <c r="M111" s="78" t="str">
        <f>IF(B111="","",$C$37*(1+$C$13)^(-C111))</f>
        <v/>
      </c>
      <c r="N111" s="59" t="str">
        <f>IF(B111="","",L111*M111)</f>
        <v/>
      </c>
      <c r="O111" s="59" t="str">
        <f>IF(B111="","",IF(B111="Básico",F111,0)-IF(A111=$C$38,$C$30,0))</f>
        <v/>
      </c>
      <c r="P111" s="77">
        <f>IF(B111="",$C$31,D111)</f>
        <v>46295.0</v>
      </c>
      <c r="Q111" s="59">
        <f>IF(B111="",0,L111)</f>
        <v>0</v>
      </c>
      <c r="R111" s="59">
        <f>IF(B111="",0,-F111)</f>
        <v>0</v>
      </c>
      <c r="S111" s="59" t="str">
        <f>IF(B111="","",O111*M111)</f>
        <v/>
      </c>
    </row>
    <row r="112">
      <c r="A112" s="7" t="n">
        <v>67</v>
      </c>
      <c r="B112" s="7" t="str">
        <f>IF(A112&gt;$C$38,"",IF(A112&lt;=$C$5,"Básico",IF($C$6&gt;0,"Sucesivo","Opción de compra")))</f>
        <v/>
      </c>
      <c r="C112" s="7" t="str">
        <f>IF(B112="","",IF(B112="Opción de compra",$C$5,A112-$C$7))</f>
        <v/>
      </c>
      <c r="D112" s="77" t="str">
        <f>IF(B112="","",EDATE($C$33,C112))</f>
        <v/>
      </c>
      <c r="E112" s="59" t="str">
        <f>IF(B112="","",I111)</f>
        <v/>
      </c>
      <c r="F112" s="59" t="str">
        <f>IF(B112="","",IF(B112="Básico",$C$24,IF(B112="Sucesivo",$C$25,$C$26)))</f>
        <v/>
      </c>
      <c r="G112" s="59" t="str">
        <f>IF(B112="","",IF(B112="Opción de compra",0,(E112-$C$7*F112)*IF(B112="Sucesivo",$C$11,$C$9)))</f>
        <v/>
      </c>
      <c r="H112" s="59" t="str">
        <f>IF(B112="","",F112-G112)</f>
        <v/>
      </c>
      <c r="I112" s="59" t="str">
        <f>IF(B112="","",E112-H112)</f>
        <v/>
      </c>
      <c r="J112" s="59" t="str">
        <f>IF(B112="","",IF(OR(inp_Tipo="Arrendamiento Puro",par_BaseIVAFin="Sobre renta",B112="Opción de compra"),F112,G112)*$C$14)</f>
        <v/>
      </c>
      <c r="K112" s="59" t="str">
        <f>IF(B112="","",F112+J112)</f>
        <v/>
      </c>
      <c r="L112" s="59" t="str">
        <f>IF(B112="","",F112-IF(A112=$C$38,$C$30,0))</f>
        <v/>
      </c>
      <c r="M112" s="78" t="str">
        <f>IF(B112="","",$C$37*(1+$C$13)^(-C112))</f>
        <v/>
      </c>
      <c r="N112" s="59" t="str">
        <f>IF(B112="","",L112*M112)</f>
        <v/>
      </c>
      <c r="O112" s="59" t="str">
        <f>IF(B112="","",IF(B112="Básico",F112,0)-IF(A112=$C$38,$C$30,0))</f>
        <v/>
      </c>
      <c r="P112" s="77">
        <f>IF(B112="",$C$31,D112)</f>
        <v>46295.0</v>
      </c>
      <c r="Q112" s="59">
        <f>IF(B112="",0,L112)</f>
        <v>0</v>
      </c>
      <c r="R112" s="59">
        <f>IF(B112="",0,-F112)</f>
        <v>0</v>
      </c>
      <c r="S112" s="59" t="str">
        <f>IF(B112="","",O112*M112)</f>
        <v/>
      </c>
    </row>
    <row r="113">
      <c r="A113" s="7" t="n">
        <v>68</v>
      </c>
      <c r="B113" s="7" t="str">
        <f>IF(A113&gt;$C$38,"",IF(A113&lt;=$C$5,"Básico",IF($C$6&gt;0,"Sucesivo","Opción de compra")))</f>
        <v/>
      </c>
      <c r="C113" s="7" t="str">
        <f>IF(B113="","",IF(B113="Opción de compra",$C$5,A113-$C$7))</f>
        <v/>
      </c>
      <c r="D113" s="77" t="str">
        <f>IF(B113="","",EDATE($C$33,C113))</f>
        <v/>
      </c>
      <c r="E113" s="59" t="str">
        <f>IF(B113="","",I112)</f>
        <v/>
      </c>
      <c r="F113" s="59" t="str">
        <f>IF(B113="","",IF(B113="Básico",$C$24,IF(B113="Sucesivo",$C$25,$C$26)))</f>
        <v/>
      </c>
      <c r="G113" s="59" t="str">
        <f>IF(B113="","",IF(B113="Opción de compra",0,(E113-$C$7*F113)*IF(B113="Sucesivo",$C$11,$C$9)))</f>
        <v/>
      </c>
      <c r="H113" s="59" t="str">
        <f>IF(B113="","",F113-G113)</f>
        <v/>
      </c>
      <c r="I113" s="59" t="str">
        <f>IF(B113="","",E113-H113)</f>
        <v/>
      </c>
      <c r="J113" s="59" t="str">
        <f>IF(B113="","",IF(OR(inp_Tipo="Arrendamiento Puro",par_BaseIVAFin="Sobre renta",B113="Opción de compra"),F113,G113)*$C$14)</f>
        <v/>
      </c>
      <c r="K113" s="59" t="str">
        <f>IF(B113="","",F113+J113)</f>
        <v/>
      </c>
      <c r="L113" s="59" t="str">
        <f>IF(B113="","",F113-IF(A113=$C$38,$C$30,0))</f>
        <v/>
      </c>
      <c r="M113" s="78" t="str">
        <f>IF(B113="","",$C$37*(1+$C$13)^(-C113))</f>
        <v/>
      </c>
      <c r="N113" s="59" t="str">
        <f>IF(B113="","",L113*M113)</f>
        <v/>
      </c>
      <c r="O113" s="59" t="str">
        <f>IF(B113="","",IF(B113="Básico",F113,0)-IF(A113=$C$38,$C$30,0))</f>
        <v/>
      </c>
      <c r="P113" s="77">
        <f>IF(B113="",$C$31,D113)</f>
        <v>46295.0</v>
      </c>
      <c r="Q113" s="59">
        <f>IF(B113="",0,L113)</f>
        <v>0</v>
      </c>
      <c r="R113" s="59">
        <f>IF(B113="",0,-F113)</f>
        <v>0</v>
      </c>
      <c r="S113" s="59" t="str">
        <f>IF(B113="","",O113*M113)</f>
        <v/>
      </c>
    </row>
    <row r="114">
      <c r="A114" s="7" t="n">
        <v>69</v>
      </c>
      <c r="B114" s="7" t="str">
        <f>IF(A114&gt;$C$38,"",IF(A114&lt;=$C$5,"Básico",IF($C$6&gt;0,"Sucesivo","Opción de compra")))</f>
        <v/>
      </c>
      <c r="C114" s="7" t="str">
        <f>IF(B114="","",IF(B114="Opción de compra",$C$5,A114-$C$7))</f>
        <v/>
      </c>
      <c r="D114" s="77" t="str">
        <f>IF(B114="","",EDATE($C$33,C114))</f>
        <v/>
      </c>
      <c r="E114" s="59" t="str">
        <f>IF(B114="","",I113)</f>
        <v/>
      </c>
      <c r="F114" s="59" t="str">
        <f>IF(B114="","",IF(B114="Básico",$C$24,IF(B114="Sucesivo",$C$25,$C$26)))</f>
        <v/>
      </c>
      <c r="G114" s="59" t="str">
        <f>IF(B114="","",IF(B114="Opción de compra",0,(E114-$C$7*F114)*IF(B114="Sucesivo",$C$11,$C$9)))</f>
        <v/>
      </c>
      <c r="H114" s="59" t="str">
        <f>IF(B114="","",F114-G114)</f>
        <v/>
      </c>
      <c r="I114" s="59" t="str">
        <f>IF(B114="","",E114-H114)</f>
        <v/>
      </c>
      <c r="J114" s="59" t="str">
        <f>IF(B114="","",IF(OR(inp_Tipo="Arrendamiento Puro",par_BaseIVAFin="Sobre renta",B114="Opción de compra"),F114,G114)*$C$14)</f>
        <v/>
      </c>
      <c r="K114" s="59" t="str">
        <f>IF(B114="","",F114+J114)</f>
        <v/>
      </c>
      <c r="L114" s="59" t="str">
        <f>IF(B114="","",F114-IF(A114=$C$38,$C$30,0))</f>
        <v/>
      </c>
      <c r="M114" s="78" t="str">
        <f>IF(B114="","",$C$37*(1+$C$13)^(-C114))</f>
        <v/>
      </c>
      <c r="N114" s="59" t="str">
        <f>IF(B114="","",L114*M114)</f>
        <v/>
      </c>
      <c r="O114" s="59" t="str">
        <f>IF(B114="","",IF(B114="Básico",F114,0)-IF(A114=$C$38,$C$30,0))</f>
        <v/>
      </c>
      <c r="P114" s="77">
        <f>IF(B114="",$C$31,D114)</f>
        <v>46295.0</v>
      </c>
      <c r="Q114" s="59">
        <f>IF(B114="",0,L114)</f>
        <v>0</v>
      </c>
      <c r="R114" s="59">
        <f>IF(B114="",0,-F114)</f>
        <v>0</v>
      </c>
      <c r="S114" s="59" t="str">
        <f>IF(B114="","",O114*M114)</f>
        <v/>
      </c>
    </row>
    <row r="115">
      <c r="A115" s="7" t="n">
        <v>70</v>
      </c>
      <c r="B115" s="7" t="str">
        <f>IF(A115&gt;$C$38,"",IF(A115&lt;=$C$5,"Básico",IF($C$6&gt;0,"Sucesivo","Opción de compra")))</f>
        <v/>
      </c>
      <c r="C115" s="7" t="str">
        <f>IF(B115="","",IF(B115="Opción de compra",$C$5,A115-$C$7))</f>
        <v/>
      </c>
      <c r="D115" s="77" t="str">
        <f>IF(B115="","",EDATE($C$33,C115))</f>
        <v/>
      </c>
      <c r="E115" s="59" t="str">
        <f>IF(B115="","",I114)</f>
        <v/>
      </c>
      <c r="F115" s="59" t="str">
        <f>IF(B115="","",IF(B115="Básico",$C$24,IF(B115="Sucesivo",$C$25,$C$26)))</f>
        <v/>
      </c>
      <c r="G115" s="59" t="str">
        <f>IF(B115="","",IF(B115="Opción de compra",0,(E115-$C$7*F115)*IF(B115="Sucesivo",$C$11,$C$9)))</f>
        <v/>
      </c>
      <c r="H115" s="59" t="str">
        <f>IF(B115="","",F115-G115)</f>
        <v/>
      </c>
      <c r="I115" s="59" t="str">
        <f>IF(B115="","",E115-H115)</f>
        <v/>
      </c>
      <c r="J115" s="59" t="str">
        <f>IF(B115="","",IF(OR(inp_Tipo="Arrendamiento Puro",par_BaseIVAFin="Sobre renta",B115="Opción de compra"),F115,G115)*$C$14)</f>
        <v/>
      </c>
      <c r="K115" s="59" t="str">
        <f>IF(B115="","",F115+J115)</f>
        <v/>
      </c>
      <c r="L115" s="59" t="str">
        <f>IF(B115="","",F115-IF(A115=$C$38,$C$30,0))</f>
        <v/>
      </c>
      <c r="M115" s="78" t="str">
        <f>IF(B115="","",$C$37*(1+$C$13)^(-C115))</f>
        <v/>
      </c>
      <c r="N115" s="59" t="str">
        <f>IF(B115="","",L115*M115)</f>
        <v/>
      </c>
      <c r="O115" s="59" t="str">
        <f>IF(B115="","",IF(B115="Básico",F115,0)-IF(A115=$C$38,$C$30,0))</f>
        <v/>
      </c>
      <c r="P115" s="77">
        <f>IF(B115="",$C$31,D115)</f>
        <v>46295.0</v>
      </c>
      <c r="Q115" s="59">
        <f>IF(B115="",0,L115)</f>
        <v>0</v>
      </c>
      <c r="R115" s="59">
        <f>IF(B115="",0,-F115)</f>
        <v>0</v>
      </c>
      <c r="S115" s="59" t="str">
        <f>IF(B115="","",O115*M115)</f>
        <v/>
      </c>
    </row>
    <row r="116">
      <c r="A116" s="7" t="n">
        <v>71</v>
      </c>
      <c r="B116" s="7" t="str">
        <f>IF(A116&gt;$C$38,"",IF(A116&lt;=$C$5,"Básico",IF($C$6&gt;0,"Sucesivo","Opción de compra")))</f>
        <v/>
      </c>
      <c r="C116" s="7" t="str">
        <f>IF(B116="","",IF(B116="Opción de compra",$C$5,A116-$C$7))</f>
        <v/>
      </c>
      <c r="D116" s="77" t="str">
        <f>IF(B116="","",EDATE($C$33,C116))</f>
        <v/>
      </c>
      <c r="E116" s="59" t="str">
        <f>IF(B116="","",I115)</f>
        <v/>
      </c>
      <c r="F116" s="59" t="str">
        <f>IF(B116="","",IF(B116="Básico",$C$24,IF(B116="Sucesivo",$C$25,$C$26)))</f>
        <v/>
      </c>
      <c r="G116" s="59" t="str">
        <f>IF(B116="","",IF(B116="Opción de compra",0,(E116-$C$7*F116)*IF(B116="Sucesivo",$C$11,$C$9)))</f>
        <v/>
      </c>
      <c r="H116" s="59" t="str">
        <f>IF(B116="","",F116-G116)</f>
        <v/>
      </c>
      <c r="I116" s="59" t="str">
        <f>IF(B116="","",E116-H116)</f>
        <v/>
      </c>
      <c r="J116" s="59" t="str">
        <f>IF(B116="","",IF(OR(inp_Tipo="Arrendamiento Puro",par_BaseIVAFin="Sobre renta",B116="Opción de compra"),F116,G116)*$C$14)</f>
        <v/>
      </c>
      <c r="K116" s="59" t="str">
        <f>IF(B116="","",F116+J116)</f>
        <v/>
      </c>
      <c r="L116" s="59" t="str">
        <f>IF(B116="","",F116-IF(A116=$C$38,$C$30,0))</f>
        <v/>
      </c>
      <c r="M116" s="78" t="str">
        <f>IF(B116="","",$C$37*(1+$C$13)^(-C116))</f>
        <v/>
      </c>
      <c r="N116" s="59" t="str">
        <f>IF(B116="","",L116*M116)</f>
        <v/>
      </c>
      <c r="O116" s="59" t="str">
        <f>IF(B116="","",IF(B116="Básico",F116,0)-IF(A116=$C$38,$C$30,0))</f>
        <v/>
      </c>
      <c r="P116" s="77">
        <f>IF(B116="",$C$31,D116)</f>
        <v>46295.0</v>
      </c>
      <c r="Q116" s="59">
        <f>IF(B116="",0,L116)</f>
        <v>0</v>
      </c>
      <c r="R116" s="59">
        <f>IF(B116="",0,-F116)</f>
        <v>0</v>
      </c>
      <c r="S116" s="59" t="str">
        <f>IF(B116="","",O116*M116)</f>
        <v/>
      </c>
    </row>
    <row r="117">
      <c r="A117" s="7" t="n">
        <v>72</v>
      </c>
      <c r="B117" s="7" t="str">
        <f>IF(A117&gt;$C$38,"",IF(A117&lt;=$C$5,"Básico",IF($C$6&gt;0,"Sucesivo","Opción de compra")))</f>
        <v/>
      </c>
      <c r="C117" s="7" t="str">
        <f>IF(B117="","",IF(B117="Opción de compra",$C$5,A117-$C$7))</f>
        <v/>
      </c>
      <c r="D117" s="77" t="str">
        <f>IF(B117="","",EDATE($C$33,C117))</f>
        <v/>
      </c>
      <c r="E117" s="59" t="str">
        <f>IF(B117="","",I116)</f>
        <v/>
      </c>
      <c r="F117" s="59" t="str">
        <f>IF(B117="","",IF(B117="Básico",$C$24,IF(B117="Sucesivo",$C$25,$C$26)))</f>
        <v/>
      </c>
      <c r="G117" s="59" t="str">
        <f>IF(B117="","",IF(B117="Opción de compra",0,(E117-$C$7*F117)*IF(B117="Sucesivo",$C$11,$C$9)))</f>
        <v/>
      </c>
      <c r="H117" s="59" t="str">
        <f>IF(B117="","",F117-G117)</f>
        <v/>
      </c>
      <c r="I117" s="59" t="str">
        <f>IF(B117="","",E117-H117)</f>
        <v/>
      </c>
      <c r="J117" s="59" t="str">
        <f>IF(B117="","",IF(OR(inp_Tipo="Arrendamiento Puro",par_BaseIVAFin="Sobre renta",B117="Opción de compra"),F117,G117)*$C$14)</f>
        <v/>
      </c>
      <c r="K117" s="59" t="str">
        <f>IF(B117="","",F117+J117)</f>
        <v/>
      </c>
      <c r="L117" s="59" t="str">
        <f>IF(B117="","",F117-IF(A117=$C$38,$C$30,0))</f>
        <v/>
      </c>
      <c r="M117" s="78" t="str">
        <f>IF(B117="","",$C$37*(1+$C$13)^(-C117))</f>
        <v/>
      </c>
      <c r="N117" s="59" t="str">
        <f>IF(B117="","",L117*M117)</f>
        <v/>
      </c>
      <c r="O117" s="59" t="str">
        <f>IF(B117="","",IF(B117="Básico",F117,0)-IF(A117=$C$38,$C$30,0))</f>
        <v/>
      </c>
      <c r="P117" s="77">
        <f>IF(B117="",$C$31,D117)</f>
        <v>46295.0</v>
      </c>
      <c r="Q117" s="59">
        <f>IF(B117="",0,L117)</f>
        <v>0</v>
      </c>
      <c r="R117" s="59">
        <f>IF(B117="",0,-F117)</f>
        <v>0</v>
      </c>
      <c r="S117" s="59" t="str">
        <f>IF(B117="","",O117*M117)</f>
        <v/>
      </c>
    </row>
    <row r="118">
      <c r="A118" s="7" t="n">
        <v>73</v>
      </c>
      <c r="B118" s="7" t="str">
        <f>IF(A118&gt;$C$38,"",IF(A118&lt;=$C$5,"Básico",IF($C$6&gt;0,"Sucesivo","Opción de compra")))</f>
        <v/>
      </c>
      <c r="C118" s="7" t="str">
        <f>IF(B118="","",IF(B118="Opción de compra",$C$5,A118-$C$7))</f>
        <v/>
      </c>
      <c r="D118" s="77" t="str">
        <f>IF(B118="","",EDATE($C$33,C118))</f>
        <v/>
      </c>
      <c r="E118" s="59" t="str">
        <f>IF(B118="","",I117)</f>
        <v/>
      </c>
      <c r="F118" s="59" t="str">
        <f>IF(B118="","",IF(B118="Básico",$C$24,IF(B118="Sucesivo",$C$25,$C$26)))</f>
        <v/>
      </c>
      <c r="G118" s="59" t="str">
        <f>IF(B118="","",IF(B118="Opción de compra",0,(E118-$C$7*F118)*IF(B118="Sucesivo",$C$11,$C$9)))</f>
        <v/>
      </c>
      <c r="H118" s="59" t="str">
        <f>IF(B118="","",F118-G118)</f>
        <v/>
      </c>
      <c r="I118" s="59" t="str">
        <f>IF(B118="","",E118-H118)</f>
        <v/>
      </c>
      <c r="J118" s="59" t="str">
        <f>IF(B118="","",IF(OR(inp_Tipo="Arrendamiento Puro",par_BaseIVAFin="Sobre renta",B118="Opción de compra"),F118,G118)*$C$14)</f>
        <v/>
      </c>
      <c r="K118" s="59" t="str">
        <f>IF(B118="","",F118+J118)</f>
        <v/>
      </c>
      <c r="L118" s="59" t="str">
        <f>IF(B118="","",F118-IF(A118=$C$38,$C$30,0))</f>
        <v/>
      </c>
      <c r="M118" s="78" t="str">
        <f>IF(B118="","",$C$37*(1+$C$13)^(-C118))</f>
        <v/>
      </c>
      <c r="N118" s="59" t="str">
        <f>IF(B118="","",L118*M118)</f>
        <v/>
      </c>
      <c r="O118" s="59" t="str">
        <f>IF(B118="","",IF(B118="Básico",F118,0)-IF(A118=$C$38,$C$30,0))</f>
        <v/>
      </c>
      <c r="P118" s="77">
        <f>IF(B118="",$C$31,D118)</f>
        <v>46295.0</v>
      </c>
      <c r="Q118" s="59">
        <f>IF(B118="",0,L118)</f>
        <v>0</v>
      </c>
      <c r="R118" s="59">
        <f>IF(B118="",0,-F118)</f>
        <v>0</v>
      </c>
      <c r="S118" s="59" t="str">
        <f>IF(B118="","",O118*M118)</f>
        <v/>
      </c>
    </row>
    <row r="119">
      <c r="A119" s="7" t="n">
        <v>74</v>
      </c>
      <c r="B119" s="7" t="str">
        <f>IF(A119&gt;$C$38,"",IF(A119&lt;=$C$5,"Básico",IF($C$6&gt;0,"Sucesivo","Opción de compra")))</f>
        <v/>
      </c>
      <c r="C119" s="7" t="str">
        <f>IF(B119="","",IF(B119="Opción de compra",$C$5,A119-$C$7))</f>
        <v/>
      </c>
      <c r="D119" s="77" t="str">
        <f>IF(B119="","",EDATE($C$33,C119))</f>
        <v/>
      </c>
      <c r="E119" s="59" t="str">
        <f>IF(B119="","",I118)</f>
        <v/>
      </c>
      <c r="F119" s="59" t="str">
        <f>IF(B119="","",IF(B119="Básico",$C$24,IF(B119="Sucesivo",$C$25,$C$26)))</f>
        <v/>
      </c>
      <c r="G119" s="59" t="str">
        <f>IF(B119="","",IF(B119="Opción de compra",0,(E119-$C$7*F119)*IF(B119="Sucesivo",$C$11,$C$9)))</f>
        <v/>
      </c>
      <c r="H119" s="59" t="str">
        <f>IF(B119="","",F119-G119)</f>
        <v/>
      </c>
      <c r="I119" s="59" t="str">
        <f>IF(B119="","",E119-H119)</f>
        <v/>
      </c>
      <c r="J119" s="59" t="str">
        <f>IF(B119="","",IF(OR(inp_Tipo="Arrendamiento Puro",par_BaseIVAFin="Sobre renta",B119="Opción de compra"),F119,G119)*$C$14)</f>
        <v/>
      </c>
      <c r="K119" s="59" t="str">
        <f>IF(B119="","",F119+J119)</f>
        <v/>
      </c>
      <c r="L119" s="59" t="str">
        <f>IF(B119="","",F119-IF(A119=$C$38,$C$30,0))</f>
        <v/>
      </c>
      <c r="M119" s="78" t="str">
        <f>IF(B119="","",$C$37*(1+$C$13)^(-C119))</f>
        <v/>
      </c>
      <c r="N119" s="59" t="str">
        <f>IF(B119="","",L119*M119)</f>
        <v/>
      </c>
      <c r="O119" s="59" t="str">
        <f>IF(B119="","",IF(B119="Básico",F119,0)-IF(A119=$C$38,$C$30,0))</f>
        <v/>
      </c>
      <c r="P119" s="77">
        <f>IF(B119="",$C$31,D119)</f>
        <v>46295.0</v>
      </c>
      <c r="Q119" s="59">
        <f>IF(B119="",0,L119)</f>
        <v>0</v>
      </c>
      <c r="R119" s="59">
        <f>IF(B119="",0,-F119)</f>
        <v>0</v>
      </c>
      <c r="S119" s="59" t="str">
        <f>IF(B119="","",O119*M119)</f>
        <v/>
      </c>
    </row>
    <row r="120">
      <c r="A120" s="7" t="n">
        <v>75</v>
      </c>
      <c r="B120" s="7" t="str">
        <f>IF(A120&gt;$C$38,"",IF(A120&lt;=$C$5,"Básico",IF($C$6&gt;0,"Sucesivo","Opción de compra")))</f>
        <v/>
      </c>
      <c r="C120" s="7" t="str">
        <f>IF(B120="","",IF(B120="Opción de compra",$C$5,A120-$C$7))</f>
        <v/>
      </c>
      <c r="D120" s="77" t="str">
        <f>IF(B120="","",EDATE($C$33,C120))</f>
        <v/>
      </c>
      <c r="E120" s="59" t="str">
        <f>IF(B120="","",I119)</f>
        <v/>
      </c>
      <c r="F120" s="59" t="str">
        <f>IF(B120="","",IF(B120="Básico",$C$24,IF(B120="Sucesivo",$C$25,$C$26)))</f>
        <v/>
      </c>
      <c r="G120" s="59" t="str">
        <f>IF(B120="","",IF(B120="Opción de compra",0,(E120-$C$7*F120)*IF(B120="Sucesivo",$C$11,$C$9)))</f>
        <v/>
      </c>
      <c r="H120" s="59" t="str">
        <f>IF(B120="","",F120-G120)</f>
        <v/>
      </c>
      <c r="I120" s="59" t="str">
        <f>IF(B120="","",E120-H120)</f>
        <v/>
      </c>
      <c r="J120" s="59" t="str">
        <f>IF(B120="","",IF(OR(inp_Tipo="Arrendamiento Puro",par_BaseIVAFin="Sobre renta",B120="Opción de compra"),F120,G120)*$C$14)</f>
        <v/>
      </c>
      <c r="K120" s="59" t="str">
        <f>IF(B120="","",F120+J120)</f>
        <v/>
      </c>
      <c r="L120" s="59" t="str">
        <f>IF(B120="","",F120-IF(A120=$C$38,$C$30,0))</f>
        <v/>
      </c>
      <c r="M120" s="78" t="str">
        <f>IF(B120="","",$C$37*(1+$C$13)^(-C120))</f>
        <v/>
      </c>
      <c r="N120" s="59" t="str">
        <f>IF(B120="","",L120*M120)</f>
        <v/>
      </c>
      <c r="O120" s="59" t="str">
        <f>IF(B120="","",IF(B120="Básico",F120,0)-IF(A120=$C$38,$C$30,0))</f>
        <v/>
      </c>
      <c r="P120" s="77">
        <f>IF(B120="",$C$31,D120)</f>
        <v>46295.0</v>
      </c>
      <c r="Q120" s="59">
        <f>IF(B120="",0,L120)</f>
        <v>0</v>
      </c>
      <c r="R120" s="59">
        <f>IF(B120="",0,-F120)</f>
        <v>0</v>
      </c>
      <c r="S120" s="59" t="str">
        <f>IF(B120="","",O120*M120)</f>
        <v/>
      </c>
    </row>
    <row r="121">
      <c r="A121" s="7" t="n">
        <v>76</v>
      </c>
      <c r="B121" s="7" t="str">
        <f>IF(A121&gt;$C$38,"",IF(A121&lt;=$C$5,"Básico",IF($C$6&gt;0,"Sucesivo","Opción de compra")))</f>
        <v/>
      </c>
      <c r="C121" s="7" t="str">
        <f>IF(B121="","",IF(B121="Opción de compra",$C$5,A121-$C$7))</f>
        <v/>
      </c>
      <c r="D121" s="77" t="str">
        <f>IF(B121="","",EDATE($C$33,C121))</f>
        <v/>
      </c>
      <c r="E121" s="59" t="str">
        <f>IF(B121="","",I120)</f>
        <v/>
      </c>
      <c r="F121" s="59" t="str">
        <f>IF(B121="","",IF(B121="Básico",$C$24,IF(B121="Sucesivo",$C$25,$C$26)))</f>
        <v/>
      </c>
      <c r="G121" s="59" t="str">
        <f>IF(B121="","",IF(B121="Opción de compra",0,(E121-$C$7*F121)*IF(B121="Sucesivo",$C$11,$C$9)))</f>
        <v/>
      </c>
      <c r="H121" s="59" t="str">
        <f>IF(B121="","",F121-G121)</f>
        <v/>
      </c>
      <c r="I121" s="59" t="str">
        <f>IF(B121="","",E121-H121)</f>
        <v/>
      </c>
      <c r="J121" s="59" t="str">
        <f>IF(B121="","",IF(OR(inp_Tipo="Arrendamiento Puro",par_BaseIVAFin="Sobre renta",B121="Opción de compra"),F121,G121)*$C$14)</f>
        <v/>
      </c>
      <c r="K121" s="59" t="str">
        <f>IF(B121="","",F121+J121)</f>
        <v/>
      </c>
      <c r="L121" s="59" t="str">
        <f>IF(B121="","",F121-IF(A121=$C$38,$C$30,0))</f>
        <v/>
      </c>
      <c r="M121" s="78" t="str">
        <f>IF(B121="","",$C$37*(1+$C$13)^(-C121))</f>
        <v/>
      </c>
      <c r="N121" s="59" t="str">
        <f>IF(B121="","",L121*M121)</f>
        <v/>
      </c>
      <c r="O121" s="59" t="str">
        <f>IF(B121="","",IF(B121="Básico",F121,0)-IF(A121=$C$38,$C$30,0))</f>
        <v/>
      </c>
      <c r="P121" s="77">
        <f>IF(B121="",$C$31,D121)</f>
        <v>46295.0</v>
      </c>
      <c r="Q121" s="59">
        <f>IF(B121="",0,L121)</f>
        <v>0</v>
      </c>
      <c r="R121" s="59">
        <f>IF(B121="",0,-F121)</f>
        <v>0</v>
      </c>
      <c r="S121" s="59" t="str">
        <f>IF(B121="","",O121*M121)</f>
        <v/>
      </c>
    </row>
    <row r="122">
      <c r="A122" s="7" t="n">
        <v>77</v>
      </c>
      <c r="B122" s="7" t="str">
        <f>IF(A122&gt;$C$38,"",IF(A122&lt;=$C$5,"Básico",IF($C$6&gt;0,"Sucesivo","Opción de compra")))</f>
        <v/>
      </c>
      <c r="C122" s="7" t="str">
        <f>IF(B122="","",IF(B122="Opción de compra",$C$5,A122-$C$7))</f>
        <v/>
      </c>
      <c r="D122" s="77" t="str">
        <f>IF(B122="","",EDATE($C$33,C122))</f>
        <v/>
      </c>
      <c r="E122" s="59" t="str">
        <f>IF(B122="","",I121)</f>
        <v/>
      </c>
      <c r="F122" s="59" t="str">
        <f>IF(B122="","",IF(B122="Básico",$C$24,IF(B122="Sucesivo",$C$25,$C$26)))</f>
        <v/>
      </c>
      <c r="G122" s="59" t="str">
        <f>IF(B122="","",IF(B122="Opción de compra",0,(E122-$C$7*F122)*IF(B122="Sucesivo",$C$11,$C$9)))</f>
        <v/>
      </c>
      <c r="H122" s="59" t="str">
        <f>IF(B122="","",F122-G122)</f>
        <v/>
      </c>
      <c r="I122" s="59" t="str">
        <f>IF(B122="","",E122-H122)</f>
        <v/>
      </c>
      <c r="J122" s="59" t="str">
        <f>IF(B122="","",IF(OR(inp_Tipo="Arrendamiento Puro",par_BaseIVAFin="Sobre renta",B122="Opción de compra"),F122,G122)*$C$14)</f>
        <v/>
      </c>
      <c r="K122" s="59" t="str">
        <f>IF(B122="","",F122+J122)</f>
        <v/>
      </c>
      <c r="L122" s="59" t="str">
        <f>IF(B122="","",F122-IF(A122=$C$38,$C$30,0))</f>
        <v/>
      </c>
      <c r="M122" s="78" t="str">
        <f>IF(B122="","",$C$37*(1+$C$13)^(-C122))</f>
        <v/>
      </c>
      <c r="N122" s="59" t="str">
        <f>IF(B122="","",L122*M122)</f>
        <v/>
      </c>
      <c r="O122" s="59" t="str">
        <f>IF(B122="","",IF(B122="Básico",F122,0)-IF(A122=$C$38,$C$30,0))</f>
        <v/>
      </c>
      <c r="P122" s="77">
        <f>IF(B122="",$C$31,D122)</f>
        <v>46295.0</v>
      </c>
      <c r="Q122" s="59">
        <f>IF(B122="",0,L122)</f>
        <v>0</v>
      </c>
      <c r="R122" s="59">
        <f>IF(B122="",0,-F122)</f>
        <v>0</v>
      </c>
      <c r="S122" s="59" t="str">
        <f>IF(B122="","",O122*M122)</f>
        <v/>
      </c>
    </row>
    <row r="123">
      <c r="A123" s="7" t="n">
        <v>78</v>
      </c>
      <c r="B123" s="7" t="str">
        <f>IF(A123&gt;$C$38,"",IF(A123&lt;=$C$5,"Básico",IF($C$6&gt;0,"Sucesivo","Opción de compra")))</f>
        <v/>
      </c>
      <c r="C123" s="7" t="str">
        <f>IF(B123="","",IF(B123="Opción de compra",$C$5,A123-$C$7))</f>
        <v/>
      </c>
      <c r="D123" s="77" t="str">
        <f>IF(B123="","",EDATE($C$33,C123))</f>
        <v/>
      </c>
      <c r="E123" s="59" t="str">
        <f>IF(B123="","",I122)</f>
        <v/>
      </c>
      <c r="F123" s="59" t="str">
        <f>IF(B123="","",IF(B123="Básico",$C$24,IF(B123="Sucesivo",$C$25,$C$26)))</f>
        <v/>
      </c>
      <c r="G123" s="59" t="str">
        <f>IF(B123="","",IF(B123="Opción de compra",0,(E123-$C$7*F123)*IF(B123="Sucesivo",$C$11,$C$9)))</f>
        <v/>
      </c>
      <c r="H123" s="59" t="str">
        <f>IF(B123="","",F123-G123)</f>
        <v/>
      </c>
      <c r="I123" s="59" t="str">
        <f>IF(B123="","",E123-H123)</f>
        <v/>
      </c>
      <c r="J123" s="59" t="str">
        <f>IF(B123="","",IF(OR(inp_Tipo="Arrendamiento Puro",par_BaseIVAFin="Sobre renta",B123="Opción de compra"),F123,G123)*$C$14)</f>
        <v/>
      </c>
      <c r="K123" s="59" t="str">
        <f>IF(B123="","",F123+J123)</f>
        <v/>
      </c>
      <c r="L123" s="59" t="str">
        <f>IF(B123="","",F123-IF(A123=$C$38,$C$30,0))</f>
        <v/>
      </c>
      <c r="M123" s="78" t="str">
        <f>IF(B123="","",$C$37*(1+$C$13)^(-C123))</f>
        <v/>
      </c>
      <c r="N123" s="59" t="str">
        <f>IF(B123="","",L123*M123)</f>
        <v/>
      </c>
      <c r="O123" s="59" t="str">
        <f>IF(B123="","",IF(B123="Básico",F123,0)-IF(A123=$C$38,$C$30,0))</f>
        <v/>
      </c>
      <c r="P123" s="77">
        <f>IF(B123="",$C$31,D123)</f>
        <v>46295.0</v>
      </c>
      <c r="Q123" s="59">
        <f>IF(B123="",0,L123)</f>
        <v>0</v>
      </c>
      <c r="R123" s="59">
        <f>IF(B123="",0,-F123)</f>
        <v>0</v>
      </c>
      <c r="S123" s="59" t="str">
        <f>IF(B123="","",O123*M123)</f>
        <v/>
      </c>
    </row>
    <row r="124">
      <c r="A124" s="7" t="n">
        <v>79</v>
      </c>
      <c r="B124" s="7" t="str">
        <f>IF(A124&gt;$C$38,"",IF(A124&lt;=$C$5,"Básico",IF($C$6&gt;0,"Sucesivo","Opción de compra")))</f>
        <v/>
      </c>
      <c r="C124" s="7" t="str">
        <f>IF(B124="","",IF(B124="Opción de compra",$C$5,A124-$C$7))</f>
        <v/>
      </c>
      <c r="D124" s="77" t="str">
        <f>IF(B124="","",EDATE($C$33,C124))</f>
        <v/>
      </c>
      <c r="E124" s="59" t="str">
        <f>IF(B124="","",I123)</f>
        <v/>
      </c>
      <c r="F124" s="59" t="str">
        <f>IF(B124="","",IF(B124="Básico",$C$24,IF(B124="Sucesivo",$C$25,$C$26)))</f>
        <v/>
      </c>
      <c r="G124" s="59" t="str">
        <f>IF(B124="","",IF(B124="Opción de compra",0,(E124-$C$7*F124)*IF(B124="Sucesivo",$C$11,$C$9)))</f>
        <v/>
      </c>
      <c r="H124" s="59" t="str">
        <f>IF(B124="","",F124-G124)</f>
        <v/>
      </c>
      <c r="I124" s="59" t="str">
        <f>IF(B124="","",E124-H124)</f>
        <v/>
      </c>
      <c r="J124" s="59" t="str">
        <f>IF(B124="","",IF(OR(inp_Tipo="Arrendamiento Puro",par_BaseIVAFin="Sobre renta",B124="Opción de compra"),F124,G124)*$C$14)</f>
        <v/>
      </c>
      <c r="K124" s="59" t="str">
        <f>IF(B124="","",F124+J124)</f>
        <v/>
      </c>
      <c r="L124" s="59" t="str">
        <f>IF(B124="","",F124-IF(A124=$C$38,$C$30,0))</f>
        <v/>
      </c>
      <c r="M124" s="78" t="str">
        <f>IF(B124="","",$C$37*(1+$C$13)^(-C124))</f>
        <v/>
      </c>
      <c r="N124" s="59" t="str">
        <f>IF(B124="","",L124*M124)</f>
        <v/>
      </c>
      <c r="O124" s="59" t="str">
        <f>IF(B124="","",IF(B124="Básico",F124,0)-IF(A124=$C$38,$C$30,0))</f>
        <v/>
      </c>
      <c r="P124" s="77">
        <f>IF(B124="",$C$31,D124)</f>
        <v>46295.0</v>
      </c>
      <c r="Q124" s="59">
        <f>IF(B124="",0,L124)</f>
        <v>0</v>
      </c>
      <c r="R124" s="59">
        <f>IF(B124="",0,-F124)</f>
        <v>0</v>
      </c>
      <c r="S124" s="59" t="str">
        <f>IF(B124="","",O124*M124)</f>
        <v/>
      </c>
    </row>
    <row r="125">
      <c r="A125" s="7" t="n">
        <v>80</v>
      </c>
      <c r="B125" s="7" t="str">
        <f>IF(A125&gt;$C$38,"",IF(A125&lt;=$C$5,"Básico",IF($C$6&gt;0,"Sucesivo","Opción de compra")))</f>
        <v/>
      </c>
      <c r="C125" s="7" t="str">
        <f>IF(B125="","",IF(B125="Opción de compra",$C$5,A125-$C$7))</f>
        <v/>
      </c>
      <c r="D125" s="77" t="str">
        <f>IF(B125="","",EDATE($C$33,C125))</f>
        <v/>
      </c>
      <c r="E125" s="59" t="str">
        <f>IF(B125="","",I124)</f>
        <v/>
      </c>
      <c r="F125" s="59" t="str">
        <f>IF(B125="","",IF(B125="Básico",$C$24,IF(B125="Sucesivo",$C$25,$C$26)))</f>
        <v/>
      </c>
      <c r="G125" s="59" t="str">
        <f>IF(B125="","",IF(B125="Opción de compra",0,(E125-$C$7*F125)*IF(B125="Sucesivo",$C$11,$C$9)))</f>
        <v/>
      </c>
      <c r="H125" s="59" t="str">
        <f>IF(B125="","",F125-G125)</f>
        <v/>
      </c>
      <c r="I125" s="59" t="str">
        <f>IF(B125="","",E125-H125)</f>
        <v/>
      </c>
      <c r="J125" s="59" t="str">
        <f>IF(B125="","",IF(OR(inp_Tipo="Arrendamiento Puro",par_BaseIVAFin="Sobre renta",B125="Opción de compra"),F125,G125)*$C$14)</f>
        <v/>
      </c>
      <c r="K125" s="59" t="str">
        <f>IF(B125="","",F125+J125)</f>
        <v/>
      </c>
      <c r="L125" s="59" t="str">
        <f>IF(B125="","",F125-IF(A125=$C$38,$C$30,0))</f>
        <v/>
      </c>
      <c r="M125" s="78" t="str">
        <f>IF(B125="","",$C$37*(1+$C$13)^(-C125))</f>
        <v/>
      </c>
      <c r="N125" s="59" t="str">
        <f>IF(B125="","",L125*M125)</f>
        <v/>
      </c>
      <c r="O125" s="59" t="str">
        <f>IF(B125="","",IF(B125="Básico",F125,0)-IF(A125=$C$38,$C$30,0))</f>
        <v/>
      </c>
      <c r="P125" s="77">
        <f>IF(B125="",$C$31,D125)</f>
        <v>46295.0</v>
      </c>
      <c r="Q125" s="59">
        <f>IF(B125="",0,L125)</f>
        <v>0</v>
      </c>
      <c r="R125" s="59">
        <f>IF(B125="",0,-F125)</f>
        <v>0</v>
      </c>
      <c r="S125" s="59" t="str">
        <f>IF(B125="","",O125*M125)</f>
        <v/>
      </c>
    </row>
    <row r="126">
      <c r="A126" s="7" t="n">
        <v>81</v>
      </c>
      <c r="B126" s="7" t="str">
        <f>IF(A126&gt;$C$38,"",IF(A126&lt;=$C$5,"Básico",IF($C$6&gt;0,"Sucesivo","Opción de compra")))</f>
        <v/>
      </c>
      <c r="C126" s="7" t="str">
        <f>IF(B126="","",IF(B126="Opción de compra",$C$5,A126-$C$7))</f>
        <v/>
      </c>
      <c r="D126" s="77" t="str">
        <f>IF(B126="","",EDATE($C$33,C126))</f>
        <v/>
      </c>
      <c r="E126" s="59" t="str">
        <f>IF(B126="","",I125)</f>
        <v/>
      </c>
      <c r="F126" s="59" t="str">
        <f>IF(B126="","",IF(B126="Básico",$C$24,IF(B126="Sucesivo",$C$25,$C$26)))</f>
        <v/>
      </c>
      <c r="G126" s="59" t="str">
        <f>IF(B126="","",IF(B126="Opción de compra",0,(E126-$C$7*F126)*IF(B126="Sucesivo",$C$11,$C$9)))</f>
        <v/>
      </c>
      <c r="H126" s="59" t="str">
        <f>IF(B126="","",F126-G126)</f>
        <v/>
      </c>
      <c r="I126" s="59" t="str">
        <f>IF(B126="","",E126-H126)</f>
        <v/>
      </c>
      <c r="J126" s="59" t="str">
        <f>IF(B126="","",IF(OR(inp_Tipo="Arrendamiento Puro",par_BaseIVAFin="Sobre renta",B126="Opción de compra"),F126,G126)*$C$14)</f>
        <v/>
      </c>
      <c r="K126" s="59" t="str">
        <f>IF(B126="","",F126+J126)</f>
        <v/>
      </c>
      <c r="L126" s="59" t="str">
        <f>IF(B126="","",F126-IF(A126=$C$38,$C$30,0))</f>
        <v/>
      </c>
      <c r="M126" s="78" t="str">
        <f>IF(B126="","",$C$37*(1+$C$13)^(-C126))</f>
        <v/>
      </c>
      <c r="N126" s="59" t="str">
        <f>IF(B126="","",L126*M126)</f>
        <v/>
      </c>
      <c r="O126" s="59" t="str">
        <f>IF(B126="","",IF(B126="Básico",F126,0)-IF(A126=$C$38,$C$30,0))</f>
        <v/>
      </c>
      <c r="P126" s="77">
        <f>IF(B126="",$C$31,D126)</f>
        <v>46295.0</v>
      </c>
      <c r="Q126" s="59">
        <f>IF(B126="",0,L126)</f>
        <v>0</v>
      </c>
      <c r="R126" s="59">
        <f>IF(B126="",0,-F126)</f>
        <v>0</v>
      </c>
      <c r="S126" s="59" t="str">
        <f>IF(B126="","",O126*M126)</f>
        <v/>
      </c>
    </row>
    <row r="127">
      <c r="A127" s="7" t="n">
        <v>82</v>
      </c>
      <c r="B127" s="7" t="str">
        <f>IF(A127&gt;$C$38,"",IF(A127&lt;=$C$5,"Básico",IF($C$6&gt;0,"Sucesivo","Opción de compra")))</f>
        <v/>
      </c>
      <c r="C127" s="7" t="str">
        <f>IF(B127="","",IF(B127="Opción de compra",$C$5,A127-$C$7))</f>
        <v/>
      </c>
      <c r="D127" s="77" t="str">
        <f>IF(B127="","",EDATE($C$33,C127))</f>
        <v/>
      </c>
      <c r="E127" s="59" t="str">
        <f>IF(B127="","",I126)</f>
        <v/>
      </c>
      <c r="F127" s="59" t="str">
        <f>IF(B127="","",IF(B127="Básico",$C$24,IF(B127="Sucesivo",$C$25,$C$26)))</f>
        <v/>
      </c>
      <c r="G127" s="59" t="str">
        <f>IF(B127="","",IF(B127="Opción de compra",0,(E127-$C$7*F127)*IF(B127="Sucesivo",$C$11,$C$9)))</f>
        <v/>
      </c>
      <c r="H127" s="59" t="str">
        <f>IF(B127="","",F127-G127)</f>
        <v/>
      </c>
      <c r="I127" s="59" t="str">
        <f>IF(B127="","",E127-H127)</f>
        <v/>
      </c>
      <c r="J127" s="59" t="str">
        <f>IF(B127="","",IF(OR(inp_Tipo="Arrendamiento Puro",par_BaseIVAFin="Sobre renta",B127="Opción de compra"),F127,G127)*$C$14)</f>
        <v/>
      </c>
      <c r="K127" s="59" t="str">
        <f>IF(B127="","",F127+J127)</f>
        <v/>
      </c>
      <c r="L127" s="59" t="str">
        <f>IF(B127="","",F127-IF(A127=$C$38,$C$30,0))</f>
        <v/>
      </c>
      <c r="M127" s="78" t="str">
        <f>IF(B127="","",$C$37*(1+$C$13)^(-C127))</f>
        <v/>
      </c>
      <c r="N127" s="59" t="str">
        <f>IF(B127="","",L127*M127)</f>
        <v/>
      </c>
      <c r="O127" s="59" t="str">
        <f>IF(B127="","",IF(B127="Básico",F127,0)-IF(A127=$C$38,$C$30,0))</f>
        <v/>
      </c>
      <c r="P127" s="77">
        <f>IF(B127="",$C$31,D127)</f>
        <v>46295.0</v>
      </c>
      <c r="Q127" s="59">
        <f>IF(B127="",0,L127)</f>
        <v>0</v>
      </c>
      <c r="R127" s="59">
        <f>IF(B127="",0,-F127)</f>
        <v>0</v>
      </c>
      <c r="S127" s="59" t="str">
        <f>IF(B127="","",O127*M127)</f>
        <v/>
      </c>
    </row>
    <row r="128">
      <c r="A128" s="7" t="n">
        <v>83</v>
      </c>
      <c r="B128" s="7" t="str">
        <f>IF(A128&gt;$C$38,"",IF(A128&lt;=$C$5,"Básico",IF($C$6&gt;0,"Sucesivo","Opción de compra")))</f>
        <v/>
      </c>
      <c r="C128" s="7" t="str">
        <f>IF(B128="","",IF(B128="Opción de compra",$C$5,A128-$C$7))</f>
        <v/>
      </c>
      <c r="D128" s="77" t="str">
        <f>IF(B128="","",EDATE($C$33,C128))</f>
        <v/>
      </c>
      <c r="E128" s="59" t="str">
        <f>IF(B128="","",I127)</f>
        <v/>
      </c>
      <c r="F128" s="59" t="str">
        <f>IF(B128="","",IF(B128="Básico",$C$24,IF(B128="Sucesivo",$C$25,$C$26)))</f>
        <v/>
      </c>
      <c r="G128" s="59" t="str">
        <f>IF(B128="","",IF(B128="Opción de compra",0,(E128-$C$7*F128)*IF(B128="Sucesivo",$C$11,$C$9)))</f>
        <v/>
      </c>
      <c r="H128" s="59" t="str">
        <f>IF(B128="","",F128-G128)</f>
        <v/>
      </c>
      <c r="I128" s="59" t="str">
        <f>IF(B128="","",E128-H128)</f>
        <v/>
      </c>
      <c r="J128" s="59" t="str">
        <f>IF(B128="","",IF(OR(inp_Tipo="Arrendamiento Puro",par_BaseIVAFin="Sobre renta",B128="Opción de compra"),F128,G128)*$C$14)</f>
        <v/>
      </c>
      <c r="K128" s="59" t="str">
        <f>IF(B128="","",F128+J128)</f>
        <v/>
      </c>
      <c r="L128" s="59" t="str">
        <f>IF(B128="","",F128-IF(A128=$C$38,$C$30,0))</f>
        <v/>
      </c>
      <c r="M128" s="78" t="str">
        <f>IF(B128="","",$C$37*(1+$C$13)^(-C128))</f>
        <v/>
      </c>
      <c r="N128" s="59" t="str">
        <f>IF(B128="","",L128*M128)</f>
        <v/>
      </c>
      <c r="O128" s="59" t="str">
        <f>IF(B128="","",IF(B128="Básico",F128,0)-IF(A128=$C$38,$C$30,0))</f>
        <v/>
      </c>
      <c r="P128" s="77">
        <f>IF(B128="",$C$31,D128)</f>
        <v>46295.0</v>
      </c>
      <c r="Q128" s="59">
        <f>IF(B128="",0,L128)</f>
        <v>0</v>
      </c>
      <c r="R128" s="59">
        <f>IF(B128="",0,-F128)</f>
        <v>0</v>
      </c>
      <c r="S128" s="59" t="str">
        <f>IF(B128="","",O128*M128)</f>
        <v/>
      </c>
    </row>
    <row r="129">
      <c r="A129" s="7" t="n">
        <v>84</v>
      </c>
      <c r="B129" s="7" t="str">
        <f>IF(A129&gt;$C$38,"",IF(A129&lt;=$C$5,"Básico",IF($C$6&gt;0,"Sucesivo","Opción de compra")))</f>
        <v/>
      </c>
      <c r="C129" s="7" t="str">
        <f>IF(B129="","",IF(B129="Opción de compra",$C$5,A129-$C$7))</f>
        <v/>
      </c>
      <c r="D129" s="77" t="str">
        <f>IF(B129="","",EDATE($C$33,C129))</f>
        <v/>
      </c>
      <c r="E129" s="59" t="str">
        <f>IF(B129="","",I128)</f>
        <v/>
      </c>
      <c r="F129" s="59" t="str">
        <f>IF(B129="","",IF(B129="Básico",$C$24,IF(B129="Sucesivo",$C$25,$C$26)))</f>
        <v/>
      </c>
      <c r="G129" s="59" t="str">
        <f>IF(B129="","",IF(B129="Opción de compra",0,(E129-$C$7*F129)*IF(B129="Sucesivo",$C$11,$C$9)))</f>
        <v/>
      </c>
      <c r="H129" s="59" t="str">
        <f>IF(B129="","",F129-G129)</f>
        <v/>
      </c>
      <c r="I129" s="59" t="str">
        <f>IF(B129="","",E129-H129)</f>
        <v/>
      </c>
      <c r="J129" s="59" t="str">
        <f>IF(B129="","",IF(OR(inp_Tipo="Arrendamiento Puro",par_BaseIVAFin="Sobre renta",B129="Opción de compra"),F129,G129)*$C$14)</f>
        <v/>
      </c>
      <c r="K129" s="59" t="str">
        <f>IF(B129="","",F129+J129)</f>
        <v/>
      </c>
      <c r="L129" s="59" t="str">
        <f>IF(B129="","",F129-IF(A129=$C$38,$C$30,0))</f>
        <v/>
      </c>
      <c r="M129" s="78" t="str">
        <f>IF(B129="","",$C$37*(1+$C$13)^(-C129))</f>
        <v/>
      </c>
      <c r="N129" s="59" t="str">
        <f>IF(B129="","",L129*M129)</f>
        <v/>
      </c>
      <c r="O129" s="59" t="str">
        <f>IF(B129="","",IF(B129="Básico",F129,0)-IF(A129=$C$38,$C$30,0))</f>
        <v/>
      </c>
      <c r="P129" s="77">
        <f>IF(B129="",$C$31,D129)</f>
        <v>46295.0</v>
      </c>
      <c r="Q129" s="59">
        <f>IF(B129="",0,L129)</f>
        <v>0</v>
      </c>
      <c r="R129" s="59">
        <f>IF(B129="",0,-F129)</f>
        <v>0</v>
      </c>
      <c r="S129" s="59" t="str">
        <f>IF(B129="","",O129*M129)</f>
        <v/>
      </c>
    </row>
    <row r="130">
      <c r="A130" s="7" t="n">
        <v>85</v>
      </c>
      <c r="B130" s="7" t="str">
        <f>IF(A130&gt;$C$38,"",IF(A130&lt;=$C$5,"Básico",IF($C$6&gt;0,"Sucesivo","Opción de compra")))</f>
        <v/>
      </c>
      <c r="C130" s="7" t="str">
        <f>IF(B130="","",IF(B130="Opción de compra",$C$5,A130-$C$7))</f>
        <v/>
      </c>
      <c r="D130" s="77" t="str">
        <f>IF(B130="","",EDATE($C$33,C130))</f>
        <v/>
      </c>
      <c r="E130" s="59" t="str">
        <f>IF(B130="","",I129)</f>
        <v/>
      </c>
      <c r="F130" s="59" t="str">
        <f>IF(B130="","",IF(B130="Básico",$C$24,IF(B130="Sucesivo",$C$25,$C$26)))</f>
        <v/>
      </c>
      <c r="G130" s="59" t="str">
        <f>IF(B130="","",IF(B130="Opción de compra",0,(E130-$C$7*F130)*IF(B130="Sucesivo",$C$11,$C$9)))</f>
        <v/>
      </c>
      <c r="H130" s="59" t="str">
        <f>IF(B130="","",F130-G130)</f>
        <v/>
      </c>
      <c r="I130" s="59" t="str">
        <f>IF(B130="","",E130-H130)</f>
        <v/>
      </c>
      <c r="J130" s="59" t="str">
        <f>IF(B130="","",IF(OR(inp_Tipo="Arrendamiento Puro",par_BaseIVAFin="Sobre renta",B130="Opción de compra"),F130,G130)*$C$14)</f>
        <v/>
      </c>
      <c r="K130" s="59" t="str">
        <f>IF(B130="","",F130+J130)</f>
        <v/>
      </c>
      <c r="L130" s="59" t="str">
        <f>IF(B130="","",F130-IF(A130=$C$38,$C$30,0))</f>
        <v/>
      </c>
      <c r="M130" s="78" t="str">
        <f>IF(B130="","",$C$37*(1+$C$13)^(-C130))</f>
        <v/>
      </c>
      <c r="N130" s="59" t="str">
        <f>IF(B130="","",L130*M130)</f>
        <v/>
      </c>
      <c r="O130" s="59" t="str">
        <f>IF(B130="","",IF(B130="Básico",F130,0)-IF(A130=$C$38,$C$30,0))</f>
        <v/>
      </c>
      <c r="P130" s="77">
        <f>IF(B130="",$C$31,D130)</f>
        <v>46295.0</v>
      </c>
      <c r="Q130" s="59">
        <f>IF(B130="",0,L130)</f>
        <v>0</v>
      </c>
      <c r="R130" s="59">
        <f>IF(B130="",0,-F130)</f>
        <v>0</v>
      </c>
      <c r="S130" s="59" t="str">
        <f>IF(B130="","",O130*M130)</f>
        <v/>
      </c>
    </row>
    <row r="131">
      <c r="A131" s="7" t="n">
        <v>86</v>
      </c>
      <c r="B131" s="7" t="str">
        <f>IF(A131&gt;$C$38,"",IF(A131&lt;=$C$5,"Básico",IF($C$6&gt;0,"Sucesivo","Opción de compra")))</f>
        <v/>
      </c>
      <c r="C131" s="7" t="str">
        <f>IF(B131="","",IF(B131="Opción de compra",$C$5,A131-$C$7))</f>
        <v/>
      </c>
      <c r="D131" s="77" t="str">
        <f>IF(B131="","",EDATE($C$33,C131))</f>
        <v/>
      </c>
      <c r="E131" s="59" t="str">
        <f>IF(B131="","",I130)</f>
        <v/>
      </c>
      <c r="F131" s="59" t="str">
        <f>IF(B131="","",IF(B131="Básico",$C$24,IF(B131="Sucesivo",$C$25,$C$26)))</f>
        <v/>
      </c>
      <c r="G131" s="59" t="str">
        <f>IF(B131="","",IF(B131="Opción de compra",0,(E131-$C$7*F131)*IF(B131="Sucesivo",$C$11,$C$9)))</f>
        <v/>
      </c>
      <c r="H131" s="59" t="str">
        <f>IF(B131="","",F131-G131)</f>
        <v/>
      </c>
      <c r="I131" s="59" t="str">
        <f>IF(B131="","",E131-H131)</f>
        <v/>
      </c>
      <c r="J131" s="59" t="str">
        <f>IF(B131="","",IF(OR(inp_Tipo="Arrendamiento Puro",par_BaseIVAFin="Sobre renta",B131="Opción de compra"),F131,G131)*$C$14)</f>
        <v/>
      </c>
      <c r="K131" s="59" t="str">
        <f>IF(B131="","",F131+J131)</f>
        <v/>
      </c>
      <c r="L131" s="59" t="str">
        <f>IF(B131="","",F131-IF(A131=$C$38,$C$30,0))</f>
        <v/>
      </c>
      <c r="M131" s="78" t="str">
        <f>IF(B131="","",$C$37*(1+$C$13)^(-C131))</f>
        <v/>
      </c>
      <c r="N131" s="59" t="str">
        <f>IF(B131="","",L131*M131)</f>
        <v/>
      </c>
      <c r="O131" s="59" t="str">
        <f>IF(B131="","",IF(B131="Básico",F131,0)-IF(A131=$C$38,$C$30,0))</f>
        <v/>
      </c>
      <c r="P131" s="77">
        <f>IF(B131="",$C$31,D131)</f>
        <v>46295.0</v>
      </c>
      <c r="Q131" s="59">
        <f>IF(B131="",0,L131)</f>
        <v>0</v>
      </c>
      <c r="R131" s="59">
        <f>IF(B131="",0,-F131)</f>
        <v>0</v>
      </c>
      <c r="S131" s="59" t="str">
        <f>IF(B131="","",O131*M131)</f>
        <v/>
      </c>
    </row>
    <row r="132">
      <c r="A132" s="7" t="n">
        <v>87</v>
      </c>
      <c r="B132" s="7" t="str">
        <f>IF(A132&gt;$C$38,"",IF(A132&lt;=$C$5,"Básico",IF($C$6&gt;0,"Sucesivo","Opción de compra")))</f>
        <v/>
      </c>
      <c r="C132" s="7" t="str">
        <f>IF(B132="","",IF(B132="Opción de compra",$C$5,A132-$C$7))</f>
        <v/>
      </c>
      <c r="D132" s="77" t="str">
        <f>IF(B132="","",EDATE($C$33,C132))</f>
        <v/>
      </c>
      <c r="E132" s="59" t="str">
        <f>IF(B132="","",I131)</f>
        <v/>
      </c>
      <c r="F132" s="59" t="str">
        <f>IF(B132="","",IF(B132="Básico",$C$24,IF(B132="Sucesivo",$C$25,$C$26)))</f>
        <v/>
      </c>
      <c r="G132" s="59" t="str">
        <f>IF(B132="","",IF(B132="Opción de compra",0,(E132-$C$7*F132)*IF(B132="Sucesivo",$C$11,$C$9)))</f>
        <v/>
      </c>
      <c r="H132" s="59" t="str">
        <f>IF(B132="","",F132-G132)</f>
        <v/>
      </c>
      <c r="I132" s="59" t="str">
        <f>IF(B132="","",E132-H132)</f>
        <v/>
      </c>
      <c r="J132" s="59" t="str">
        <f>IF(B132="","",IF(OR(inp_Tipo="Arrendamiento Puro",par_BaseIVAFin="Sobre renta",B132="Opción de compra"),F132,G132)*$C$14)</f>
        <v/>
      </c>
      <c r="K132" s="59" t="str">
        <f>IF(B132="","",F132+J132)</f>
        <v/>
      </c>
      <c r="L132" s="59" t="str">
        <f>IF(B132="","",F132-IF(A132=$C$38,$C$30,0))</f>
        <v/>
      </c>
      <c r="M132" s="78" t="str">
        <f>IF(B132="","",$C$37*(1+$C$13)^(-C132))</f>
        <v/>
      </c>
      <c r="N132" s="59" t="str">
        <f>IF(B132="","",L132*M132)</f>
        <v/>
      </c>
      <c r="O132" s="59" t="str">
        <f>IF(B132="","",IF(B132="Básico",F132,0)-IF(A132=$C$38,$C$30,0))</f>
        <v/>
      </c>
      <c r="P132" s="77">
        <f>IF(B132="",$C$31,D132)</f>
        <v>46295.0</v>
      </c>
      <c r="Q132" s="59">
        <f>IF(B132="",0,L132)</f>
        <v>0</v>
      </c>
      <c r="R132" s="59">
        <f>IF(B132="",0,-F132)</f>
        <v>0</v>
      </c>
      <c r="S132" s="59" t="str">
        <f>IF(B132="","",O132*M132)</f>
        <v/>
      </c>
    </row>
    <row r="133">
      <c r="A133" s="7" t="n">
        <v>88</v>
      </c>
      <c r="B133" s="7" t="str">
        <f>IF(A133&gt;$C$38,"",IF(A133&lt;=$C$5,"Básico",IF($C$6&gt;0,"Sucesivo","Opción de compra")))</f>
        <v/>
      </c>
      <c r="C133" s="7" t="str">
        <f>IF(B133="","",IF(B133="Opción de compra",$C$5,A133-$C$7))</f>
        <v/>
      </c>
      <c r="D133" s="77" t="str">
        <f>IF(B133="","",EDATE($C$33,C133))</f>
        <v/>
      </c>
      <c r="E133" s="59" t="str">
        <f>IF(B133="","",I132)</f>
        <v/>
      </c>
      <c r="F133" s="59" t="str">
        <f>IF(B133="","",IF(B133="Básico",$C$24,IF(B133="Sucesivo",$C$25,$C$26)))</f>
        <v/>
      </c>
      <c r="G133" s="59" t="str">
        <f>IF(B133="","",IF(B133="Opción de compra",0,(E133-$C$7*F133)*IF(B133="Sucesivo",$C$11,$C$9)))</f>
        <v/>
      </c>
      <c r="H133" s="59" t="str">
        <f>IF(B133="","",F133-G133)</f>
        <v/>
      </c>
      <c r="I133" s="59" t="str">
        <f>IF(B133="","",E133-H133)</f>
        <v/>
      </c>
      <c r="J133" s="59" t="str">
        <f>IF(B133="","",IF(OR(inp_Tipo="Arrendamiento Puro",par_BaseIVAFin="Sobre renta",B133="Opción de compra"),F133,G133)*$C$14)</f>
        <v/>
      </c>
      <c r="K133" s="59" t="str">
        <f>IF(B133="","",F133+J133)</f>
        <v/>
      </c>
      <c r="L133" s="59" t="str">
        <f>IF(B133="","",F133-IF(A133=$C$38,$C$30,0))</f>
        <v/>
      </c>
      <c r="M133" s="78" t="str">
        <f>IF(B133="","",$C$37*(1+$C$13)^(-C133))</f>
        <v/>
      </c>
      <c r="N133" s="59" t="str">
        <f>IF(B133="","",L133*M133)</f>
        <v/>
      </c>
      <c r="O133" s="59" t="str">
        <f>IF(B133="","",IF(B133="Básico",F133,0)-IF(A133=$C$38,$C$30,0))</f>
        <v/>
      </c>
      <c r="P133" s="77">
        <f>IF(B133="",$C$31,D133)</f>
        <v>46295.0</v>
      </c>
      <c r="Q133" s="59">
        <f>IF(B133="",0,L133)</f>
        <v>0</v>
      </c>
      <c r="R133" s="59">
        <f>IF(B133="",0,-F133)</f>
        <v>0</v>
      </c>
      <c r="S133" s="59" t="str">
        <f>IF(B133="","",O133*M133)</f>
        <v/>
      </c>
    </row>
    <row r="134">
      <c r="A134" s="7" t="n">
        <v>89</v>
      </c>
      <c r="B134" s="7" t="str">
        <f>IF(A134&gt;$C$38,"",IF(A134&lt;=$C$5,"Básico",IF($C$6&gt;0,"Sucesivo","Opción de compra")))</f>
        <v/>
      </c>
      <c r="C134" s="7" t="str">
        <f>IF(B134="","",IF(B134="Opción de compra",$C$5,A134-$C$7))</f>
        <v/>
      </c>
      <c r="D134" s="77" t="str">
        <f>IF(B134="","",EDATE($C$33,C134))</f>
        <v/>
      </c>
      <c r="E134" s="59" t="str">
        <f>IF(B134="","",I133)</f>
        <v/>
      </c>
      <c r="F134" s="59" t="str">
        <f>IF(B134="","",IF(B134="Básico",$C$24,IF(B134="Sucesivo",$C$25,$C$26)))</f>
        <v/>
      </c>
      <c r="G134" s="59" t="str">
        <f>IF(B134="","",IF(B134="Opción de compra",0,(E134-$C$7*F134)*IF(B134="Sucesivo",$C$11,$C$9)))</f>
        <v/>
      </c>
      <c r="H134" s="59" t="str">
        <f>IF(B134="","",F134-G134)</f>
        <v/>
      </c>
      <c r="I134" s="59" t="str">
        <f>IF(B134="","",E134-H134)</f>
        <v/>
      </c>
      <c r="J134" s="59" t="str">
        <f>IF(B134="","",IF(OR(inp_Tipo="Arrendamiento Puro",par_BaseIVAFin="Sobre renta",B134="Opción de compra"),F134,G134)*$C$14)</f>
        <v/>
      </c>
      <c r="K134" s="59" t="str">
        <f>IF(B134="","",F134+J134)</f>
        <v/>
      </c>
      <c r="L134" s="59" t="str">
        <f>IF(B134="","",F134-IF(A134=$C$38,$C$30,0))</f>
        <v/>
      </c>
      <c r="M134" s="78" t="str">
        <f>IF(B134="","",$C$37*(1+$C$13)^(-C134))</f>
        <v/>
      </c>
      <c r="N134" s="59" t="str">
        <f>IF(B134="","",L134*M134)</f>
        <v/>
      </c>
      <c r="O134" s="59" t="str">
        <f>IF(B134="","",IF(B134="Básico",F134,0)-IF(A134=$C$38,$C$30,0))</f>
        <v/>
      </c>
      <c r="P134" s="77">
        <f>IF(B134="",$C$31,D134)</f>
        <v>46295.0</v>
      </c>
      <c r="Q134" s="59">
        <f>IF(B134="",0,L134)</f>
        <v>0</v>
      </c>
      <c r="R134" s="59">
        <f>IF(B134="",0,-F134)</f>
        <v>0</v>
      </c>
      <c r="S134" s="59" t="str">
        <f>IF(B134="","",O134*M134)</f>
        <v/>
      </c>
    </row>
    <row r="135">
      <c r="A135" s="7" t="n">
        <v>90</v>
      </c>
      <c r="B135" s="7" t="str">
        <f>IF(A135&gt;$C$38,"",IF(A135&lt;=$C$5,"Básico",IF($C$6&gt;0,"Sucesivo","Opción de compra")))</f>
        <v/>
      </c>
      <c r="C135" s="7" t="str">
        <f>IF(B135="","",IF(B135="Opción de compra",$C$5,A135-$C$7))</f>
        <v/>
      </c>
      <c r="D135" s="77" t="str">
        <f>IF(B135="","",EDATE($C$33,C135))</f>
        <v/>
      </c>
      <c r="E135" s="59" t="str">
        <f>IF(B135="","",I134)</f>
        <v/>
      </c>
      <c r="F135" s="59" t="str">
        <f>IF(B135="","",IF(B135="Básico",$C$24,IF(B135="Sucesivo",$C$25,$C$26)))</f>
        <v/>
      </c>
      <c r="G135" s="59" t="str">
        <f>IF(B135="","",IF(B135="Opción de compra",0,(E135-$C$7*F135)*IF(B135="Sucesivo",$C$11,$C$9)))</f>
        <v/>
      </c>
      <c r="H135" s="59" t="str">
        <f>IF(B135="","",F135-G135)</f>
        <v/>
      </c>
      <c r="I135" s="59" t="str">
        <f>IF(B135="","",E135-H135)</f>
        <v/>
      </c>
      <c r="J135" s="59" t="str">
        <f>IF(B135="","",IF(OR(inp_Tipo="Arrendamiento Puro",par_BaseIVAFin="Sobre renta",B135="Opción de compra"),F135,G135)*$C$14)</f>
        <v/>
      </c>
      <c r="K135" s="59" t="str">
        <f>IF(B135="","",F135+J135)</f>
        <v/>
      </c>
      <c r="L135" s="59" t="str">
        <f>IF(B135="","",F135-IF(A135=$C$38,$C$30,0))</f>
        <v/>
      </c>
      <c r="M135" s="78" t="str">
        <f>IF(B135="","",$C$37*(1+$C$13)^(-C135))</f>
        <v/>
      </c>
      <c r="N135" s="59" t="str">
        <f>IF(B135="","",L135*M135)</f>
        <v/>
      </c>
      <c r="O135" s="59" t="str">
        <f>IF(B135="","",IF(B135="Básico",F135,0)-IF(A135=$C$38,$C$30,0))</f>
        <v/>
      </c>
      <c r="P135" s="77">
        <f>IF(B135="",$C$31,D135)</f>
        <v>46295.0</v>
      </c>
      <c r="Q135" s="59">
        <f>IF(B135="",0,L135)</f>
        <v>0</v>
      </c>
      <c r="R135" s="59">
        <f>IF(B135="",0,-F135)</f>
        <v>0</v>
      </c>
      <c r="S135" s="59" t="str">
        <f>IF(B135="","",O135*M135)</f>
        <v/>
      </c>
    </row>
    <row r="136">
      <c r="A136" s="7" t="n">
        <v>91</v>
      </c>
      <c r="B136" s="7" t="str">
        <f>IF(A136&gt;$C$38,"",IF(A136&lt;=$C$5,"Básico",IF($C$6&gt;0,"Sucesivo","Opción de compra")))</f>
        <v/>
      </c>
      <c r="C136" s="7" t="str">
        <f>IF(B136="","",IF(B136="Opción de compra",$C$5,A136-$C$7))</f>
        <v/>
      </c>
      <c r="D136" s="77" t="str">
        <f>IF(B136="","",EDATE($C$33,C136))</f>
        <v/>
      </c>
      <c r="E136" s="59" t="str">
        <f>IF(B136="","",I135)</f>
        <v/>
      </c>
      <c r="F136" s="59" t="str">
        <f>IF(B136="","",IF(B136="Básico",$C$24,IF(B136="Sucesivo",$C$25,$C$26)))</f>
        <v/>
      </c>
      <c r="G136" s="59" t="str">
        <f>IF(B136="","",IF(B136="Opción de compra",0,(E136-$C$7*F136)*IF(B136="Sucesivo",$C$11,$C$9)))</f>
        <v/>
      </c>
      <c r="H136" s="59" t="str">
        <f>IF(B136="","",F136-G136)</f>
        <v/>
      </c>
      <c r="I136" s="59" t="str">
        <f>IF(B136="","",E136-H136)</f>
        <v/>
      </c>
      <c r="J136" s="59" t="str">
        <f>IF(B136="","",IF(OR(inp_Tipo="Arrendamiento Puro",par_BaseIVAFin="Sobre renta",B136="Opción de compra"),F136,G136)*$C$14)</f>
        <v/>
      </c>
      <c r="K136" s="59" t="str">
        <f>IF(B136="","",F136+J136)</f>
        <v/>
      </c>
      <c r="L136" s="59" t="str">
        <f>IF(B136="","",F136-IF(A136=$C$38,$C$30,0))</f>
        <v/>
      </c>
      <c r="M136" s="78" t="str">
        <f>IF(B136="","",$C$37*(1+$C$13)^(-C136))</f>
        <v/>
      </c>
      <c r="N136" s="59" t="str">
        <f>IF(B136="","",L136*M136)</f>
        <v/>
      </c>
      <c r="O136" s="59" t="str">
        <f>IF(B136="","",IF(B136="Básico",F136,0)-IF(A136=$C$38,$C$30,0))</f>
        <v/>
      </c>
      <c r="P136" s="77">
        <f>IF(B136="",$C$31,D136)</f>
        <v>46295.0</v>
      </c>
      <c r="Q136" s="59">
        <f>IF(B136="",0,L136)</f>
        <v>0</v>
      </c>
      <c r="R136" s="59">
        <f>IF(B136="",0,-F136)</f>
        <v>0</v>
      </c>
      <c r="S136" s="59" t="str">
        <f>IF(B136="","",O136*M136)</f>
        <v/>
      </c>
    </row>
    <row r="137">
      <c r="A137" s="7" t="n">
        <v>92</v>
      </c>
      <c r="B137" s="7" t="str">
        <f>IF(A137&gt;$C$38,"",IF(A137&lt;=$C$5,"Básico",IF($C$6&gt;0,"Sucesivo","Opción de compra")))</f>
        <v/>
      </c>
      <c r="C137" s="7" t="str">
        <f>IF(B137="","",IF(B137="Opción de compra",$C$5,A137-$C$7))</f>
        <v/>
      </c>
      <c r="D137" s="77" t="str">
        <f>IF(B137="","",EDATE($C$33,C137))</f>
        <v/>
      </c>
      <c r="E137" s="59" t="str">
        <f>IF(B137="","",I136)</f>
        <v/>
      </c>
      <c r="F137" s="59" t="str">
        <f>IF(B137="","",IF(B137="Básico",$C$24,IF(B137="Sucesivo",$C$25,$C$26)))</f>
        <v/>
      </c>
      <c r="G137" s="59" t="str">
        <f>IF(B137="","",IF(B137="Opción de compra",0,(E137-$C$7*F137)*IF(B137="Sucesivo",$C$11,$C$9)))</f>
        <v/>
      </c>
      <c r="H137" s="59" t="str">
        <f>IF(B137="","",F137-G137)</f>
        <v/>
      </c>
      <c r="I137" s="59" t="str">
        <f>IF(B137="","",E137-H137)</f>
        <v/>
      </c>
      <c r="J137" s="59" t="str">
        <f>IF(B137="","",IF(OR(inp_Tipo="Arrendamiento Puro",par_BaseIVAFin="Sobre renta",B137="Opción de compra"),F137,G137)*$C$14)</f>
        <v/>
      </c>
      <c r="K137" s="59" t="str">
        <f>IF(B137="","",F137+J137)</f>
        <v/>
      </c>
      <c r="L137" s="59" t="str">
        <f>IF(B137="","",F137-IF(A137=$C$38,$C$30,0))</f>
        <v/>
      </c>
      <c r="M137" s="78" t="str">
        <f>IF(B137="","",$C$37*(1+$C$13)^(-C137))</f>
        <v/>
      </c>
      <c r="N137" s="59" t="str">
        <f>IF(B137="","",L137*M137)</f>
        <v/>
      </c>
      <c r="O137" s="59" t="str">
        <f>IF(B137="","",IF(B137="Básico",F137,0)-IF(A137=$C$38,$C$30,0))</f>
        <v/>
      </c>
      <c r="P137" s="77">
        <f>IF(B137="",$C$31,D137)</f>
        <v>46295.0</v>
      </c>
      <c r="Q137" s="59">
        <f>IF(B137="",0,L137)</f>
        <v>0</v>
      </c>
      <c r="R137" s="59">
        <f>IF(B137="",0,-F137)</f>
        <v>0</v>
      </c>
      <c r="S137" s="59" t="str">
        <f>IF(B137="","",O137*M137)</f>
        <v/>
      </c>
    </row>
    <row r="138">
      <c r="A138" s="7" t="n">
        <v>93</v>
      </c>
      <c r="B138" s="7" t="str">
        <f>IF(A138&gt;$C$38,"",IF(A138&lt;=$C$5,"Básico",IF($C$6&gt;0,"Sucesivo","Opción de compra")))</f>
        <v/>
      </c>
      <c r="C138" s="7" t="str">
        <f>IF(B138="","",IF(B138="Opción de compra",$C$5,A138-$C$7))</f>
        <v/>
      </c>
      <c r="D138" s="77" t="str">
        <f>IF(B138="","",EDATE($C$33,C138))</f>
        <v/>
      </c>
      <c r="E138" s="59" t="str">
        <f>IF(B138="","",I137)</f>
        <v/>
      </c>
      <c r="F138" s="59" t="str">
        <f>IF(B138="","",IF(B138="Básico",$C$24,IF(B138="Sucesivo",$C$25,$C$26)))</f>
        <v/>
      </c>
      <c r="G138" s="59" t="str">
        <f>IF(B138="","",IF(B138="Opción de compra",0,(E138-$C$7*F138)*IF(B138="Sucesivo",$C$11,$C$9)))</f>
        <v/>
      </c>
      <c r="H138" s="59" t="str">
        <f>IF(B138="","",F138-G138)</f>
        <v/>
      </c>
      <c r="I138" s="59" t="str">
        <f>IF(B138="","",E138-H138)</f>
        <v/>
      </c>
      <c r="J138" s="59" t="str">
        <f>IF(B138="","",IF(OR(inp_Tipo="Arrendamiento Puro",par_BaseIVAFin="Sobre renta",B138="Opción de compra"),F138,G138)*$C$14)</f>
        <v/>
      </c>
      <c r="K138" s="59" t="str">
        <f>IF(B138="","",F138+J138)</f>
        <v/>
      </c>
      <c r="L138" s="59" t="str">
        <f>IF(B138="","",F138-IF(A138=$C$38,$C$30,0))</f>
        <v/>
      </c>
      <c r="M138" s="78" t="str">
        <f>IF(B138="","",$C$37*(1+$C$13)^(-C138))</f>
        <v/>
      </c>
      <c r="N138" s="59" t="str">
        <f>IF(B138="","",L138*M138)</f>
        <v/>
      </c>
      <c r="O138" s="59" t="str">
        <f>IF(B138="","",IF(B138="Básico",F138,0)-IF(A138=$C$38,$C$30,0))</f>
        <v/>
      </c>
      <c r="P138" s="77">
        <f>IF(B138="",$C$31,D138)</f>
        <v>46295.0</v>
      </c>
      <c r="Q138" s="59">
        <f>IF(B138="",0,L138)</f>
        <v>0</v>
      </c>
      <c r="R138" s="59">
        <f>IF(B138="",0,-F138)</f>
        <v>0</v>
      </c>
      <c r="S138" s="59" t="str">
        <f>IF(B138="","",O138*M138)</f>
        <v/>
      </c>
    </row>
    <row r="139">
      <c r="A139" s="7" t="n">
        <v>94</v>
      </c>
      <c r="B139" s="7" t="str">
        <f>IF(A139&gt;$C$38,"",IF(A139&lt;=$C$5,"Básico",IF($C$6&gt;0,"Sucesivo","Opción de compra")))</f>
        <v/>
      </c>
      <c r="C139" s="7" t="str">
        <f>IF(B139="","",IF(B139="Opción de compra",$C$5,A139-$C$7))</f>
        <v/>
      </c>
      <c r="D139" s="77" t="str">
        <f>IF(B139="","",EDATE($C$33,C139))</f>
        <v/>
      </c>
      <c r="E139" s="59" t="str">
        <f>IF(B139="","",I138)</f>
        <v/>
      </c>
      <c r="F139" s="59" t="str">
        <f>IF(B139="","",IF(B139="Básico",$C$24,IF(B139="Sucesivo",$C$25,$C$26)))</f>
        <v/>
      </c>
      <c r="G139" s="59" t="str">
        <f>IF(B139="","",IF(B139="Opción de compra",0,(E139-$C$7*F139)*IF(B139="Sucesivo",$C$11,$C$9)))</f>
        <v/>
      </c>
      <c r="H139" s="59" t="str">
        <f>IF(B139="","",F139-G139)</f>
        <v/>
      </c>
      <c r="I139" s="59" t="str">
        <f>IF(B139="","",E139-H139)</f>
        <v/>
      </c>
      <c r="J139" s="59" t="str">
        <f>IF(B139="","",IF(OR(inp_Tipo="Arrendamiento Puro",par_BaseIVAFin="Sobre renta",B139="Opción de compra"),F139,G139)*$C$14)</f>
        <v/>
      </c>
      <c r="K139" s="59" t="str">
        <f>IF(B139="","",F139+J139)</f>
        <v/>
      </c>
      <c r="L139" s="59" t="str">
        <f>IF(B139="","",F139-IF(A139=$C$38,$C$30,0))</f>
        <v/>
      </c>
      <c r="M139" s="78" t="str">
        <f>IF(B139="","",$C$37*(1+$C$13)^(-C139))</f>
        <v/>
      </c>
      <c r="N139" s="59" t="str">
        <f>IF(B139="","",L139*M139)</f>
        <v/>
      </c>
      <c r="O139" s="59" t="str">
        <f>IF(B139="","",IF(B139="Básico",F139,0)-IF(A139=$C$38,$C$30,0))</f>
        <v/>
      </c>
      <c r="P139" s="77">
        <f>IF(B139="",$C$31,D139)</f>
        <v>46295.0</v>
      </c>
      <c r="Q139" s="59">
        <f>IF(B139="",0,L139)</f>
        <v>0</v>
      </c>
      <c r="R139" s="59">
        <f>IF(B139="",0,-F139)</f>
        <v>0</v>
      </c>
      <c r="S139" s="59" t="str">
        <f>IF(B139="","",O139*M139)</f>
        <v/>
      </c>
    </row>
    <row r="140">
      <c r="A140" s="7" t="n">
        <v>95</v>
      </c>
      <c r="B140" s="7" t="str">
        <f>IF(A140&gt;$C$38,"",IF(A140&lt;=$C$5,"Básico",IF($C$6&gt;0,"Sucesivo","Opción de compra")))</f>
        <v/>
      </c>
      <c r="C140" s="7" t="str">
        <f>IF(B140="","",IF(B140="Opción de compra",$C$5,A140-$C$7))</f>
        <v/>
      </c>
      <c r="D140" s="77" t="str">
        <f>IF(B140="","",EDATE($C$33,C140))</f>
        <v/>
      </c>
      <c r="E140" s="59" t="str">
        <f>IF(B140="","",I139)</f>
        <v/>
      </c>
      <c r="F140" s="59" t="str">
        <f>IF(B140="","",IF(B140="Básico",$C$24,IF(B140="Sucesivo",$C$25,$C$26)))</f>
        <v/>
      </c>
      <c r="G140" s="59" t="str">
        <f>IF(B140="","",IF(B140="Opción de compra",0,(E140-$C$7*F140)*IF(B140="Sucesivo",$C$11,$C$9)))</f>
        <v/>
      </c>
      <c r="H140" s="59" t="str">
        <f>IF(B140="","",F140-G140)</f>
        <v/>
      </c>
      <c r="I140" s="59" t="str">
        <f>IF(B140="","",E140-H140)</f>
        <v/>
      </c>
      <c r="J140" s="59" t="str">
        <f>IF(B140="","",IF(OR(inp_Tipo="Arrendamiento Puro",par_BaseIVAFin="Sobre renta",B140="Opción de compra"),F140,G140)*$C$14)</f>
        <v/>
      </c>
      <c r="K140" s="59" t="str">
        <f>IF(B140="","",F140+J140)</f>
        <v/>
      </c>
      <c r="L140" s="59" t="str">
        <f>IF(B140="","",F140-IF(A140=$C$38,$C$30,0))</f>
        <v/>
      </c>
      <c r="M140" s="78" t="str">
        <f>IF(B140="","",$C$37*(1+$C$13)^(-C140))</f>
        <v/>
      </c>
      <c r="N140" s="59" t="str">
        <f>IF(B140="","",L140*M140)</f>
        <v/>
      </c>
      <c r="O140" s="59" t="str">
        <f>IF(B140="","",IF(B140="Básico",F140,0)-IF(A140=$C$38,$C$30,0))</f>
        <v/>
      </c>
      <c r="P140" s="77">
        <f>IF(B140="",$C$31,D140)</f>
        <v>46295.0</v>
      </c>
      <c r="Q140" s="59">
        <f>IF(B140="",0,L140)</f>
        <v>0</v>
      </c>
      <c r="R140" s="59">
        <f>IF(B140="",0,-F140)</f>
        <v>0</v>
      </c>
      <c r="S140" s="59" t="str">
        <f>IF(B140="","",O140*M140)</f>
        <v/>
      </c>
    </row>
    <row r="141">
      <c r="A141" s="7" t="n">
        <v>96</v>
      </c>
      <c r="B141" s="7" t="str">
        <f>IF(A141&gt;$C$38,"",IF(A141&lt;=$C$5,"Básico",IF($C$6&gt;0,"Sucesivo","Opción de compra")))</f>
        <v/>
      </c>
      <c r="C141" s="7" t="str">
        <f>IF(B141="","",IF(B141="Opción de compra",$C$5,A141-$C$7))</f>
        <v/>
      </c>
      <c r="D141" s="77" t="str">
        <f>IF(B141="","",EDATE($C$33,C141))</f>
        <v/>
      </c>
      <c r="E141" s="59" t="str">
        <f>IF(B141="","",I140)</f>
        <v/>
      </c>
      <c r="F141" s="59" t="str">
        <f>IF(B141="","",IF(B141="Básico",$C$24,IF(B141="Sucesivo",$C$25,$C$26)))</f>
        <v/>
      </c>
      <c r="G141" s="59" t="str">
        <f>IF(B141="","",IF(B141="Opción de compra",0,(E141-$C$7*F141)*IF(B141="Sucesivo",$C$11,$C$9)))</f>
        <v/>
      </c>
      <c r="H141" s="59" t="str">
        <f>IF(B141="","",F141-G141)</f>
        <v/>
      </c>
      <c r="I141" s="59" t="str">
        <f>IF(B141="","",E141-H141)</f>
        <v/>
      </c>
      <c r="J141" s="59" t="str">
        <f>IF(B141="","",IF(OR(inp_Tipo="Arrendamiento Puro",par_BaseIVAFin="Sobre renta",B141="Opción de compra"),F141,G141)*$C$14)</f>
        <v/>
      </c>
      <c r="K141" s="59" t="str">
        <f>IF(B141="","",F141+J141)</f>
        <v/>
      </c>
      <c r="L141" s="59" t="str">
        <f>IF(B141="","",F141-IF(A141=$C$38,$C$30,0))</f>
        <v/>
      </c>
      <c r="M141" s="78" t="str">
        <f>IF(B141="","",$C$37*(1+$C$13)^(-C141))</f>
        <v/>
      </c>
      <c r="N141" s="59" t="str">
        <f>IF(B141="","",L141*M141)</f>
        <v/>
      </c>
      <c r="O141" s="59" t="str">
        <f>IF(B141="","",IF(B141="Básico",F141,0)-IF(A141=$C$38,$C$30,0))</f>
        <v/>
      </c>
      <c r="P141" s="77">
        <f>IF(B141="",$C$31,D141)</f>
        <v>46295.0</v>
      </c>
      <c r="Q141" s="59">
        <f>IF(B141="",0,L141)</f>
        <v>0</v>
      </c>
      <c r="R141" s="59">
        <f>IF(B141="",0,-F141)</f>
        <v>0</v>
      </c>
      <c r="S141" s="59" t="str">
        <f>IF(B141="","",O141*M141)</f>
        <v/>
      </c>
    </row>
    <row r="142">
      <c r="A142" s="7" t="n">
        <v>97</v>
      </c>
      <c r="B142" s="7" t="str">
        <f>IF(A142&gt;$C$38,"",IF(A142&lt;=$C$5,"Básico",IF($C$6&gt;0,"Sucesivo","Opción de compra")))</f>
        <v/>
      </c>
      <c r="C142" s="7" t="str">
        <f>IF(B142="","",IF(B142="Opción de compra",$C$5,A142-$C$7))</f>
        <v/>
      </c>
      <c r="D142" s="77" t="str">
        <f>IF(B142="","",EDATE($C$33,C142))</f>
        <v/>
      </c>
      <c r="E142" s="59" t="str">
        <f>IF(B142="","",I141)</f>
        <v/>
      </c>
      <c r="F142" s="59" t="str">
        <f>IF(B142="","",IF(B142="Básico",$C$24,IF(B142="Sucesivo",$C$25,$C$26)))</f>
        <v/>
      </c>
      <c r="G142" s="59" t="str">
        <f>IF(B142="","",IF(B142="Opción de compra",0,(E142-$C$7*F142)*IF(B142="Sucesivo",$C$11,$C$9)))</f>
        <v/>
      </c>
      <c r="H142" s="59" t="str">
        <f>IF(B142="","",F142-G142)</f>
        <v/>
      </c>
      <c r="I142" s="59" t="str">
        <f>IF(B142="","",E142-H142)</f>
        <v/>
      </c>
      <c r="J142" s="59" t="str">
        <f>IF(B142="","",IF(OR(inp_Tipo="Arrendamiento Puro",par_BaseIVAFin="Sobre renta",B142="Opción de compra"),F142,G142)*$C$14)</f>
        <v/>
      </c>
      <c r="K142" s="59" t="str">
        <f>IF(B142="","",F142+J142)</f>
        <v/>
      </c>
      <c r="L142" s="59" t="str">
        <f>IF(B142="","",F142-IF(A142=$C$38,$C$30,0))</f>
        <v/>
      </c>
      <c r="M142" s="78" t="str">
        <f>IF(B142="","",$C$37*(1+$C$13)^(-C142))</f>
        <v/>
      </c>
      <c r="N142" s="59" t="str">
        <f>IF(B142="","",L142*M142)</f>
        <v/>
      </c>
      <c r="O142" s="59" t="str">
        <f>IF(B142="","",IF(B142="Básico",F142,0)-IF(A142=$C$38,$C$30,0))</f>
        <v/>
      </c>
      <c r="P142" s="77">
        <f>IF(B142="",$C$31,D142)</f>
        <v>46295.0</v>
      </c>
      <c r="Q142" s="59">
        <f>IF(B142="",0,L142)</f>
        <v>0</v>
      </c>
      <c r="R142" s="59">
        <f>IF(B142="",0,-F142)</f>
        <v>0</v>
      </c>
      <c r="S142" s="59" t="str">
        <f>IF(B142="","",O142*M142)</f>
        <v/>
      </c>
    </row>
    <row r="143">
      <c r="A143" s="7" t="n">
        <v>98</v>
      </c>
      <c r="B143" s="7" t="str">
        <f>IF(A143&gt;$C$38,"",IF(A143&lt;=$C$5,"Básico",IF($C$6&gt;0,"Sucesivo","Opción de compra")))</f>
        <v/>
      </c>
      <c r="C143" s="7" t="str">
        <f>IF(B143="","",IF(B143="Opción de compra",$C$5,A143-$C$7))</f>
        <v/>
      </c>
      <c r="D143" s="77" t="str">
        <f>IF(B143="","",EDATE($C$33,C143))</f>
        <v/>
      </c>
      <c r="E143" s="59" t="str">
        <f>IF(B143="","",I142)</f>
        <v/>
      </c>
      <c r="F143" s="59" t="str">
        <f>IF(B143="","",IF(B143="Básico",$C$24,IF(B143="Sucesivo",$C$25,$C$26)))</f>
        <v/>
      </c>
      <c r="G143" s="59" t="str">
        <f>IF(B143="","",IF(B143="Opción de compra",0,(E143-$C$7*F143)*IF(B143="Sucesivo",$C$11,$C$9)))</f>
        <v/>
      </c>
      <c r="H143" s="59" t="str">
        <f>IF(B143="","",F143-G143)</f>
        <v/>
      </c>
      <c r="I143" s="59" t="str">
        <f>IF(B143="","",E143-H143)</f>
        <v/>
      </c>
      <c r="J143" s="59" t="str">
        <f>IF(B143="","",IF(OR(inp_Tipo="Arrendamiento Puro",par_BaseIVAFin="Sobre renta",B143="Opción de compra"),F143,G143)*$C$14)</f>
        <v/>
      </c>
      <c r="K143" s="59" t="str">
        <f>IF(B143="","",F143+J143)</f>
        <v/>
      </c>
      <c r="L143" s="59" t="str">
        <f>IF(B143="","",F143-IF(A143=$C$38,$C$30,0))</f>
        <v/>
      </c>
      <c r="M143" s="78" t="str">
        <f>IF(B143="","",$C$37*(1+$C$13)^(-C143))</f>
        <v/>
      </c>
      <c r="N143" s="59" t="str">
        <f>IF(B143="","",L143*M143)</f>
        <v/>
      </c>
      <c r="O143" s="59" t="str">
        <f>IF(B143="","",IF(B143="Básico",F143,0)-IF(A143=$C$38,$C$30,0))</f>
        <v/>
      </c>
      <c r="P143" s="77">
        <f>IF(B143="",$C$31,D143)</f>
        <v>46295.0</v>
      </c>
      <c r="Q143" s="59">
        <f>IF(B143="",0,L143)</f>
        <v>0</v>
      </c>
      <c r="R143" s="59">
        <f>IF(B143="",0,-F143)</f>
        <v>0</v>
      </c>
      <c r="S143" s="59" t="str">
        <f>IF(B143="","",O143*M143)</f>
        <v/>
      </c>
    </row>
  </sheetData>
  <sheetProtection selectLockedCells="0" selectUnlockedCells="0" sheet="1" objects="0" insertRows="1" insertHyperlinks="1" autoFilter="1" scenarios="0" formatColumns="0" deleteColumns="1" insertColumns="1" pivotTables="1" deleteRows="1" formatCells="1" formatRows="0" sort="1"/>
  <mergeCells count="21">
    <mergeCell ref="E26:I32"/>
    <mergeCell ref="E16:H16"/>
    <mergeCell ref="E7:H7"/>
    <mergeCell ref="E22:H22"/>
    <mergeCell ref="E18:H18"/>
    <mergeCell ref="E12:H12"/>
    <mergeCell ref="E21:H21"/>
    <mergeCell ref="E5:H5"/>
    <mergeCell ref="E14:H14"/>
    <mergeCell ref="E17:H17"/>
    <mergeCell ref="E23:H23"/>
    <mergeCell ref="E8:H8"/>
    <mergeCell ref="E4:H4"/>
    <mergeCell ref="E20:H20"/>
    <mergeCell ref="E19:H19"/>
    <mergeCell ref="E10:H10"/>
    <mergeCell ref="E13:H13"/>
    <mergeCell ref="E9:H9"/>
    <mergeCell ref="E6:H6"/>
    <mergeCell ref="E15:H15"/>
    <mergeCell ref="E11:H11"/>
  </mergeCells>
  <conditionalFormatting sqref="A46:S143">
    <cfRule type="expression" priority="1" dxfId="5">
      <formula>$B46="Sucesivo"</formula>
    </cfRule>
    <cfRule type="expression" priority="2" dxfId="5">
      <formula>$B46="Opción de compra"</formula>
    </cfRule>
  </conditionalFormatting>
  <pageMargins left="0.75" right="0.75" top="1" bottom="1" header="0.5" footer="0.5"/>
  <pageSetup orientation="landscape" fitToHeight="0" fitToWidth="1"/>
</worksheet>
</file>

<file path=xl/worksheets/sheet9.xml><?xml version="1.0" encoding="utf-8"?>
<worksheet xmlns="http://schemas.openxmlformats.org/spreadsheetml/2006/main">
  <sheetPr codeName="Hoja9">
    <tabColor rgb="00808080"/>
    <outlinePr summaryBelow="1" summaryRight="1"/>
    <pageSetUpPr fitToPage="1"/>
  </sheetPr>
  <dimension ref="A1:S143"/>
  <sheetViews>
    <sheetView showGridLines="0" workbookViewId="0">
      <pane xSplit="2" ySplit="44" topLeftCell="C45"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3</v>
      </c>
    </row>
    <row r="2">
      <c r="A2" s="2" t="inlineStr">
        <is>
          <t>Hoja de cálculo interna (protegida). Todos los datos vienen de la hoja Cotizador.</t>
        </is>
      </c>
    </row>
    <row r="3">
      <c r="B3" s="7" t="inlineStr">
        <is>
          <t>Escenario</t>
        </is>
      </c>
      <c r="C3" s="64" t="n">
        <v>3</v>
      </c>
      <c r="E3" s="65" t="inlineStr">
        <is>
          <t>RESULTADOS DEL ESCENARIO</t>
        </is>
      </c>
      <c r="F3" s="65" t="n"/>
      <c r="G3" s="65" t="n"/>
      <c r="H3" s="65" t="n"/>
      <c r="I3" s="65" t="n"/>
    </row>
    <row r="4">
      <c r="B4" s="7" t="inlineStr">
        <is>
          <t>Incluido en la carta</t>
        </is>
      </c>
      <c r="C4" s="66" t="str">
        <f>INDEX(esc_Incluir,1,$C$3)</f>
        <v>Sí</v>
      </c>
      <c r="E4" s="7" t="inlineStr">
        <is>
          <t>Cash margin C/R ($) = VP al fondeo de todos los flujos</t>
        </is>
      </c>
      <c r="I4" s="67">
        <f>C41+SUM(N46:N143)</f>
        <v>-23442.9660725886</v>
      </c>
    </row>
    <row r="5">
      <c r="B5" s="7" t="inlineStr">
        <is>
          <t>Plazo básico (n, meses)</t>
        </is>
      </c>
      <c r="C5" s="68">
        <f>INDEX(esc_Plazo,1,$C$3)</f>
        <v>48</v>
      </c>
      <c r="E5" s="7" t="inlineStr">
        <is>
          <t>Cash margin C/R (% del monto financiado)</t>
        </is>
      </c>
      <c r="I5" s="69">
        <f>IFERROR(I4/C19,0)</f>
        <v>-0.0325358380805571</v>
      </c>
    </row>
    <row r="6">
      <c r="B6" s="7" t="inlineStr">
        <is>
          <t>Plazo sucesivo (m, meses)</t>
        </is>
      </c>
      <c r="C6" s="68">
        <f>INDEX(esc_Sucesivo,1,$C$3)</f>
        <v>1</v>
      </c>
      <c r="E6" s="7" t="inlineStr">
        <is>
          <t>Cash margin S/R ($) = sin pago final / residual</t>
        </is>
      </c>
      <c r="I6" s="21">
        <f>C41+SUM(S46:S143)</f>
        <v>-40251.7352719397</v>
      </c>
    </row>
    <row r="7">
      <c r="B7" s="7" t="inlineStr">
        <is>
          <t>Tipo de pago (1 = anticipado, 0 = vencido)</t>
        </is>
      </c>
      <c r="C7" s="68">
        <f>IF(inp_Modalidad="Anticipado",1,0)</f>
        <v>1</v>
      </c>
      <c r="E7" s="7" t="inlineStr">
        <is>
          <t>Cash margin S/R (%)</t>
        </is>
      </c>
      <c r="I7" s="70">
        <f>IFERROR(I6/C19,0)</f>
        <v>-0.0558642595486496</v>
      </c>
    </row>
    <row r="8">
      <c r="B8" s="7" t="inlineStr">
        <is>
          <t>Tasa anual plazo básico</t>
        </is>
      </c>
      <c r="C8" s="71">
        <f>INDEX(esc_Tasa,1,$C$3)</f>
        <v>0.17</v>
      </c>
      <c r="E8" s="7" t="inlineStr">
        <is>
          <t>TIR anual efectiva del arrendador (XIRR)</t>
        </is>
      </c>
      <c r="I8" s="69">
        <f>IFERROR(XIRR(Q45:Q143,P45:P143),"n/d")</f>
        <v>0.20099418420595</v>
      </c>
    </row>
    <row r="9">
      <c r="B9" s="7" t="inlineStr">
        <is>
          <t>Tasa mensual plazo básico (i)</t>
        </is>
      </c>
      <c r="C9" s="71">
        <f>C8/12</f>
        <v>0.0141666666666667</v>
      </c>
      <c r="E9" s="7" t="inlineStr">
        <is>
          <t>TIR nominal anual (capitalizable mensual)</t>
        </is>
      </c>
      <c r="I9" s="70">
        <f>IFERROR(12*((1+I8)^(1/12)-1),"n/d")</f>
        <v>0.184554497286933</v>
      </c>
    </row>
    <row r="10">
      <c r="B10" s="7" t="inlineStr">
        <is>
          <t>Tasa anual plazo sucesivo</t>
        </is>
      </c>
      <c r="C10" s="71">
        <f>INDEX(esc_TasaSuc,1,$C$3)</f>
        <v>0.17</v>
      </c>
      <c r="E10" s="7" t="inlineStr">
        <is>
          <t>CAT informativo sin IVA (flujos del cliente)</t>
        </is>
      </c>
      <c r="I10" s="70">
        <f>IFERROR(XIRR(R45:R143,P45:P143),"n/d")</f>
        <v>0.189620339613501</v>
      </c>
    </row>
    <row r="11">
      <c r="B11" s="7" t="inlineStr">
        <is>
          <t>Tasa mensual plazo sucesivo (i2)</t>
        </is>
      </c>
      <c r="C11" s="71">
        <f>C10/12</f>
        <v>0.0141666666666667</v>
      </c>
      <c r="E11" s="7" t="inlineStr">
        <is>
          <t>Σ factores de descuento de rentas básicas</t>
        </is>
      </c>
      <c r="I11" s="72">
        <f>SUMIF(B46:B143,"Básico",M46:M143)</f>
        <v>33.1137053153085</v>
      </c>
    </row>
    <row r="12">
      <c r="B12" s="7" t="inlineStr">
        <is>
          <t>Tasa de fondeo anual</t>
        </is>
      </c>
      <c r="C12" s="71">
        <f>inp_Fondeo</f>
        <v>0.205</v>
      </c>
      <c r="E12" s="7" t="inlineStr">
        <is>
          <t>Factor de descuento del último pago</t>
        </is>
      </c>
      <c r="I12" s="72">
        <f>IFERROR(INDEX(M46:M143,C38),0)</f>
        <v>0.44324000789376</v>
      </c>
    </row>
    <row r="13">
      <c r="B13" s="7" t="inlineStr">
        <is>
          <t>Tasa de fondeo mensual (f)</t>
        </is>
      </c>
      <c r="C13" s="71">
        <f>C12/12</f>
        <v>0.0170833333333333</v>
      </c>
      <c r="E13" s="7" t="inlineStr">
        <is>
          <t>Sensibilidad del CM a la renta (∂CM/∂R)</t>
        </is>
      </c>
      <c r="I13" s="72">
        <f>I11+C29*(1+C14)*(1-I12)+C34/30</f>
        <v>33.7928802394851</v>
      </c>
    </row>
    <row r="14">
      <c r="B14" s="7" t="inlineStr">
        <is>
          <t>Tasa de IVA</t>
        </is>
      </c>
      <c r="C14" s="70">
        <f>par_IVA</f>
        <v>0.16</v>
      </c>
      <c r="E14" s="7" t="inlineStr">
        <is>
          <t>Renta mínima para el CM objetivo</t>
        </is>
      </c>
      <c r="I14" s="21">
        <f>IFERROR((inp_CMobj*C19-(I4-C24*I13))/I13,0)</f>
        <v>22350.6645615289</v>
      </c>
    </row>
    <row r="15">
      <c r="B15" s="7" t="inlineStr">
        <is>
          <t>Valor del equipo sin IVA (V)</t>
        </is>
      </c>
      <c r="C15" s="21">
        <f>inp_Valor</f>
        <v>758450</v>
      </c>
      <c r="E15" s="7" t="inlineStr">
        <is>
          <t>Tasa anual mínima para el CM objetivo</t>
        </is>
      </c>
      <c r="I15" s="70">
        <f>IFERROR(RATE(C5,I14,-C19,C21,C7)*12,"n/d")</f>
        <v>0.234480226639672</v>
      </c>
    </row>
    <row r="16">
      <c r="B16" s="7" t="inlineStr">
        <is>
          <t>Enganche</t>
        </is>
      </c>
      <c r="C16" s="21">
        <f>C15*INDEX(esc_Enganche,1,$C$3)</f>
        <v>37922.5</v>
      </c>
      <c r="E16" s="7" t="inlineStr">
        <is>
          <t>Saldo final de la tabla (debe ser 0)</t>
        </is>
      </c>
      <c r="I16" s="21">
        <f>IFERROR(INDEX(I46:I143,C38),0)</f>
        <v>-5.89352566748858e-10</v>
      </c>
    </row>
    <row r="17">
      <c r="B17" s="7" t="inlineStr">
        <is>
          <t>Seguro financiado</t>
        </is>
      </c>
      <c r="C17" s="21">
        <f>IF(INDEX(esc_SeguroForma,1,$C$3)="Financiado",INDEX(esc_Seguro,1,$C$3),0)</f>
        <v>0</v>
      </c>
      <c r="E17" s="7" t="inlineStr">
        <is>
          <t>Pago inicial: base sin IVA (enganche+comisión+renta prop.+contado)</t>
        </is>
      </c>
      <c r="I17" s="21">
        <f>C16+C28+C35+IF(INDEX(esc_SeguroForma,1,$C$3)="Contado",INDEX(esc_Seguro,1,$C$3),0)+IF(INDEX(esc_GPSForma,1,$C$3)="Contado",INDEX(esc_GPS,1,$C$3),0)</f>
        <v>44655.1396572198</v>
      </c>
    </row>
    <row r="18">
      <c r="B18" s="7" t="inlineStr">
        <is>
          <t>GPS financiado</t>
        </is>
      </c>
      <c r="C18" s="21">
        <f>IF(INDEX(esc_GPSForma,1,$C$3)="Financiado",INDEX(esc_GPS,1,$C$3),0)</f>
        <v>0</v>
      </c>
      <c r="E18" s="7" t="inlineStr">
        <is>
          <t>Pago inicial: IVA</t>
        </is>
      </c>
      <c r="I18" s="21">
        <f>I17*C14</f>
        <v>7144.82234515516</v>
      </c>
    </row>
    <row r="19">
      <c r="B19" s="7" t="inlineStr">
        <is>
          <t>Monto a financiar (M = V − enganche + financiados)</t>
        </is>
      </c>
      <c r="C19" s="67">
        <f>C15-C16+C17+C18</f>
        <v>720527.5</v>
      </c>
      <c r="E19" s="7" t="inlineStr">
        <is>
          <t>Pago inicial: depósito en garantía</t>
        </is>
      </c>
      <c r="I19" s="21">
        <f>C30</f>
        <v>23143.3800712474</v>
      </c>
    </row>
    <row r="20">
      <c r="B20" s="7" t="inlineStr">
        <is>
          <t>Valor residual (% del valor)</t>
        </is>
      </c>
      <c r="C20" s="70">
        <f>INDEX(esc_Residual,1,$C$3)</f>
        <v>0.05</v>
      </c>
      <c r="E20" s="7" t="inlineStr">
        <is>
          <t>PAGO INICIAL TOTAL (con IVA)</t>
        </is>
      </c>
      <c r="I20" s="67">
        <f>I17+I18+I19</f>
        <v>74943.3420736223</v>
      </c>
    </row>
    <row r="21">
      <c r="B21" s="7" t="inlineStr">
        <is>
          <t>Valor residual (VR)</t>
        </is>
      </c>
      <c r="C21" s="21">
        <f>C15*C20</f>
        <v>37922.5</v>
      </c>
      <c r="E21" s="7" t="inlineStr">
        <is>
          <t>IVA de la primera renta</t>
        </is>
      </c>
      <c r="I21" s="21">
        <f>IFERROR(J46,0)</f>
        <v>3192.19035465482</v>
      </c>
    </row>
    <row r="22">
      <c r="B22" s="7" t="inlineStr">
        <is>
          <t>Pago final (% del valor)</t>
        </is>
      </c>
      <c r="C22" s="70">
        <f>IF(INDEX(esc_PagoFinal,1,$C$3)="",C20,INDEX(esc_PagoFinal,1,$C$3))</f>
        <v>0.05</v>
      </c>
      <c r="E22" s="7" t="inlineStr">
        <is>
          <t>Total de pagos con IVA (rentas + pago final)</t>
        </is>
      </c>
      <c r="I22" s="21">
        <f>SUM(K46:K143)</f>
        <v>1154872.34341988</v>
      </c>
    </row>
    <row r="23">
      <c r="B23" s="7" t="inlineStr">
        <is>
          <t>Pago final ($)</t>
        </is>
      </c>
      <c r="C23" s="21">
        <f>C15*C22</f>
        <v>37922.5</v>
      </c>
      <c r="E23" s="7" t="inlineStr">
        <is>
          <t>Spread (tasa cliente − tasa fondeo)</t>
        </is>
      </c>
      <c r="I23" s="70">
        <f>C8-C12</f>
        <v>-0.035</v>
      </c>
    </row>
    <row r="24">
      <c r="B24" s="7" t="inlineStr">
        <is>
          <t>RENTA BÁSICA  R = PMT(i, n, −M, VR, tipo)</t>
        </is>
      </c>
      <c r="C24" s="67">
        <f>PMT(C9,C5,-C19,C21,C7)</f>
        <v>19951.1897165926</v>
      </c>
    </row>
    <row r="25">
      <c r="B25" s="7" t="inlineStr">
        <is>
          <t>Renta plazo sucesivo  Rs = PMT(i2, m, −PF, 0, tipo)</t>
        </is>
      </c>
      <c r="C25" s="21">
        <f>IF(C6&gt;0,PMT(C11,C6,-C23,0,C7),0)</f>
        <v>37922.5</v>
      </c>
    </row>
    <row r="26">
      <c r="B26" s="7" t="inlineStr">
        <is>
          <t>Opción de compra (si m = 0)</t>
        </is>
      </c>
      <c r="C26" s="21">
        <f>IF(C6=0,C23,0)</f>
        <v>0</v>
      </c>
      <c r="E26"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27">
      <c r="B27" s="7" t="inlineStr">
        <is>
          <t>Comisión por apertura (%)</t>
        </is>
      </c>
      <c r="C27" s="70">
        <f>INDEX(esc_Comision,1,$C$3)</f>
        <v>0.008</v>
      </c>
    </row>
    <row r="28">
      <c r="B28" s="7" t="inlineStr">
        <is>
          <t>Comisión por apertura ($, sobre el valor)</t>
        </is>
      </c>
      <c r="C28" s="21">
        <f>C15*C27</f>
        <v>6067.6</v>
      </c>
    </row>
    <row r="29">
      <c r="B29" s="7" t="inlineStr">
        <is>
          <t>Depósito en garantía (# rentas con IVA)</t>
        </is>
      </c>
      <c r="C29" s="73">
        <f>INDEX(esc_Deposito,1,$C$3)</f>
        <v>1</v>
      </c>
    </row>
    <row r="30">
      <c r="B30" s="7" t="inlineStr">
        <is>
          <t>Depósito en garantía ($)</t>
        </is>
      </c>
      <c r="C30" s="21">
        <f>C29*C24*(1+C14)</f>
        <v>23143.3800712474</v>
      </c>
    </row>
    <row r="31">
      <c r="B31" s="7" t="inlineStr">
        <is>
          <t>Fecha de firma / desembolso</t>
        </is>
      </c>
      <c r="C31" s="74">
        <f>inp_FechaFirma</f>
        <v>46295.0</v>
      </c>
    </row>
    <row r="32">
      <c r="B32" s="7" t="inlineStr">
        <is>
          <t>Fecha de la primera renta</t>
        </is>
      </c>
      <c r="C32" s="74">
        <f>inp_FechaPrimera</f>
        <v>46296.0</v>
      </c>
    </row>
    <row r="33">
      <c r="B33" s="7" t="inlineStr">
        <is>
          <t>Inicio del plazo (t = 0)</t>
        </is>
      </c>
      <c r="C33" s="74">
        <f>IF(C7=1,C32,EDATE(C32,-1))</f>
        <v>46296.0</v>
      </c>
    </row>
    <row r="34">
      <c r="B34" s="7" t="inlineStr">
        <is>
          <t>Días entre firma e inicio del plazo</t>
        </is>
      </c>
      <c r="C34" s="68">
        <f>MAX(0,C33-C31)</f>
        <v>1</v>
      </c>
    </row>
    <row r="35">
      <c r="B35" s="7" t="inlineStr">
        <is>
          <t>Renta proporcional (R/30 × días)</t>
        </is>
      </c>
      <c r="C35" s="21">
        <f>C24/30*C34</f>
        <v>665.039657219753</v>
      </c>
    </row>
    <row r="36">
      <c r="B36" s="7" t="inlineStr">
        <is>
          <t>Comisión banco / alianza</t>
        </is>
      </c>
      <c r="C36" s="21">
        <f>inp_ComBanco</f>
        <v>0</v>
      </c>
    </row>
    <row r="37">
      <c r="B37" s="7" t="inlineStr">
        <is>
          <t>Factor de fondeo por días  (1+fa/base)^(−días)</t>
        </is>
      </c>
      <c r="C37" s="72">
        <f>(1+C12/par_BaseDias)^(-C34)</f>
        <v>0.999430879637984</v>
      </c>
    </row>
    <row r="38">
      <c r="B38" s="7" t="inlineStr">
        <is>
          <t>Número de pagos en la tabla</t>
        </is>
      </c>
      <c r="C38" s="68">
        <f>C5+IF(C6&gt;0,C6,IF(C23&gt;0,1,0))</f>
        <v>49</v>
      </c>
    </row>
    <row r="39">
      <c r="B39" s="7" t="inlineStr">
        <is>
          <t>Desembolso del arrendador en la firma</t>
        </is>
      </c>
      <c r="C39" s="21">
        <f>-(C15+C17+C18)</f>
        <v>-758450</v>
      </c>
    </row>
    <row r="40">
      <c r="B40" s="7" t="inlineStr">
        <is>
          <t>Cobros en la firma (enganche+comisión+renta prop.+depósito−com. banco)</t>
        </is>
      </c>
      <c r="C40" s="21">
        <f>C16+C28+C35+C30-C36</f>
        <v>67798.5197284672</v>
      </c>
    </row>
    <row r="41">
      <c r="B41" s="7" t="inlineStr">
        <is>
          <t>Flujo neto del arrendador en la firma</t>
        </is>
      </c>
      <c r="C41" s="21">
        <f>C39+C40</f>
        <v>-690651.480271533</v>
      </c>
    </row>
    <row r="44" ht="30" customHeight="1">
      <c r="A44" s="30" t="inlineStr">
        <is>
          <t>#</t>
        </is>
      </c>
      <c r="B44" s="30" t="inlineStr">
        <is>
          <t>Concepto</t>
        </is>
      </c>
      <c r="C44" s="30" t="inlineStr">
        <is>
          <t>t</t>
        </is>
      </c>
      <c r="D44" s="30" t="inlineStr">
        <is>
          <t>Fecha</t>
        </is>
      </c>
      <c r="E44" s="30" t="inlineStr">
        <is>
          <t>Saldo inicial</t>
        </is>
      </c>
      <c r="F44" s="30" t="inlineStr">
        <is>
          <t>Pago s/IVA</t>
        </is>
      </c>
      <c r="G44" s="30" t="inlineStr">
        <is>
          <t>Interés</t>
        </is>
      </c>
      <c r="H44" s="30" t="inlineStr">
        <is>
          <t>Capital</t>
        </is>
      </c>
      <c r="I44" s="30" t="inlineStr">
        <is>
          <t>Saldo final</t>
        </is>
      </c>
      <c r="J44" s="30" t="inlineStr">
        <is>
          <t>IVA</t>
        </is>
      </c>
      <c r="K44" s="30" t="inlineStr">
        <is>
          <t>Total c/IVA</t>
        </is>
      </c>
      <c r="L44" s="30" t="inlineStr">
        <is>
          <t>Flujo arrendador</t>
        </is>
      </c>
      <c r="M44" s="30" t="inlineStr">
        <is>
          <t>Factor desc.</t>
        </is>
      </c>
      <c r="N44" s="30" t="inlineStr">
        <is>
          <t>VP flujo</t>
        </is>
      </c>
      <c r="O44" s="30" t="inlineStr">
        <is>
          <t>Flujo S/R</t>
        </is>
      </c>
      <c r="P44" s="30" t="inlineStr">
        <is>
          <t>Fecha (XIRR)</t>
        </is>
      </c>
      <c r="Q44" s="30" t="inlineStr">
        <is>
          <t>Flujo XIRR</t>
        </is>
      </c>
      <c r="R44" s="30" t="inlineStr">
        <is>
          <t>Flujo cliente (CAT)</t>
        </is>
      </c>
      <c r="S44" s="30" t="inlineStr">
        <is>
          <t>VP flujo S/R</t>
        </is>
      </c>
    </row>
    <row r="45">
      <c r="A45" s="75" t="n">
        <v>0</v>
      </c>
      <c r="B45" s="75" t="inlineStr">
        <is>
          <t>Firma / desembolso</t>
        </is>
      </c>
      <c r="C45" s="75" t="n">
        <v>0</v>
      </c>
      <c r="D45" s="75">
        <f>C31</f>
        <v>46295.0</v>
      </c>
      <c r="E45" s="76" t="n"/>
      <c r="F45" s="76" t="n"/>
      <c r="G45" s="76" t="n"/>
      <c r="H45" s="76" t="n"/>
      <c r="I45" s="76" t="n"/>
      <c r="J45" s="76" t="n"/>
      <c r="K45" s="76" t="n"/>
      <c r="L45" s="75">
        <f>C41</f>
        <v>-690651.480271533</v>
      </c>
      <c r="M45" s="76" t="n"/>
      <c r="N45" s="76" t="n"/>
      <c r="O45" s="76" t="n"/>
      <c r="P45" s="75">
        <f>C31</f>
        <v>46295.0</v>
      </c>
      <c r="Q45" s="75">
        <f>C41</f>
        <v>-690651.480271533</v>
      </c>
      <c r="R45" s="75">
        <f>C19-C28-C35</f>
        <v>713794.86034278</v>
      </c>
      <c r="S45" s="76" t="n"/>
    </row>
    <row r="46">
      <c r="A46" s="7" t="n">
        <v>1</v>
      </c>
      <c r="B46" s="7" t="str">
        <f>IF(A46&gt;$C$38,"",IF(A46&lt;=$C$5,"Básico",IF($C$6&gt;0,"Sucesivo","Opción de compra")))</f>
        <v>Básico</v>
      </c>
      <c r="C46" s="7">
        <f>IF(B46="","",IF(B46="Opción de compra",$C$5,A46-$C$7))</f>
        <v>0</v>
      </c>
      <c r="D46" s="77">
        <f>IF(B46="","",EDATE($C$33,C46))</f>
        <v>46296.0</v>
      </c>
      <c r="E46" s="59">
        <f>IF(B46="","",$C$19)</f>
        <v>720527.5</v>
      </c>
      <c r="F46" s="59">
        <f>IF(B46="","",IF(B46="Básico",$C$24,IF(B46="Sucesivo",$C$25,$C$26)))</f>
        <v>19951.1897165926</v>
      </c>
      <c r="G46" s="59">
        <f>IF(B46="","",IF(B46="Opción de compra",0,(E46-$C$7*F46)*IF(B46="Sucesivo",$C$11,$C$9)))</f>
        <v>9924.83106234827</v>
      </c>
      <c r="H46" s="59">
        <f>IF(B46="","",F46-G46)</f>
        <v>10026.3586542443</v>
      </c>
      <c r="I46" s="59">
        <f>IF(B46="","",E46-H46)</f>
        <v>710501.141345756</v>
      </c>
      <c r="J46" s="59">
        <f>IF(B46="","",IF(OR(inp_Tipo="Arrendamiento Puro",par_BaseIVAFin="Sobre renta",B46="Opción de compra"),F46,G46)*$C$14)</f>
        <v>3192.19035465482</v>
      </c>
      <c r="K46" s="59">
        <f>IF(B46="","",F46+J46)</f>
        <v>23143.3800712474</v>
      </c>
      <c r="L46" s="59">
        <f>IF(B46="","",F46-IF(A46=$C$38,$C$30,0))</f>
        <v>19951.1897165926</v>
      </c>
      <c r="M46" s="78">
        <f>IF(B46="","",$C$37*(1+$C$13)^(-C46))</f>
        <v>0.999430879637984</v>
      </c>
      <c r="N46" s="59">
        <f>IF(B46="","",L46*M46)</f>
        <v>19939.8350882784</v>
      </c>
      <c r="O46" s="59">
        <f>IF(B46="","",IF(B46="Básico",F46,0)-IF(A46=$C$38,$C$30,0))</f>
        <v>19951.1897165926</v>
      </c>
      <c r="P46" s="77">
        <f>IF(B46="",$C$31,D46)</f>
        <v>46296.0</v>
      </c>
      <c r="Q46" s="59">
        <f>IF(B46="",0,L46)</f>
        <v>19951.1897165926</v>
      </c>
      <c r="R46" s="59">
        <f>IF(B46="",0,-F46)</f>
        <v>-19951.1897165926</v>
      </c>
      <c r="S46" s="59">
        <f>IF(B46="","",O46*M46)</f>
        <v>19939.8350882784</v>
      </c>
    </row>
    <row r="47">
      <c r="A47" s="7" t="n">
        <v>2</v>
      </c>
      <c r="B47" s="7" t="str">
        <f>IF(A47&gt;$C$38,"",IF(A47&lt;=$C$5,"Básico",IF($C$6&gt;0,"Sucesivo","Opción de compra")))</f>
        <v>Básico</v>
      </c>
      <c r="C47" s="7">
        <f>IF(B47="","",IF(B47="Opción de compra",$C$5,A47-$C$7))</f>
        <v>1</v>
      </c>
      <c r="D47" s="77">
        <f>IF(B47="","",EDATE($C$33,C47))</f>
        <v>46327.0</v>
      </c>
      <c r="E47" s="59">
        <f>IF(B47="","",I46)</f>
        <v>710501.141345756</v>
      </c>
      <c r="F47" s="59">
        <f>IF(B47="","",IF(B47="Básico",$C$24,IF(B47="Sucesivo",$C$25,$C$26)))</f>
        <v>19951.1897165926</v>
      </c>
      <c r="G47" s="59">
        <f>IF(B47="","",IF(B47="Opción de compra",0,(E47-$C$7*F47)*IF(B47="Sucesivo",$C$11,$C$9)))</f>
        <v>9782.79098141315</v>
      </c>
      <c r="H47" s="59">
        <f>IF(B47="","",F47-G47)</f>
        <v>10168.3987351795</v>
      </c>
      <c r="I47" s="59">
        <f>IF(B47="","",E47-H47)</f>
        <v>700332.742610576</v>
      </c>
      <c r="J47" s="59">
        <f>IF(B47="","",IF(OR(inp_Tipo="Arrendamiento Puro",par_BaseIVAFin="Sobre renta",B47="Opción de compra"),F47,G47)*$C$14)</f>
        <v>3192.19035465482</v>
      </c>
      <c r="K47" s="59">
        <f>IF(B47="","",F47+J47)</f>
        <v>23143.3800712474</v>
      </c>
      <c r="L47" s="59">
        <f>IF(B47="","",F47-IF(A47=$C$38,$C$30,0))</f>
        <v>19951.1897165926</v>
      </c>
      <c r="M47" s="78">
        <f>IF(B47="","",$C$37*(1+$C$13)^(-C47))</f>
        <v>0.982644043888227</v>
      </c>
      <c r="N47" s="59">
        <f>IF(B47="","",L47*M47)</f>
        <v>19604.9177434938</v>
      </c>
      <c r="O47" s="59">
        <f>IF(B47="","",IF(B47="Básico",F47,0)-IF(A47=$C$38,$C$30,0))</f>
        <v>19951.1897165926</v>
      </c>
      <c r="P47" s="77">
        <f>IF(B47="",$C$31,D47)</f>
        <v>46327.0</v>
      </c>
      <c r="Q47" s="59">
        <f>IF(B47="",0,L47)</f>
        <v>19951.1897165926</v>
      </c>
      <c r="R47" s="59">
        <f>IF(B47="",0,-F47)</f>
        <v>-19951.1897165926</v>
      </c>
      <c r="S47" s="59">
        <f>IF(B47="","",O47*M47)</f>
        <v>19604.9177434938</v>
      </c>
    </row>
    <row r="48">
      <c r="A48" s="7" t="n">
        <v>3</v>
      </c>
      <c r="B48" s="7" t="str">
        <f>IF(A48&gt;$C$38,"",IF(A48&lt;=$C$5,"Básico",IF($C$6&gt;0,"Sucesivo","Opción de compra")))</f>
        <v>Básico</v>
      </c>
      <c r="C48" s="7">
        <f>IF(B48="","",IF(B48="Opción de compra",$C$5,A48-$C$7))</f>
        <v>2</v>
      </c>
      <c r="D48" s="77">
        <f>IF(B48="","",EDATE($C$33,C48))</f>
        <v>46357.0</v>
      </c>
      <c r="E48" s="59">
        <f>IF(B48="","",I47)</f>
        <v>700332.742610576</v>
      </c>
      <c r="F48" s="59">
        <f>IF(B48="","",IF(B48="Básico",$C$24,IF(B48="Sucesivo",$C$25,$C$26)))</f>
        <v>19951.1897165926</v>
      </c>
      <c r="G48" s="59">
        <f>IF(B48="","",IF(B48="Opción de compra",0,(E48-$C$7*F48)*IF(B48="Sucesivo",$C$11,$C$9)))</f>
        <v>9638.7386659981</v>
      </c>
      <c r="H48" s="59">
        <f>IF(B48="","",F48-G48)</f>
        <v>10312.4510505945</v>
      </c>
      <c r="I48" s="59">
        <f>IF(B48="","",E48-H48)</f>
        <v>690020.291559982</v>
      </c>
      <c r="J48" s="59">
        <f>IF(B48="","",IF(OR(inp_Tipo="Arrendamiento Puro",par_BaseIVAFin="Sobre renta",B48="Opción de compra"),F48,G48)*$C$14)</f>
        <v>3192.19035465482</v>
      </c>
      <c r="K48" s="59">
        <f>IF(B48="","",F48+J48)</f>
        <v>23143.3800712474</v>
      </c>
      <c r="L48" s="59">
        <f>IF(B48="","",F48-IF(A48=$C$38,$C$30,0))</f>
        <v>19951.1897165926</v>
      </c>
      <c r="M48" s="78">
        <f>IF(B48="","",$C$37*(1+$C$13)^(-C48))</f>
        <v>0.966139166461182</v>
      </c>
      <c r="N48" s="59">
        <f>IF(B48="","",L48*M48)</f>
        <v>19275.6258026977</v>
      </c>
      <c r="O48" s="59">
        <f>IF(B48="","",IF(B48="Básico",F48,0)-IF(A48=$C$38,$C$30,0))</f>
        <v>19951.1897165926</v>
      </c>
      <c r="P48" s="77">
        <f>IF(B48="",$C$31,D48)</f>
        <v>46357.0</v>
      </c>
      <c r="Q48" s="59">
        <f>IF(B48="",0,L48)</f>
        <v>19951.1897165926</v>
      </c>
      <c r="R48" s="59">
        <f>IF(B48="",0,-F48)</f>
        <v>-19951.1897165926</v>
      </c>
      <c r="S48" s="59">
        <f>IF(B48="","",O48*M48)</f>
        <v>19275.6258026977</v>
      </c>
    </row>
    <row r="49">
      <c r="A49" s="7" t="n">
        <v>4</v>
      </c>
      <c r="B49" s="7" t="str">
        <f>IF(A49&gt;$C$38,"",IF(A49&lt;=$C$5,"Básico",IF($C$6&gt;0,"Sucesivo","Opción de compra")))</f>
        <v>Básico</v>
      </c>
      <c r="C49" s="7">
        <f>IF(B49="","",IF(B49="Opción de compra",$C$5,A49-$C$7))</f>
        <v>3</v>
      </c>
      <c r="D49" s="77">
        <f>IF(B49="","",EDATE($C$33,C49))</f>
        <v>46388.0</v>
      </c>
      <c r="E49" s="59">
        <f>IF(B49="","",I48)</f>
        <v>690020.291559982</v>
      </c>
      <c r="F49" s="59">
        <f>IF(B49="","",IF(B49="Básico",$C$24,IF(B49="Sucesivo",$C$25,$C$26)))</f>
        <v>19951.1897165926</v>
      </c>
      <c r="G49" s="59">
        <f>IF(B49="","",IF(B49="Opción de compra",0,(E49-$C$7*F49)*IF(B49="Sucesivo",$C$11,$C$9)))</f>
        <v>9492.64560944802</v>
      </c>
      <c r="H49" s="59">
        <f>IF(B49="","",F49-G49)</f>
        <v>10458.5441071446</v>
      </c>
      <c r="I49" s="59">
        <f>IF(B49="","",E49-H49)</f>
        <v>679561.747452837</v>
      </c>
      <c r="J49" s="59">
        <f>IF(B49="","",IF(OR(inp_Tipo="Arrendamiento Puro",par_BaseIVAFin="Sobre renta",B49="Opción de compra"),F49,G49)*$C$14)</f>
        <v>3192.19035465482</v>
      </c>
      <c r="K49" s="59">
        <f>IF(B49="","",F49+J49)</f>
        <v>23143.3800712474</v>
      </c>
      <c r="L49" s="59">
        <f>IF(B49="","",F49-IF(A49=$C$38,$C$30,0))</f>
        <v>19951.1897165926</v>
      </c>
      <c r="M49" s="78">
        <f>IF(B49="","",$C$37*(1+$C$13)^(-C49))</f>
        <v>0.949911511473509</v>
      </c>
      <c r="N49" s="59">
        <f>IF(B49="","",L49*M49)</f>
        <v>18951.8647793832</v>
      </c>
      <c r="O49" s="59">
        <f>IF(B49="","",IF(B49="Básico",F49,0)-IF(A49=$C$38,$C$30,0))</f>
        <v>19951.1897165926</v>
      </c>
      <c r="P49" s="77">
        <f>IF(B49="",$C$31,D49)</f>
        <v>46388.0</v>
      </c>
      <c r="Q49" s="59">
        <f>IF(B49="",0,L49)</f>
        <v>19951.1897165926</v>
      </c>
      <c r="R49" s="59">
        <f>IF(B49="",0,-F49)</f>
        <v>-19951.1897165926</v>
      </c>
      <c r="S49" s="59">
        <f>IF(B49="","",O49*M49)</f>
        <v>18951.8647793832</v>
      </c>
    </row>
    <row r="50">
      <c r="A50" s="7" t="n">
        <v>5</v>
      </c>
      <c r="B50" s="7" t="str">
        <f>IF(A50&gt;$C$38,"",IF(A50&lt;=$C$5,"Básico",IF($C$6&gt;0,"Sucesivo","Opción de compra")))</f>
        <v>Básico</v>
      </c>
      <c r="C50" s="7">
        <f>IF(B50="","",IF(B50="Opción de compra",$C$5,A50-$C$7))</f>
        <v>4</v>
      </c>
      <c r="D50" s="77">
        <f>IF(B50="","",EDATE($C$33,C50))</f>
        <v>46419.0</v>
      </c>
      <c r="E50" s="59">
        <f>IF(B50="","",I49)</f>
        <v>679561.747452837</v>
      </c>
      <c r="F50" s="59">
        <f>IF(B50="","",IF(B50="Básico",$C$24,IF(B50="Sucesivo",$C$25,$C$26)))</f>
        <v>19951.1897165926</v>
      </c>
      <c r="G50" s="59">
        <f>IF(B50="","",IF(B50="Opción de compra",0,(E50-$C$7*F50)*IF(B50="Sucesivo",$C$11,$C$9)))</f>
        <v>9344.48290126347</v>
      </c>
      <c r="H50" s="59">
        <f>IF(B50="","",F50-G50)</f>
        <v>10606.7068153291</v>
      </c>
      <c r="I50" s="59">
        <f>IF(B50="","",E50-H50)</f>
        <v>668955.040637508</v>
      </c>
      <c r="J50" s="59">
        <f>IF(B50="","",IF(OR(inp_Tipo="Arrendamiento Puro",par_BaseIVAFin="Sobre renta",B50="Opción de compra"),F50,G50)*$C$14)</f>
        <v>3192.19035465482</v>
      </c>
      <c r="K50" s="59">
        <f>IF(B50="","",F50+J50)</f>
        <v>23143.3800712474</v>
      </c>
      <c r="L50" s="59">
        <f>IF(B50="","",F50-IF(A50=$C$38,$C$30,0))</f>
        <v>19951.1897165926</v>
      </c>
      <c r="M50" s="78">
        <f>IF(B50="","",$C$37*(1+$C$13)^(-C50))</f>
        <v>0.933956422587637</v>
      </c>
      <c r="N50" s="59">
        <f>IF(B50="","",L50*M50)</f>
        <v>18633.5417740761</v>
      </c>
      <c r="O50" s="59">
        <f>IF(B50="","",IF(B50="Básico",F50,0)-IF(A50=$C$38,$C$30,0))</f>
        <v>19951.1897165926</v>
      </c>
      <c r="P50" s="77">
        <f>IF(B50="",$C$31,D50)</f>
        <v>46419.0</v>
      </c>
      <c r="Q50" s="59">
        <f>IF(B50="",0,L50)</f>
        <v>19951.1897165926</v>
      </c>
      <c r="R50" s="59">
        <f>IF(B50="",0,-F50)</f>
        <v>-19951.1897165926</v>
      </c>
      <c r="S50" s="59">
        <f>IF(B50="","",O50*M50)</f>
        <v>18633.5417740761</v>
      </c>
    </row>
    <row r="51">
      <c r="A51" s="7" t="n">
        <v>6</v>
      </c>
      <c r="B51" s="7" t="str">
        <f>IF(A51&gt;$C$38,"",IF(A51&lt;=$C$5,"Básico",IF($C$6&gt;0,"Sucesivo","Opción de compra")))</f>
        <v>Básico</v>
      </c>
      <c r="C51" s="7">
        <f>IF(B51="","",IF(B51="Opción de compra",$C$5,A51-$C$7))</f>
        <v>5</v>
      </c>
      <c r="D51" s="77">
        <f>IF(B51="","",EDATE($C$33,C51))</f>
        <v>46447.0</v>
      </c>
      <c r="E51" s="59">
        <f>IF(B51="","",I50)</f>
        <v>668955.040637508</v>
      </c>
      <c r="F51" s="59">
        <f>IF(B51="","",IF(B51="Básico",$C$24,IF(B51="Sucesivo",$C$25,$C$26)))</f>
        <v>19951.1897165926</v>
      </c>
      <c r="G51" s="59">
        <f>IF(B51="","",IF(B51="Opción de compra",0,(E51-$C$7*F51)*IF(B51="Sucesivo",$C$11,$C$9)))</f>
        <v>9194.22122137964</v>
      </c>
      <c r="H51" s="59">
        <f>IF(B51="","",F51-G51)</f>
        <v>10756.968495213</v>
      </c>
      <c r="I51" s="59">
        <f>IF(B51="","",E51-H51)</f>
        <v>658198.072142295</v>
      </c>
      <c r="J51" s="59">
        <f>IF(B51="","",IF(OR(inp_Tipo="Arrendamiento Puro",par_BaseIVAFin="Sobre renta",B51="Opción de compra"),F51,G51)*$C$14)</f>
        <v>3192.19035465482</v>
      </c>
      <c r="K51" s="59">
        <f>IF(B51="","",F51+J51)</f>
        <v>23143.3800712474</v>
      </c>
      <c r="L51" s="59">
        <f>IF(B51="","",F51-IF(A51=$C$38,$C$30,0))</f>
        <v>19951.1897165926</v>
      </c>
      <c r="M51" s="78">
        <f>IF(B51="","",$C$37*(1+$C$13)^(-C51))</f>
        <v>0.918269321675677</v>
      </c>
      <c r="N51" s="59">
        <f>IF(B51="","",L51*M51)</f>
        <v>18320.5654476782</v>
      </c>
      <c r="O51" s="59">
        <f>IF(B51="","",IF(B51="Básico",F51,0)-IF(A51=$C$38,$C$30,0))</f>
        <v>19951.1897165926</v>
      </c>
      <c r="P51" s="77">
        <f>IF(B51="",$C$31,D51)</f>
        <v>46447.0</v>
      </c>
      <c r="Q51" s="59">
        <f>IF(B51="",0,L51)</f>
        <v>19951.1897165926</v>
      </c>
      <c r="R51" s="59">
        <f>IF(B51="",0,-F51)</f>
        <v>-19951.1897165926</v>
      </c>
      <c r="S51" s="59">
        <f>IF(B51="","",O51*M51)</f>
        <v>18320.5654476782</v>
      </c>
    </row>
    <row r="52">
      <c r="A52" s="7" t="n">
        <v>7</v>
      </c>
      <c r="B52" s="7" t="str">
        <f>IF(A52&gt;$C$38,"",IF(A52&lt;=$C$5,"Básico",IF($C$6&gt;0,"Sucesivo","Opción de compra")))</f>
        <v>Básico</v>
      </c>
      <c r="C52" s="7">
        <f>IF(B52="","",IF(B52="Opción de compra",$C$5,A52-$C$7))</f>
        <v>6</v>
      </c>
      <c r="D52" s="77">
        <f>IF(B52="","",EDATE($C$33,C52))</f>
        <v>46478.0</v>
      </c>
      <c r="E52" s="59">
        <f>IF(B52="","",I51)</f>
        <v>658198.072142295</v>
      </c>
      <c r="F52" s="59">
        <f>IF(B52="","",IF(B52="Básico",$C$24,IF(B52="Sucesivo",$C$25,$C$26)))</f>
        <v>19951.1897165926</v>
      </c>
      <c r="G52" s="59">
        <f>IF(B52="","",IF(B52="Opción de compra",0,(E52-$C$7*F52)*IF(B52="Sucesivo",$C$11,$C$9)))</f>
        <v>9041.83083436412</v>
      </c>
      <c r="H52" s="59">
        <f>IF(B52="","",F52-G52)</f>
        <v>10909.3588822285</v>
      </c>
      <c r="I52" s="59">
        <f>IF(B52="","",E52-H52)</f>
        <v>647288.713260067</v>
      </c>
      <c r="J52" s="59">
        <f>IF(B52="","",IF(OR(inp_Tipo="Arrendamiento Puro",par_BaseIVAFin="Sobre renta",B52="Opción de compra"),F52,G52)*$C$14)</f>
        <v>3192.19035465482</v>
      </c>
      <c r="K52" s="59">
        <f>IF(B52="","",F52+J52)</f>
        <v>23143.3800712474</v>
      </c>
      <c r="L52" s="59">
        <f>IF(B52="","",F52-IF(A52=$C$38,$C$30,0))</f>
        <v>19951.1897165926</v>
      </c>
      <c r="M52" s="78">
        <f>IF(B52="","",$C$37*(1+$C$13)^(-C52))</f>
        <v>0.902845707505787</v>
      </c>
      <c r="N52" s="59">
        <f>IF(B52="","",L52*M52)</f>
        <v>18012.8459952592</v>
      </c>
      <c r="O52" s="59">
        <f>IF(B52="","",IF(B52="Básico",F52,0)-IF(A52=$C$38,$C$30,0))</f>
        <v>19951.1897165926</v>
      </c>
      <c r="P52" s="77">
        <f>IF(B52="",$C$31,D52)</f>
        <v>46478.0</v>
      </c>
      <c r="Q52" s="59">
        <f>IF(B52="",0,L52)</f>
        <v>19951.1897165926</v>
      </c>
      <c r="R52" s="59">
        <f>IF(B52="",0,-F52)</f>
        <v>-19951.1897165926</v>
      </c>
      <c r="S52" s="59">
        <f>IF(B52="","",O52*M52)</f>
        <v>18012.8459952592</v>
      </c>
    </row>
    <row r="53">
      <c r="A53" s="7" t="n">
        <v>8</v>
      </c>
      <c r="B53" s="7" t="str">
        <f>IF(A53&gt;$C$38,"",IF(A53&lt;=$C$5,"Básico",IF($C$6&gt;0,"Sucesivo","Opción de compra")))</f>
        <v>Básico</v>
      </c>
      <c r="C53" s="7">
        <f>IF(B53="","",IF(B53="Opción de compra",$C$5,A53-$C$7))</f>
        <v>7</v>
      </c>
      <c r="D53" s="77">
        <f>IF(B53="","",EDATE($C$33,C53))</f>
        <v>46508.0</v>
      </c>
      <c r="E53" s="59">
        <f>IF(B53="","",I52)</f>
        <v>647288.713260067</v>
      </c>
      <c r="F53" s="59">
        <f>IF(B53="","",IF(B53="Básico",$C$24,IF(B53="Sucesivo",$C$25,$C$26)))</f>
        <v>19951.1897165926</v>
      </c>
      <c r="G53" s="59">
        <f>IF(B53="","",IF(B53="Opción de compra",0,(E53-$C$7*F53)*IF(B53="Sucesivo",$C$11,$C$9)))</f>
        <v>8887.28158353255</v>
      </c>
      <c r="H53" s="59">
        <f>IF(B53="","",F53-G53)</f>
        <v>11063.90813306</v>
      </c>
      <c r="I53" s="59">
        <f>IF(B53="","",E53-H53)</f>
        <v>636224.805127007</v>
      </c>
      <c r="J53" s="59">
        <f>IF(B53="","",IF(OR(inp_Tipo="Arrendamiento Puro",par_BaseIVAFin="Sobre renta",B53="Opción de compra"),F53,G53)*$C$14)</f>
        <v>3192.19035465482</v>
      </c>
      <c r="K53" s="59">
        <f>IF(B53="","",F53+J53)</f>
        <v>23143.3800712474</v>
      </c>
      <c r="L53" s="59">
        <f>IF(B53="","",F53-IF(A53=$C$38,$C$30,0))</f>
        <v>19951.1897165926</v>
      </c>
      <c r="M53" s="78">
        <f>IF(B53="","",$C$37*(1+$C$13)^(-C53))</f>
        <v>0.887681154450589</v>
      </c>
      <c r="N53" s="59">
        <f>IF(B53="","",L53*M53)</f>
        <v>17710.2951202876</v>
      </c>
      <c r="O53" s="59">
        <f>IF(B53="","",IF(B53="Básico",F53,0)-IF(A53=$C$38,$C$30,0))</f>
        <v>19951.1897165926</v>
      </c>
      <c r="P53" s="77">
        <f>IF(B53="",$C$31,D53)</f>
        <v>46508.0</v>
      </c>
      <c r="Q53" s="59">
        <f>IF(B53="",0,L53)</f>
        <v>19951.1897165926</v>
      </c>
      <c r="R53" s="59">
        <f>IF(B53="",0,-F53)</f>
        <v>-19951.1897165926</v>
      </c>
      <c r="S53" s="59">
        <f>IF(B53="","",O53*M53)</f>
        <v>17710.2951202876</v>
      </c>
    </row>
    <row r="54">
      <c r="A54" s="7" t="n">
        <v>9</v>
      </c>
      <c r="B54" s="7" t="str">
        <f>IF(A54&gt;$C$38,"",IF(A54&lt;=$C$5,"Básico",IF($C$6&gt;0,"Sucesivo","Opción de compra")))</f>
        <v>Básico</v>
      </c>
      <c r="C54" s="7">
        <f>IF(B54="","",IF(B54="Opción de compra",$C$5,A54-$C$7))</f>
        <v>8</v>
      </c>
      <c r="D54" s="77">
        <f>IF(B54="","",EDATE($C$33,C54))</f>
        <v>46539.0</v>
      </c>
      <c r="E54" s="59">
        <f>IF(B54="","",I53)</f>
        <v>636224.805127007</v>
      </c>
      <c r="F54" s="59">
        <f>IF(B54="","",IF(B54="Básico",$C$24,IF(B54="Sucesivo",$C$25,$C$26)))</f>
        <v>19951.1897165926</v>
      </c>
      <c r="G54" s="59">
        <f>IF(B54="","",IF(B54="Opción de compra",0,(E54-$C$7*F54)*IF(B54="Sucesivo",$C$11,$C$9)))</f>
        <v>8730.54288498087</v>
      </c>
      <c r="H54" s="59">
        <f>IF(B54="","",F54-G54)</f>
        <v>11220.6468316117</v>
      </c>
      <c r="I54" s="59">
        <f>IF(B54="","",E54-H54)</f>
        <v>625004.158295395</v>
      </c>
      <c r="J54" s="59">
        <f>IF(B54="","",IF(OR(inp_Tipo="Arrendamiento Puro",par_BaseIVAFin="Sobre renta",B54="Opción de compra"),F54,G54)*$C$14)</f>
        <v>3192.19035465482</v>
      </c>
      <c r="K54" s="59">
        <f>IF(B54="","",F54+J54)</f>
        <v>23143.3800712474</v>
      </c>
      <c r="L54" s="59">
        <f>IF(B54="","",F54-IF(A54=$C$38,$C$30,0))</f>
        <v>19951.1897165926</v>
      </c>
      <c r="M54" s="78">
        <f>IF(B54="","",$C$37*(1+$C$13)^(-C54))</f>
        <v>0.872771311217294</v>
      </c>
      <c r="N54" s="59">
        <f>IF(B54="","",L54*M54)</f>
        <v>17412.8260092955</v>
      </c>
      <c r="O54" s="59">
        <f>IF(B54="","",IF(B54="Básico",F54,0)-IF(A54=$C$38,$C$30,0))</f>
        <v>19951.1897165926</v>
      </c>
      <c r="P54" s="77">
        <f>IF(B54="",$C$31,D54)</f>
        <v>46539.0</v>
      </c>
      <c r="Q54" s="59">
        <f>IF(B54="",0,L54)</f>
        <v>19951.1897165926</v>
      </c>
      <c r="R54" s="59">
        <f>IF(B54="",0,-F54)</f>
        <v>-19951.1897165926</v>
      </c>
      <c r="S54" s="59">
        <f>IF(B54="","",O54*M54)</f>
        <v>17412.8260092955</v>
      </c>
    </row>
    <row r="55">
      <c r="A55" s="7" t="n">
        <v>10</v>
      </c>
      <c r="B55" s="7" t="str">
        <f>IF(A55&gt;$C$38,"",IF(A55&lt;=$C$5,"Básico",IF($C$6&gt;0,"Sucesivo","Opción de compra")))</f>
        <v>Básico</v>
      </c>
      <c r="C55" s="7">
        <f>IF(B55="","",IF(B55="Opción de compra",$C$5,A55-$C$7))</f>
        <v>9</v>
      </c>
      <c r="D55" s="77">
        <f>IF(B55="","",EDATE($C$33,C55))</f>
        <v>46569.0</v>
      </c>
      <c r="E55" s="59">
        <f>IF(B55="","",I54)</f>
        <v>625004.158295395</v>
      </c>
      <c r="F55" s="59">
        <f>IF(B55="","",IF(B55="Básico",$C$24,IF(B55="Sucesivo",$C$25,$C$26)))</f>
        <v>19951.1897165926</v>
      </c>
      <c r="G55" s="59">
        <f>IF(B55="","",IF(B55="Opción de compra",0,(E55-$C$7*F55)*IF(B55="Sucesivo",$C$11,$C$9)))</f>
        <v>8571.58372153303</v>
      </c>
      <c r="H55" s="59">
        <f>IF(B55="","",F55-G55)</f>
        <v>11379.6059950596</v>
      </c>
      <c r="I55" s="59">
        <f>IF(B55="","",E55-H55)</f>
        <v>613624.552300335</v>
      </c>
      <c r="J55" s="59">
        <f>IF(B55="","",IF(OR(inp_Tipo="Arrendamiento Puro",par_BaseIVAFin="Sobre renta",B55="Opción de compra"),F55,G55)*$C$14)</f>
        <v>3192.19035465482</v>
      </c>
      <c r="K55" s="59">
        <f>IF(B55="","",F55+J55)</f>
        <v>23143.3800712474</v>
      </c>
      <c r="L55" s="59">
        <f>IF(B55="","",F55-IF(A55=$C$38,$C$30,0))</f>
        <v>19951.1897165926</v>
      </c>
      <c r="M55" s="78">
        <f>IF(B55="","",$C$37*(1+$C$13)^(-C55))</f>
        <v>0.858111899599142</v>
      </c>
      <c r="N55" s="59">
        <f>IF(B55="","",L55*M55)</f>
        <v>17120.3533069681</v>
      </c>
      <c r="O55" s="59">
        <f>IF(B55="","",IF(B55="Básico",F55,0)-IF(A55=$C$38,$C$30,0))</f>
        <v>19951.1897165926</v>
      </c>
      <c r="P55" s="77">
        <f>IF(B55="",$C$31,D55)</f>
        <v>46569.0</v>
      </c>
      <c r="Q55" s="59">
        <f>IF(B55="",0,L55)</f>
        <v>19951.1897165926</v>
      </c>
      <c r="R55" s="59">
        <f>IF(B55="",0,-F55)</f>
        <v>-19951.1897165926</v>
      </c>
      <c r="S55" s="59">
        <f>IF(B55="","",O55*M55)</f>
        <v>17120.3533069681</v>
      </c>
    </row>
    <row r="56">
      <c r="A56" s="7" t="n">
        <v>11</v>
      </c>
      <c r="B56" s="7" t="str">
        <f>IF(A56&gt;$C$38,"",IF(A56&lt;=$C$5,"Básico",IF($C$6&gt;0,"Sucesivo","Opción de compra")))</f>
        <v>Básico</v>
      </c>
      <c r="C56" s="7">
        <f>IF(B56="","",IF(B56="Opción de compra",$C$5,A56-$C$7))</f>
        <v>10</v>
      </c>
      <c r="D56" s="77">
        <f>IF(B56="","",EDATE($C$33,C56))</f>
        <v>46600.0</v>
      </c>
      <c r="E56" s="59">
        <f>IF(B56="","",I55)</f>
        <v>613624.552300335</v>
      </c>
      <c r="F56" s="59">
        <f>IF(B56="","",IF(B56="Básico",$C$24,IF(B56="Sucesivo",$C$25,$C$26)))</f>
        <v>19951.1897165926</v>
      </c>
      <c r="G56" s="59">
        <f>IF(B56="","",IF(B56="Opción de compra",0,(E56-$C$7*F56)*IF(B56="Sucesivo",$C$11,$C$9)))</f>
        <v>8410.37263660302</v>
      </c>
      <c r="H56" s="59">
        <f>IF(B56="","",F56-G56)</f>
        <v>11540.8170799896</v>
      </c>
      <c r="I56" s="59">
        <f>IF(B56="","",E56-H56)</f>
        <v>602083.735220346</v>
      </c>
      <c r="J56" s="59">
        <f>IF(B56="","",IF(OR(inp_Tipo="Arrendamiento Puro",par_BaseIVAFin="Sobre renta",B56="Opción de compra"),F56,G56)*$C$14)</f>
        <v>3192.19035465482</v>
      </c>
      <c r="K56" s="59">
        <f>IF(B56="","",F56+J56)</f>
        <v>23143.3800712474</v>
      </c>
      <c r="L56" s="59">
        <f>IF(B56="","",F56-IF(A56=$C$38,$C$30,0))</f>
        <v>19951.1897165926</v>
      </c>
      <c r="M56" s="78">
        <f>IF(B56="","",$C$37*(1+$C$13)^(-C56))</f>
        <v>0.843698713247825</v>
      </c>
      <c r="N56" s="59">
        <f>IF(B56="","",L56*M56)</f>
        <v>16832.7930916524</v>
      </c>
      <c r="O56" s="59">
        <f>IF(B56="","",IF(B56="Básico",F56,0)-IF(A56=$C$38,$C$30,0))</f>
        <v>19951.1897165926</v>
      </c>
      <c r="P56" s="77">
        <f>IF(B56="",$C$31,D56)</f>
        <v>46600.0</v>
      </c>
      <c r="Q56" s="59">
        <f>IF(B56="",0,L56)</f>
        <v>19951.1897165926</v>
      </c>
      <c r="R56" s="59">
        <f>IF(B56="",0,-F56)</f>
        <v>-19951.1897165926</v>
      </c>
      <c r="S56" s="59">
        <f>IF(B56="","",O56*M56)</f>
        <v>16832.7930916524</v>
      </c>
    </row>
    <row r="57">
      <c r="A57" s="7" t="n">
        <v>12</v>
      </c>
      <c r="B57" s="7" t="str">
        <f>IF(A57&gt;$C$38,"",IF(A57&lt;=$C$5,"Básico",IF($C$6&gt;0,"Sucesivo","Opción de compra")))</f>
        <v>Básico</v>
      </c>
      <c r="C57" s="7">
        <f>IF(B57="","",IF(B57="Opción de compra",$C$5,A57-$C$7))</f>
        <v>11</v>
      </c>
      <c r="D57" s="77">
        <f>IF(B57="","",EDATE($C$33,C57))</f>
        <v>46631.0</v>
      </c>
      <c r="E57" s="59">
        <f>IF(B57="","",I56)</f>
        <v>602083.735220346</v>
      </c>
      <c r="F57" s="59">
        <f>IF(B57="","",IF(B57="Básico",$C$24,IF(B57="Sucesivo",$C$25,$C$26)))</f>
        <v>19951.1897165926</v>
      </c>
      <c r="G57" s="59">
        <f>IF(B57="","",IF(B57="Opción de compra",0,(E57-$C$7*F57)*IF(B57="Sucesivo",$C$11,$C$9)))</f>
        <v>8246.87772796984</v>
      </c>
      <c r="H57" s="59">
        <f>IF(B57="","",F57-G57)</f>
        <v>11704.3119886228</v>
      </c>
      <c r="I57" s="59">
        <f>IF(B57="","",E57-H57)</f>
        <v>590379.423231723</v>
      </c>
      <c r="J57" s="59">
        <f>IF(B57="","",IF(OR(inp_Tipo="Arrendamiento Puro",par_BaseIVAFin="Sobre renta",B57="Opción de compra"),F57,G57)*$C$14)</f>
        <v>3192.19035465482</v>
      </c>
      <c r="K57" s="59">
        <f>IF(B57="","",F57+J57)</f>
        <v>23143.3800712474</v>
      </c>
      <c r="L57" s="59">
        <f>IF(B57="","",F57-IF(A57=$C$38,$C$30,0))</f>
        <v>19951.1897165926</v>
      </c>
      <c r="M57" s="78">
        <f>IF(B57="","",$C$37*(1+$C$13)^(-C57))</f>
        <v>0.829527616466522</v>
      </c>
      <c r="N57" s="59">
        <f>IF(B57="","",L57*M57)</f>
        <v>16550.0628512764</v>
      </c>
      <c r="O57" s="59">
        <f>IF(B57="","",IF(B57="Básico",F57,0)-IF(A57=$C$38,$C$30,0))</f>
        <v>19951.1897165926</v>
      </c>
      <c r="P57" s="77">
        <f>IF(B57="",$C$31,D57)</f>
        <v>46631.0</v>
      </c>
      <c r="Q57" s="59">
        <f>IF(B57="",0,L57)</f>
        <v>19951.1897165926</v>
      </c>
      <c r="R57" s="59">
        <f>IF(B57="",0,-F57)</f>
        <v>-19951.1897165926</v>
      </c>
      <c r="S57" s="59">
        <f>IF(B57="","",O57*M57)</f>
        <v>16550.0628512764</v>
      </c>
    </row>
    <row r="58">
      <c r="A58" s="7" t="n">
        <v>13</v>
      </c>
      <c r="B58" s="7" t="str">
        <f>IF(A58&gt;$C$38,"",IF(A58&lt;=$C$5,"Básico",IF($C$6&gt;0,"Sucesivo","Opción de compra")))</f>
        <v>Básico</v>
      </c>
      <c r="C58" s="7">
        <f>IF(B58="","",IF(B58="Opción de compra",$C$5,A58-$C$7))</f>
        <v>12</v>
      </c>
      <c r="D58" s="77">
        <f>IF(B58="","",EDATE($C$33,C58))</f>
        <v>46661.0</v>
      </c>
      <c r="E58" s="59">
        <f>IF(B58="","",I57)</f>
        <v>590379.423231723</v>
      </c>
      <c r="F58" s="59">
        <f>IF(B58="","",IF(B58="Básico",$C$24,IF(B58="Sucesivo",$C$25,$C$26)))</f>
        <v>19951.1897165926</v>
      </c>
      <c r="G58" s="59">
        <f>IF(B58="","",IF(B58="Opción de compra",0,(E58-$C$7*F58)*IF(B58="Sucesivo",$C$11,$C$9)))</f>
        <v>8081.06664146435</v>
      </c>
      <c r="H58" s="59">
        <f>IF(B58="","",F58-G58)</f>
        <v>11870.1230751283</v>
      </c>
      <c r="I58" s="59">
        <f>IF(B58="","",E58-H58)</f>
        <v>578509.300156595</v>
      </c>
      <c r="J58" s="59">
        <f>IF(B58="","",IF(OR(inp_Tipo="Arrendamiento Puro",par_BaseIVAFin="Sobre renta",B58="Opción de compra"),F58,G58)*$C$14)</f>
        <v>3192.19035465482</v>
      </c>
      <c r="K58" s="59">
        <f>IF(B58="","",F58+J58)</f>
        <v>23143.3800712474</v>
      </c>
      <c r="L58" s="59">
        <f>IF(B58="","",F58-IF(A58=$C$38,$C$30,0))</f>
        <v>19951.1897165926</v>
      </c>
      <c r="M58" s="78">
        <f>IF(B58="","",$C$37*(1+$C$13)^(-C58))</f>
        <v>0.815594543023209</v>
      </c>
      <c r="N58" s="59">
        <f>IF(B58="","",L58*M58)</f>
        <v>16272.0814596737</v>
      </c>
      <c r="O58" s="59">
        <f>IF(B58="","",IF(B58="Básico",F58,0)-IF(A58=$C$38,$C$30,0))</f>
        <v>19951.1897165926</v>
      </c>
      <c r="P58" s="77">
        <f>IF(B58="",$C$31,D58)</f>
        <v>46661.0</v>
      </c>
      <c r="Q58" s="59">
        <f>IF(B58="",0,L58)</f>
        <v>19951.1897165926</v>
      </c>
      <c r="R58" s="59">
        <f>IF(B58="",0,-F58)</f>
        <v>-19951.1897165926</v>
      </c>
      <c r="S58" s="59">
        <f>IF(B58="","",O58*M58)</f>
        <v>16272.0814596737</v>
      </c>
    </row>
    <row r="59">
      <c r="A59" s="7" t="n">
        <v>14</v>
      </c>
      <c r="B59" s="7" t="str">
        <f>IF(A59&gt;$C$38,"",IF(A59&lt;=$C$5,"Básico",IF($C$6&gt;0,"Sucesivo","Opción de compra")))</f>
        <v>Básico</v>
      </c>
      <c r="C59" s="7">
        <f>IF(B59="","",IF(B59="Opción de compra",$C$5,A59-$C$7))</f>
        <v>13</v>
      </c>
      <c r="D59" s="77">
        <f>IF(B59="","",EDATE($C$33,C59))</f>
        <v>46692.0</v>
      </c>
      <c r="E59" s="59">
        <f>IF(B59="","",I58)</f>
        <v>578509.300156595</v>
      </c>
      <c r="F59" s="59">
        <f>IF(B59="","",IF(B59="Básico",$C$24,IF(B59="Sucesivo",$C$25,$C$26)))</f>
        <v>19951.1897165926</v>
      </c>
      <c r="G59" s="59">
        <f>IF(B59="","",IF(B59="Opción de compra",0,(E59-$C$7*F59)*IF(B59="Sucesivo",$C$11,$C$9)))</f>
        <v>7912.9065645667</v>
      </c>
      <c r="H59" s="59">
        <f>IF(B59="","",F59-G59)</f>
        <v>12038.2831520259</v>
      </c>
      <c r="I59" s="59">
        <f>IF(B59="","",E59-H59)</f>
        <v>566471.017004569</v>
      </c>
      <c r="J59" s="59">
        <f>IF(B59="","",IF(OR(inp_Tipo="Arrendamiento Puro",par_BaseIVAFin="Sobre renta",B59="Opción de compra"),F59,G59)*$C$14)</f>
        <v>3192.19035465482</v>
      </c>
      <c r="K59" s="59">
        <f>IF(B59="","",F59+J59)</f>
        <v>23143.3800712474</v>
      </c>
      <c r="L59" s="59">
        <f>IF(B59="","",F59-IF(A59=$C$38,$C$30,0))</f>
        <v>19951.1897165926</v>
      </c>
      <c r="M59" s="78">
        <f>IF(B59="","",$C$37*(1+$C$13)^(-C59))</f>
        <v>0.8018954949839</v>
      </c>
      <c r="N59" s="59">
        <f>IF(B59="","",L59*M59)</f>
        <v>15998.7691533047</v>
      </c>
      <c r="O59" s="59">
        <f>IF(B59="","",IF(B59="Básico",F59,0)-IF(A59=$C$38,$C$30,0))</f>
        <v>19951.1897165926</v>
      </c>
      <c r="P59" s="77">
        <f>IF(B59="",$C$31,D59)</f>
        <v>46692.0</v>
      </c>
      <c r="Q59" s="59">
        <f>IF(B59="",0,L59)</f>
        <v>19951.1897165926</v>
      </c>
      <c r="R59" s="59">
        <f>IF(B59="",0,-F59)</f>
        <v>-19951.1897165926</v>
      </c>
      <c r="S59" s="59">
        <f>IF(B59="","",O59*M59)</f>
        <v>15998.7691533047</v>
      </c>
    </row>
    <row r="60">
      <c r="A60" s="7" t="n">
        <v>15</v>
      </c>
      <c r="B60" s="7" t="str">
        <f>IF(A60&gt;$C$38,"",IF(A60&lt;=$C$5,"Básico",IF($C$6&gt;0,"Sucesivo","Opción de compra")))</f>
        <v>Básico</v>
      </c>
      <c r="C60" s="7">
        <f>IF(B60="","",IF(B60="Opción de compra",$C$5,A60-$C$7))</f>
        <v>14</v>
      </c>
      <c r="D60" s="77">
        <f>IF(B60="","",EDATE($C$33,C60))</f>
        <v>46722.0</v>
      </c>
      <c r="E60" s="59">
        <f>IF(B60="","",I59)</f>
        <v>566471.017004569</v>
      </c>
      <c r="F60" s="59">
        <f>IF(B60="","",IF(B60="Básico",$C$24,IF(B60="Sucesivo",$C$25,$C$26)))</f>
        <v>19951.1897165926</v>
      </c>
      <c r="G60" s="59">
        <f>IF(B60="","",IF(B60="Opción de compra",0,(E60-$C$7*F60)*IF(B60="Sucesivo",$C$11,$C$9)))</f>
        <v>7742.36421991299</v>
      </c>
      <c r="H60" s="59">
        <f>IF(B60="","",F60-G60)</f>
        <v>12208.8254966796</v>
      </c>
      <c r="I60" s="59">
        <f>IF(B60="","",E60-H60)</f>
        <v>554262.191507889</v>
      </c>
      <c r="J60" s="59">
        <f>IF(B60="","",IF(OR(inp_Tipo="Arrendamiento Puro",par_BaseIVAFin="Sobre renta",B60="Opción de compra"),F60,G60)*$C$14)</f>
        <v>3192.19035465482</v>
      </c>
      <c r="K60" s="59">
        <f>IF(B60="","",F60+J60)</f>
        <v>23143.3800712474</v>
      </c>
      <c r="L60" s="59">
        <f>IF(B60="","",F60-IF(A60=$C$38,$C$30,0))</f>
        <v>19951.1897165926</v>
      </c>
      <c r="M60" s="78">
        <f>IF(B60="","",$C$37*(1+$C$13)^(-C60))</f>
        <v>0.78842654156549</v>
      </c>
      <c r="N60" s="59">
        <f>IF(B60="","",L60*M60)</f>
        <v>15730.0475083701</v>
      </c>
      <c r="O60" s="59">
        <f>IF(B60="","",IF(B60="Básico",F60,0)-IF(A60=$C$38,$C$30,0))</f>
        <v>19951.1897165926</v>
      </c>
      <c r="P60" s="77">
        <f>IF(B60="",$C$31,D60)</f>
        <v>46722.0</v>
      </c>
      <c r="Q60" s="59">
        <f>IF(B60="",0,L60)</f>
        <v>19951.1897165926</v>
      </c>
      <c r="R60" s="59">
        <f>IF(B60="",0,-F60)</f>
        <v>-19951.1897165926</v>
      </c>
      <c r="S60" s="59">
        <f>IF(B60="","",O60*M60)</f>
        <v>15730.0475083701</v>
      </c>
    </row>
    <row r="61">
      <c r="A61" s="7" t="n">
        <v>16</v>
      </c>
      <c r="B61" s="7" t="str">
        <f>IF(A61&gt;$C$38,"",IF(A61&lt;=$C$5,"Básico",IF($C$6&gt;0,"Sucesivo","Opción de compra")))</f>
        <v>Básico</v>
      </c>
      <c r="C61" s="7">
        <f>IF(B61="","",IF(B61="Opción de compra",$C$5,A61-$C$7))</f>
        <v>15</v>
      </c>
      <c r="D61" s="77">
        <f>IF(B61="","",EDATE($C$33,C61))</f>
        <v>46753.0</v>
      </c>
      <c r="E61" s="59">
        <f>IF(B61="","",I60)</f>
        <v>554262.191507889</v>
      </c>
      <c r="F61" s="59">
        <f>IF(B61="","",IF(B61="Básico",$C$24,IF(B61="Sucesivo",$C$25,$C$26)))</f>
        <v>19951.1897165926</v>
      </c>
      <c r="G61" s="59">
        <f>IF(B61="","",IF(B61="Opción de compra",0,(E61-$C$7*F61)*IF(B61="Sucesivo",$C$11,$C$9)))</f>
        <v>7569.40585871003</v>
      </c>
      <c r="H61" s="59">
        <f>IF(B61="","",F61-G61)</f>
        <v>12381.7838578826</v>
      </c>
      <c r="I61" s="59">
        <f>IF(B61="","",E61-H61)</f>
        <v>541880.407650006</v>
      </c>
      <c r="J61" s="59">
        <f>IF(B61="","",IF(OR(inp_Tipo="Arrendamiento Puro",par_BaseIVAFin="Sobre renta",B61="Opción de compra"),F61,G61)*$C$14)</f>
        <v>3192.19035465482</v>
      </c>
      <c r="K61" s="59">
        <f>IF(B61="","",F61+J61)</f>
        <v>23143.3800712474</v>
      </c>
      <c r="L61" s="59">
        <f>IF(B61="","",F61-IF(A61=$C$38,$C$30,0))</f>
        <v>19951.1897165926</v>
      </c>
      <c r="M61" s="78">
        <f>IF(B61="","",$C$37*(1+$C$13)^(-C61))</f>
        <v>0.775183818007856</v>
      </c>
      <c r="N61" s="59">
        <f>IF(B61="","",L61*M61)</f>
        <v>15465.8394183073</v>
      </c>
      <c r="O61" s="59">
        <f>IF(B61="","",IF(B61="Básico",F61,0)-IF(A61=$C$38,$C$30,0))</f>
        <v>19951.1897165926</v>
      </c>
      <c r="P61" s="77">
        <f>IF(B61="",$C$31,D61)</f>
        <v>46753.0</v>
      </c>
      <c r="Q61" s="59">
        <f>IF(B61="",0,L61)</f>
        <v>19951.1897165926</v>
      </c>
      <c r="R61" s="59">
        <f>IF(B61="",0,-F61)</f>
        <v>-19951.1897165926</v>
      </c>
      <c r="S61" s="59">
        <f>IF(B61="","",O61*M61)</f>
        <v>15465.8394183073</v>
      </c>
    </row>
    <row r="62">
      <c r="A62" s="7" t="n">
        <v>17</v>
      </c>
      <c r="B62" s="7" t="str">
        <f>IF(A62&gt;$C$38,"",IF(A62&lt;=$C$5,"Básico",IF($C$6&gt;0,"Sucesivo","Opción de compra")))</f>
        <v>Básico</v>
      </c>
      <c r="C62" s="7">
        <f>IF(B62="","",IF(B62="Opción de compra",$C$5,A62-$C$7))</f>
        <v>16</v>
      </c>
      <c r="D62" s="77">
        <f>IF(B62="","",EDATE($C$33,C62))</f>
        <v>46784.0</v>
      </c>
      <c r="E62" s="59">
        <f>IF(B62="","",I61)</f>
        <v>541880.407650006</v>
      </c>
      <c r="F62" s="59">
        <f>IF(B62="","",IF(B62="Básico",$C$24,IF(B62="Sucesivo",$C$25,$C$26)))</f>
        <v>19951.1897165926</v>
      </c>
      <c r="G62" s="59">
        <f>IF(B62="","",IF(B62="Opción de compra",0,(E62-$C$7*F62)*IF(B62="Sucesivo",$C$11,$C$9)))</f>
        <v>7393.9972540567</v>
      </c>
      <c r="H62" s="59">
        <f>IF(B62="","",F62-G62)</f>
        <v>12557.1924625359</v>
      </c>
      <c r="I62" s="59">
        <f>IF(B62="","",E62-H62)</f>
        <v>529323.21518747</v>
      </c>
      <c r="J62" s="59">
        <f>IF(B62="","",IF(OR(inp_Tipo="Arrendamiento Puro",par_BaseIVAFin="Sobre renta",B62="Opción de compra"),F62,G62)*$C$14)</f>
        <v>3192.19035465482</v>
      </c>
      <c r="K62" s="59">
        <f>IF(B62="","",F62+J62)</f>
        <v>23143.3800712474</v>
      </c>
      <c r="L62" s="59">
        <f>IF(B62="","",F62-IF(A62=$C$38,$C$30,0))</f>
        <v>19951.1897165926</v>
      </c>
      <c r="M62" s="78">
        <f>IF(B62="","",$C$37*(1+$C$13)^(-C62))</f>
        <v>0.762163524464913</v>
      </c>
      <c r="N62" s="59">
        <f>IF(B62="","",L62*M62)</f>
        <v>15206.0690716663</v>
      </c>
      <c r="O62" s="59">
        <f>IF(B62="","",IF(B62="Básico",F62,0)-IF(A62=$C$38,$C$30,0))</f>
        <v>19951.1897165926</v>
      </c>
      <c r="P62" s="77">
        <f>IF(B62="",$C$31,D62)</f>
        <v>46784.0</v>
      </c>
      <c r="Q62" s="59">
        <f>IF(B62="",0,L62)</f>
        <v>19951.1897165926</v>
      </c>
      <c r="R62" s="59">
        <f>IF(B62="",0,-F62)</f>
        <v>-19951.1897165926</v>
      </c>
      <c r="S62" s="59">
        <f>IF(B62="","",O62*M62)</f>
        <v>15206.0690716663</v>
      </c>
    </row>
    <row r="63">
      <c r="A63" s="7" t="n">
        <v>18</v>
      </c>
      <c r="B63" s="7" t="str">
        <f>IF(A63&gt;$C$38,"",IF(A63&lt;=$C$5,"Básico",IF($C$6&gt;0,"Sucesivo","Opción de compra")))</f>
        <v>Básico</v>
      </c>
      <c r="C63" s="7">
        <f>IF(B63="","",IF(B63="Opción de compra",$C$5,A63-$C$7))</f>
        <v>17</v>
      </c>
      <c r="D63" s="77">
        <f>IF(B63="","",EDATE($C$33,C63))</f>
        <v>46813.0</v>
      </c>
      <c r="E63" s="59">
        <f>IF(B63="","",I62)</f>
        <v>529323.21518747</v>
      </c>
      <c r="F63" s="59">
        <f>IF(B63="","",IF(B63="Básico",$C$24,IF(B63="Sucesivo",$C$25,$C$26)))</f>
        <v>19951.1897165926</v>
      </c>
      <c r="G63" s="59">
        <f>IF(B63="","",IF(B63="Opción de compra",0,(E63-$C$7*F63)*IF(B63="Sucesivo",$C$11,$C$9)))</f>
        <v>7216.10369417077</v>
      </c>
      <c r="H63" s="59">
        <f>IF(B63="","",F63-G63)</f>
        <v>12735.0860224218</v>
      </c>
      <c r="I63" s="59">
        <f>IF(B63="","",E63-H63)</f>
        <v>516588.129165049</v>
      </c>
      <c r="J63" s="59">
        <f>IF(B63="","",IF(OR(inp_Tipo="Arrendamiento Puro",par_BaseIVAFin="Sobre renta",B63="Opción de compra"),F63,G63)*$C$14)</f>
        <v>3192.19035465482</v>
      </c>
      <c r="K63" s="59">
        <f>IF(B63="","",F63+J63)</f>
        <v>23143.3800712474</v>
      </c>
      <c r="L63" s="59">
        <f>IF(B63="","",F63-IF(A63=$C$38,$C$30,0))</f>
        <v>19951.1897165926</v>
      </c>
      <c r="M63" s="78">
        <f>IF(B63="","",$C$37*(1+$C$13)^(-C63))</f>
        <v>0.749361924914294</v>
      </c>
      <c r="N63" s="59">
        <f>IF(B63="","",L63*M63)</f>
        <v>14950.6619303561</v>
      </c>
      <c r="O63" s="59">
        <f>IF(B63="","",IF(B63="Básico",F63,0)-IF(A63=$C$38,$C$30,0))</f>
        <v>19951.1897165926</v>
      </c>
      <c r="P63" s="77">
        <f>IF(B63="",$C$31,D63)</f>
        <v>46813.0</v>
      </c>
      <c r="Q63" s="59">
        <f>IF(B63="",0,L63)</f>
        <v>19951.1897165926</v>
      </c>
      <c r="R63" s="59">
        <f>IF(B63="",0,-F63)</f>
        <v>-19951.1897165926</v>
      </c>
      <c r="S63" s="59">
        <f>IF(B63="","",O63*M63)</f>
        <v>14950.6619303561</v>
      </c>
    </row>
    <row r="64">
      <c r="A64" s="7" t="n">
        <v>19</v>
      </c>
      <c r="B64" s="7" t="str">
        <f>IF(A64&gt;$C$38,"",IF(A64&lt;=$C$5,"Básico",IF($C$6&gt;0,"Sucesivo","Opción de compra")))</f>
        <v>Básico</v>
      </c>
      <c r="C64" s="7">
        <f>IF(B64="","",IF(B64="Opción de compra",$C$5,A64-$C$7))</f>
        <v>18</v>
      </c>
      <c r="D64" s="77">
        <f>IF(B64="","",EDATE($C$33,C64))</f>
        <v>46844.0</v>
      </c>
      <c r="E64" s="59">
        <f>IF(B64="","",I63)</f>
        <v>516588.129165049</v>
      </c>
      <c r="F64" s="59">
        <f>IF(B64="","",IF(B64="Básico",$C$24,IF(B64="Sucesivo",$C$25,$C$26)))</f>
        <v>19951.1897165926</v>
      </c>
      <c r="G64" s="59">
        <f>IF(B64="","",IF(B64="Opción de compra",0,(E64-$C$7*F64)*IF(B64="Sucesivo",$C$11,$C$9)))</f>
        <v>7035.68997551979</v>
      </c>
      <c r="H64" s="59">
        <f>IF(B64="","",F64-G64)</f>
        <v>12915.4997410728</v>
      </c>
      <c r="I64" s="59">
        <f>IF(B64="","",E64-H64)</f>
        <v>503672.629423976</v>
      </c>
      <c r="J64" s="59">
        <f>IF(B64="","",IF(OR(inp_Tipo="Arrendamiento Puro",par_BaseIVAFin="Sobre renta",B64="Opción de compra"),F64,G64)*$C$14)</f>
        <v>3192.19035465482</v>
      </c>
      <c r="K64" s="59">
        <f>IF(B64="","",F64+J64)</f>
        <v>23143.3800712474</v>
      </c>
      <c r="L64" s="59">
        <f>IF(B64="","",F64-IF(A64=$C$38,$C$30,0))</f>
        <v>19951.1897165926</v>
      </c>
      <c r="M64" s="78">
        <f>IF(B64="","",$C$37*(1+$C$13)^(-C64))</f>
        <v>0.736775346085336</v>
      </c>
      <c r="N64" s="59">
        <f>IF(B64="","",L64*M64)</f>
        <v>14699.5447082567</v>
      </c>
      <c r="O64" s="59">
        <f>IF(B64="","",IF(B64="Básico",F64,0)-IF(A64=$C$38,$C$30,0))</f>
        <v>19951.1897165926</v>
      </c>
      <c r="P64" s="77">
        <f>IF(B64="",$C$31,D64)</f>
        <v>46844.0</v>
      </c>
      <c r="Q64" s="59">
        <f>IF(B64="",0,L64)</f>
        <v>19951.1897165926</v>
      </c>
      <c r="R64" s="59">
        <f>IF(B64="",0,-F64)</f>
        <v>-19951.1897165926</v>
      </c>
      <c r="S64" s="59">
        <f>IF(B64="","",O64*M64)</f>
        <v>14699.5447082567</v>
      </c>
    </row>
    <row r="65">
      <c r="A65" s="7" t="n">
        <v>20</v>
      </c>
      <c r="B65" s="7" t="str">
        <f>IF(A65&gt;$C$38,"",IF(A65&lt;=$C$5,"Básico",IF($C$6&gt;0,"Sucesivo","Opción de compra")))</f>
        <v>Básico</v>
      </c>
      <c r="C65" s="7">
        <f>IF(B65="","",IF(B65="Opción de compra",$C$5,A65-$C$7))</f>
        <v>19</v>
      </c>
      <c r="D65" s="77">
        <f>IF(B65="","",EDATE($C$33,C65))</f>
        <v>46874.0</v>
      </c>
      <c r="E65" s="59">
        <f>IF(B65="","",I64)</f>
        <v>503672.629423976</v>
      </c>
      <c r="F65" s="59">
        <f>IF(B65="","",IF(B65="Básico",$C$24,IF(B65="Sucesivo",$C$25,$C$26)))</f>
        <v>19951.1897165926</v>
      </c>
      <c r="G65" s="59">
        <f>IF(B65="","",IF(B65="Opción de compra",0,(E65-$C$7*F65)*IF(B65="Sucesivo",$C$11,$C$9)))</f>
        <v>6852.7203958546</v>
      </c>
      <c r="H65" s="59">
        <f>IF(B65="","",F65-G65)</f>
        <v>13098.469320738</v>
      </c>
      <c r="I65" s="59">
        <f>IF(B65="","",E65-H65)</f>
        <v>490574.160103238</v>
      </c>
      <c r="J65" s="59">
        <f>IF(B65="","",IF(OR(inp_Tipo="Arrendamiento Puro",par_BaseIVAFin="Sobre renta",B65="Opción de compra"),F65,G65)*$C$14)</f>
        <v>3192.19035465482</v>
      </c>
      <c r="K65" s="59">
        <f>IF(B65="","",F65+J65)</f>
        <v>23143.3800712474</v>
      </c>
      <c r="L65" s="59">
        <f>IF(B65="","",F65-IF(A65=$C$38,$C$30,0))</f>
        <v>19951.1897165926</v>
      </c>
      <c r="M65" s="78">
        <f>IF(B65="","",$C$37*(1+$C$13)^(-C65))</f>
        <v>0.724400176405083</v>
      </c>
      <c r="N65" s="59">
        <f>IF(B65="","",L65*M65)</f>
        <v>14452.645350191</v>
      </c>
      <c r="O65" s="59">
        <f>IF(B65="","",IF(B65="Básico",F65,0)-IF(A65=$C$38,$C$30,0))</f>
        <v>19951.1897165926</v>
      </c>
      <c r="P65" s="77">
        <f>IF(B65="",$C$31,D65)</f>
        <v>46874.0</v>
      </c>
      <c r="Q65" s="59">
        <f>IF(B65="",0,L65)</f>
        <v>19951.1897165926</v>
      </c>
      <c r="R65" s="59">
        <f>IF(B65="",0,-F65)</f>
        <v>-19951.1897165926</v>
      </c>
      <c r="S65" s="59">
        <f>IF(B65="","",O65*M65)</f>
        <v>14452.645350191</v>
      </c>
    </row>
    <row r="66">
      <c r="A66" s="7" t="n">
        <v>21</v>
      </c>
      <c r="B66" s="7" t="str">
        <f>IF(A66&gt;$C$38,"",IF(A66&lt;=$C$5,"Básico",IF($C$6&gt;0,"Sucesivo","Opción de compra")))</f>
        <v>Básico</v>
      </c>
      <c r="C66" s="7">
        <f>IF(B66="","",IF(B66="Opción de compra",$C$5,A66-$C$7))</f>
        <v>20</v>
      </c>
      <c r="D66" s="77">
        <f>IF(B66="","",EDATE($C$33,C66))</f>
        <v>46905.0</v>
      </c>
      <c r="E66" s="59">
        <f>IF(B66="","",I65)</f>
        <v>490574.160103238</v>
      </c>
      <c r="F66" s="59">
        <f>IF(B66="","",IF(B66="Básico",$C$24,IF(B66="Sucesivo",$C$25,$C$26)))</f>
        <v>19951.1897165926</v>
      </c>
      <c r="G66" s="59">
        <f>IF(B66="","",IF(B66="Opción de compra",0,(E66-$C$7*F66)*IF(B66="Sucesivo",$C$11,$C$9)))</f>
        <v>6667.15874714414</v>
      </c>
      <c r="H66" s="59">
        <f>IF(B66="","",F66-G66)</f>
        <v>13284.0309694485</v>
      </c>
      <c r="I66" s="59">
        <f>IF(B66="","",E66-H66)</f>
        <v>477290.129133789</v>
      </c>
      <c r="J66" s="59">
        <f>IF(B66="","",IF(OR(inp_Tipo="Arrendamiento Puro",par_BaseIVAFin="Sobre renta",B66="Opción de compra"),F66,G66)*$C$14)</f>
        <v>3192.19035465482</v>
      </c>
      <c r="K66" s="59">
        <f>IF(B66="","",F66+J66)</f>
        <v>23143.3800712474</v>
      </c>
      <c r="L66" s="59">
        <f>IF(B66="","",F66-IF(A66=$C$38,$C$30,0))</f>
        <v>19951.1897165926</v>
      </c>
      <c r="M66" s="78">
        <f>IF(B66="","",$C$37*(1+$C$13)^(-C66))</f>
        <v>0.712232864961982</v>
      </c>
      <c r="N66" s="59">
        <f>IF(B66="","",L66*M66)</f>
        <v>14209.8930112488</v>
      </c>
      <c r="O66" s="59">
        <f>IF(B66="","",IF(B66="Básico",F66,0)-IF(A66=$C$38,$C$30,0))</f>
        <v>19951.1897165926</v>
      </c>
      <c r="P66" s="77">
        <f>IF(B66="",$C$31,D66)</f>
        <v>46905.0</v>
      </c>
      <c r="Q66" s="59">
        <f>IF(B66="",0,L66)</f>
        <v>19951.1897165926</v>
      </c>
      <c r="R66" s="59">
        <f>IF(B66="",0,-F66)</f>
        <v>-19951.1897165926</v>
      </c>
      <c r="S66" s="59">
        <f>IF(B66="","",O66*M66)</f>
        <v>14209.8930112488</v>
      </c>
    </row>
    <row r="67">
      <c r="A67" s="7" t="n">
        <v>22</v>
      </c>
      <c r="B67" s="7" t="str">
        <f>IF(A67&gt;$C$38,"",IF(A67&lt;=$C$5,"Básico",IF($C$6&gt;0,"Sucesivo","Opción de compra")))</f>
        <v>Básico</v>
      </c>
      <c r="C67" s="7">
        <f>IF(B67="","",IF(B67="Opción de compra",$C$5,A67-$C$7))</f>
        <v>21</v>
      </c>
      <c r="D67" s="77">
        <f>IF(B67="","",EDATE($C$33,C67))</f>
        <v>46935.0</v>
      </c>
      <c r="E67" s="59">
        <f>IF(B67="","",I66)</f>
        <v>477290.129133789</v>
      </c>
      <c r="F67" s="59">
        <f>IF(B67="","",IF(B67="Básico",$C$24,IF(B67="Sucesivo",$C$25,$C$26)))</f>
        <v>19951.1897165926</v>
      </c>
      <c r="G67" s="59">
        <f>IF(B67="","",IF(B67="Opción de compra",0,(E67-$C$7*F67)*IF(B67="Sucesivo",$C$11,$C$9)))</f>
        <v>6478.96830841029</v>
      </c>
      <c r="H67" s="59">
        <f>IF(B67="","",F67-G67)</f>
        <v>13472.2214081823</v>
      </c>
      <c r="I67" s="59">
        <f>IF(B67="","",E67-H67)</f>
        <v>463817.907725607</v>
      </c>
      <c r="J67" s="59">
        <f>IF(B67="","",IF(OR(inp_Tipo="Arrendamiento Puro",par_BaseIVAFin="Sobre renta",B67="Opción de compra"),F67,G67)*$C$14)</f>
        <v>3192.19035465482</v>
      </c>
      <c r="K67" s="59">
        <f>IF(B67="","",F67+J67)</f>
        <v>23143.3800712474</v>
      </c>
      <c r="L67" s="59">
        <f>IF(B67="","",F67-IF(A67=$C$38,$C$30,0))</f>
        <v>19951.1897165926</v>
      </c>
      <c r="M67" s="78">
        <f>IF(B67="","",$C$37*(1+$C$13)^(-C67))</f>
        <v>0.700269920486996</v>
      </c>
      <c r="N67" s="59">
        <f>IF(B67="","",L67*M67)</f>
        <v>13971.2180364593</v>
      </c>
      <c r="O67" s="59">
        <f>IF(B67="","",IF(B67="Básico",F67,0)-IF(A67=$C$38,$C$30,0))</f>
        <v>19951.1897165926</v>
      </c>
      <c r="P67" s="77">
        <f>IF(B67="",$C$31,D67)</f>
        <v>46935.0</v>
      </c>
      <c r="Q67" s="59">
        <f>IF(B67="",0,L67)</f>
        <v>19951.1897165926</v>
      </c>
      <c r="R67" s="59">
        <f>IF(B67="",0,-F67)</f>
        <v>-19951.1897165926</v>
      </c>
      <c r="S67" s="59">
        <f>IF(B67="","",O67*M67)</f>
        <v>13971.2180364593</v>
      </c>
    </row>
    <row r="68">
      <c r="A68" s="7" t="n">
        <v>23</v>
      </c>
      <c r="B68" s="7" t="str">
        <f>IF(A68&gt;$C$38,"",IF(A68&lt;=$C$5,"Básico",IF($C$6&gt;0,"Sucesivo","Opción de compra")))</f>
        <v>Básico</v>
      </c>
      <c r="C68" s="7">
        <f>IF(B68="","",IF(B68="Opción de compra",$C$5,A68-$C$7))</f>
        <v>22</v>
      </c>
      <c r="D68" s="77">
        <f>IF(B68="","",EDATE($C$33,C68))</f>
        <v>46966.0</v>
      </c>
      <c r="E68" s="59">
        <f>IF(B68="","",I67)</f>
        <v>463817.907725607</v>
      </c>
      <c r="F68" s="59">
        <f>IF(B68="","",IF(B68="Básico",$C$24,IF(B68="Sucesivo",$C$25,$C$26)))</f>
        <v>19951.1897165926</v>
      </c>
      <c r="G68" s="59">
        <f>IF(B68="","",IF(B68="Opción de compra",0,(E68-$C$7*F68)*IF(B68="Sucesivo",$C$11,$C$9)))</f>
        <v>6288.11183846104</v>
      </c>
      <c r="H68" s="59">
        <f>IF(B68="","",F68-G68)</f>
        <v>13663.0778781316</v>
      </c>
      <c r="I68" s="59">
        <f>IF(B68="","",E68-H68)</f>
        <v>450154.829847476</v>
      </c>
      <c r="J68" s="59">
        <f>IF(B68="","",IF(OR(inp_Tipo="Arrendamiento Puro",par_BaseIVAFin="Sobre renta",B68="Opción de compra"),F68,G68)*$C$14)</f>
        <v>3192.19035465482</v>
      </c>
      <c r="K68" s="59">
        <f>IF(B68="","",F68+J68)</f>
        <v>23143.3800712474</v>
      </c>
      <c r="L68" s="59">
        <f>IF(B68="","",F68-IF(A68=$C$38,$C$30,0))</f>
        <v>19951.1897165926</v>
      </c>
      <c r="M68" s="78">
        <f>IF(B68="","",$C$37*(1+$C$13)^(-C68))</f>
        <v>0.688507910351819</v>
      </c>
      <c r="N68" s="59">
        <f>IF(B68="","",L68*M68)</f>
        <v>13736.5519408039</v>
      </c>
      <c r="O68" s="59">
        <f>IF(B68="","",IF(B68="Básico",F68,0)-IF(A68=$C$38,$C$30,0))</f>
        <v>19951.1897165926</v>
      </c>
      <c r="P68" s="77">
        <f>IF(B68="",$C$31,D68)</f>
        <v>46966.0</v>
      </c>
      <c r="Q68" s="59">
        <f>IF(B68="",0,L68)</f>
        <v>19951.1897165926</v>
      </c>
      <c r="R68" s="59">
        <f>IF(B68="",0,-F68)</f>
        <v>-19951.1897165926</v>
      </c>
      <c r="S68" s="59">
        <f>IF(B68="","",O68*M68)</f>
        <v>13736.5519408039</v>
      </c>
    </row>
    <row r="69">
      <c r="A69" s="7" t="n">
        <v>24</v>
      </c>
      <c r="B69" s="7" t="str">
        <f>IF(A69&gt;$C$38,"",IF(A69&lt;=$C$5,"Básico",IF($C$6&gt;0,"Sucesivo","Opción de compra")))</f>
        <v>Básico</v>
      </c>
      <c r="C69" s="7">
        <f>IF(B69="","",IF(B69="Opción de compra",$C$5,A69-$C$7))</f>
        <v>23</v>
      </c>
      <c r="D69" s="77">
        <f>IF(B69="","",EDATE($C$33,C69))</f>
        <v>46997.0</v>
      </c>
      <c r="E69" s="59">
        <f>IF(B69="","",I68)</f>
        <v>450154.829847476</v>
      </c>
      <c r="F69" s="59">
        <f>IF(B69="","",IF(B69="Básico",$C$24,IF(B69="Sucesivo",$C$25,$C$26)))</f>
        <v>19951.1897165926</v>
      </c>
      <c r="G69" s="59">
        <f>IF(B69="","",IF(B69="Opción de compra",0,(E69-$C$7*F69)*IF(B69="Sucesivo",$C$11,$C$9)))</f>
        <v>6094.55156852084</v>
      </c>
      <c r="H69" s="59">
        <f>IF(B69="","",F69-G69)</f>
        <v>13856.6381480718</v>
      </c>
      <c r="I69" s="59">
        <f>IF(B69="","",E69-H69)</f>
        <v>436298.191699404</v>
      </c>
      <c r="J69" s="59">
        <f>IF(B69="","",IF(OR(inp_Tipo="Arrendamiento Puro",par_BaseIVAFin="Sobre renta",B69="Opción de compra"),F69,G69)*$C$14)</f>
        <v>3192.19035465482</v>
      </c>
      <c r="K69" s="59">
        <f>IF(B69="","",F69+J69)</f>
        <v>23143.3800712474</v>
      </c>
      <c r="L69" s="59">
        <f>IF(B69="","",F69-IF(A69=$C$38,$C$30,0))</f>
        <v>19951.1897165926</v>
      </c>
      <c r="M69" s="78">
        <f>IF(B69="","",$C$37*(1+$C$13)^(-C69))</f>
        <v>0.676943459583927</v>
      </c>
      <c r="N69" s="59">
        <f>IF(B69="","",L69*M69)</f>
        <v>13505.8273895655</v>
      </c>
      <c r="O69" s="59">
        <f>IF(B69="","",IF(B69="Básico",F69,0)-IF(A69=$C$38,$C$30,0))</f>
        <v>19951.1897165926</v>
      </c>
      <c r="P69" s="77">
        <f>IF(B69="",$C$31,D69)</f>
        <v>46997.0</v>
      </c>
      <c r="Q69" s="59">
        <f>IF(B69="",0,L69)</f>
        <v>19951.1897165926</v>
      </c>
      <c r="R69" s="59">
        <f>IF(B69="",0,-F69)</f>
        <v>-19951.1897165926</v>
      </c>
      <c r="S69" s="59">
        <f>IF(B69="","",O69*M69)</f>
        <v>13505.8273895655</v>
      </c>
    </row>
    <row r="70">
      <c r="A70" s="7" t="n">
        <v>25</v>
      </c>
      <c r="B70" s="7" t="str">
        <f>IF(A70&gt;$C$38,"",IF(A70&lt;=$C$5,"Básico",IF($C$6&gt;0,"Sucesivo","Opción de compra")))</f>
        <v>Básico</v>
      </c>
      <c r="C70" s="7">
        <f>IF(B70="","",IF(B70="Opción de compra",$C$5,A70-$C$7))</f>
        <v>24</v>
      </c>
      <c r="D70" s="77">
        <f>IF(B70="","",EDATE($C$33,C70))</f>
        <v>47027.0</v>
      </c>
      <c r="E70" s="59">
        <f>IF(B70="","",I69)</f>
        <v>436298.191699404</v>
      </c>
      <c r="F70" s="59">
        <f>IF(B70="","",IF(B70="Básico",$C$24,IF(B70="Sucesivo",$C$25,$C$26)))</f>
        <v>19951.1897165926</v>
      </c>
      <c r="G70" s="59">
        <f>IF(B70="","",IF(B70="Opción de compra",0,(E70-$C$7*F70)*IF(B70="Sucesivo",$C$11,$C$9)))</f>
        <v>5898.24919475649</v>
      </c>
      <c r="H70" s="59">
        <f>IF(B70="","",F70-G70)</f>
        <v>14052.9405218361</v>
      </c>
      <c r="I70" s="59">
        <f>IF(B70="","",E70-H70)</f>
        <v>422245.251177568</v>
      </c>
      <c r="J70" s="59">
        <f>IF(B70="","",IF(OR(inp_Tipo="Arrendamiento Puro",par_BaseIVAFin="Sobre renta",B70="Opción de compra"),F70,G70)*$C$14)</f>
        <v>3192.19035465482</v>
      </c>
      <c r="K70" s="59">
        <f>IF(B70="","",F70+J70)</f>
        <v>23143.3800712474</v>
      </c>
      <c r="L70" s="59">
        <f>IF(B70="","",F70-IF(A70=$C$38,$C$30,0))</f>
        <v>19951.1897165926</v>
      </c>
      <c r="M70" s="78">
        <f>IF(B70="","",$C$37*(1+$C$13)^(-C70))</f>
        <v>0.665573249898167</v>
      </c>
      <c r="N70" s="59">
        <f>IF(B70="","",L70*M70)</f>
        <v>13278.9781790074</v>
      </c>
      <c r="O70" s="59">
        <f>IF(B70="","",IF(B70="Básico",F70,0)-IF(A70=$C$38,$C$30,0))</f>
        <v>19951.1897165926</v>
      </c>
      <c r="P70" s="77">
        <f>IF(B70="",$C$31,D70)</f>
        <v>47027.0</v>
      </c>
      <c r="Q70" s="59">
        <f>IF(B70="",0,L70)</f>
        <v>19951.1897165926</v>
      </c>
      <c r="R70" s="59">
        <f>IF(B70="",0,-F70)</f>
        <v>-19951.1897165926</v>
      </c>
      <c r="S70" s="59">
        <f>IF(B70="","",O70*M70)</f>
        <v>13278.9781790074</v>
      </c>
    </row>
    <row r="71">
      <c r="A71" s="7" t="n">
        <v>26</v>
      </c>
      <c r="B71" s="7" t="str">
        <f>IF(A71&gt;$C$38,"",IF(A71&lt;=$C$5,"Básico",IF($C$6&gt;0,"Sucesivo","Opción de compra")))</f>
        <v>Básico</v>
      </c>
      <c r="C71" s="7">
        <f>IF(B71="","",IF(B71="Opción de compra",$C$5,A71-$C$7))</f>
        <v>25</v>
      </c>
      <c r="D71" s="77">
        <f>IF(B71="","",EDATE($C$33,C71))</f>
        <v>47058.0</v>
      </c>
      <c r="E71" s="59">
        <f>IF(B71="","",I70)</f>
        <v>422245.251177568</v>
      </c>
      <c r="F71" s="59">
        <f>IF(B71="","",IF(B71="Básico",$C$24,IF(B71="Sucesivo",$C$25,$C$26)))</f>
        <v>19951.1897165926</v>
      </c>
      <c r="G71" s="59">
        <f>IF(B71="","",IF(B71="Opción de compra",0,(E71-$C$7*F71)*IF(B71="Sucesivo",$C$11,$C$9)))</f>
        <v>5699.16587069715</v>
      </c>
      <c r="H71" s="59">
        <f>IF(B71="","",F71-G71)</f>
        <v>14252.0238458954</v>
      </c>
      <c r="I71" s="59">
        <f>IF(B71="","",E71-H71)</f>
        <v>407993.227331672</v>
      </c>
      <c r="J71" s="59">
        <f>IF(B71="","",IF(OR(inp_Tipo="Arrendamiento Puro",par_BaseIVAFin="Sobre renta",B71="Opción de compra"),F71,G71)*$C$14)</f>
        <v>3192.19035465482</v>
      </c>
      <c r="K71" s="59">
        <f>IF(B71="","",F71+J71)</f>
        <v>23143.3800712474</v>
      </c>
      <c r="L71" s="59">
        <f>IF(B71="","",F71-IF(A71=$C$38,$C$30,0))</f>
        <v>19951.1897165926</v>
      </c>
      <c r="M71" s="78">
        <f>IF(B71="","",$C$37*(1+$C$13)^(-C71))</f>
        <v>0.654394018744613</v>
      </c>
      <c r="N71" s="59">
        <f>IF(B71="","",L71*M71)</f>
        <v>13055.9392173772</v>
      </c>
      <c r="O71" s="59">
        <f>IF(B71="","",IF(B71="Básico",F71,0)-IF(A71=$C$38,$C$30,0))</f>
        <v>19951.1897165926</v>
      </c>
      <c r="P71" s="77">
        <f>IF(B71="",$C$31,D71)</f>
        <v>47058.0</v>
      </c>
      <c r="Q71" s="59">
        <f>IF(B71="",0,L71)</f>
        <v>19951.1897165926</v>
      </c>
      <c r="R71" s="59">
        <f>IF(B71="",0,-F71)</f>
        <v>-19951.1897165926</v>
      </c>
      <c r="S71" s="59">
        <f>IF(B71="","",O71*M71)</f>
        <v>13055.9392173772</v>
      </c>
    </row>
    <row r="72">
      <c r="A72" s="7" t="n">
        <v>27</v>
      </c>
      <c r="B72" s="7" t="str">
        <f>IF(A72&gt;$C$38,"",IF(A72&lt;=$C$5,"Básico",IF($C$6&gt;0,"Sucesivo","Opción de compra")))</f>
        <v>Básico</v>
      </c>
      <c r="C72" s="7">
        <f>IF(B72="","",IF(B72="Opción de compra",$C$5,A72-$C$7))</f>
        <v>26</v>
      </c>
      <c r="D72" s="77">
        <f>IF(B72="","",EDATE($C$33,C72))</f>
        <v>47088.0</v>
      </c>
      <c r="E72" s="59">
        <f>IF(B72="","",I71)</f>
        <v>407993.227331672</v>
      </c>
      <c r="F72" s="59">
        <f>IF(B72="","",IF(B72="Básico",$C$24,IF(B72="Sucesivo",$C$25,$C$26)))</f>
        <v>19951.1897165926</v>
      </c>
      <c r="G72" s="59">
        <f>IF(B72="","",IF(B72="Opción de compra",0,(E72-$C$7*F72)*IF(B72="Sucesivo",$C$11,$C$9)))</f>
        <v>5497.26219954696</v>
      </c>
      <c r="H72" s="59">
        <f>IF(B72="","",F72-G72)</f>
        <v>14453.9275170456</v>
      </c>
      <c r="I72" s="59">
        <f>IF(B72="","",E72-H72)</f>
        <v>393539.299814627</v>
      </c>
      <c r="J72" s="59">
        <f>IF(B72="","",IF(OR(inp_Tipo="Arrendamiento Puro",par_BaseIVAFin="Sobre renta",B72="Opción de compra"),F72,G72)*$C$14)</f>
        <v>3192.19035465482</v>
      </c>
      <c r="K72" s="59">
        <f>IF(B72="","",F72+J72)</f>
        <v>23143.3800712474</v>
      </c>
      <c r="L72" s="59">
        <f>IF(B72="","",F72-IF(A72=$C$38,$C$30,0))</f>
        <v>19951.1897165926</v>
      </c>
      <c r="M72" s="78">
        <f>IF(B72="","",$C$37*(1+$C$13)^(-C72))</f>
        <v>0.643402558372418</v>
      </c>
      <c r="N72" s="59">
        <f>IF(B72="","",L72*M72)</f>
        <v>12836.6465062291</v>
      </c>
      <c r="O72" s="59">
        <f>IF(B72="","",IF(B72="Básico",F72,0)-IF(A72=$C$38,$C$30,0))</f>
        <v>19951.1897165926</v>
      </c>
      <c r="P72" s="77">
        <f>IF(B72="",$C$31,D72)</f>
        <v>47088.0</v>
      </c>
      <c r="Q72" s="59">
        <f>IF(B72="",0,L72)</f>
        <v>19951.1897165926</v>
      </c>
      <c r="R72" s="59">
        <f>IF(B72="",0,-F72)</f>
        <v>-19951.1897165926</v>
      </c>
      <c r="S72" s="59">
        <f>IF(B72="","",O72*M72)</f>
        <v>12836.6465062291</v>
      </c>
    </row>
    <row r="73">
      <c r="A73" s="7" t="n">
        <v>28</v>
      </c>
      <c r="B73" s="7" t="str">
        <f>IF(A73&gt;$C$38,"",IF(A73&lt;=$C$5,"Básico",IF($C$6&gt;0,"Sucesivo","Opción de compra")))</f>
        <v>Básico</v>
      </c>
      <c r="C73" s="7">
        <f>IF(B73="","",IF(B73="Opción de compra",$C$5,A73-$C$7))</f>
        <v>27</v>
      </c>
      <c r="D73" s="77">
        <f>IF(B73="","",EDATE($C$33,C73))</f>
        <v>47119.0</v>
      </c>
      <c r="E73" s="59">
        <f>IF(B73="","",I72)</f>
        <v>393539.299814627</v>
      </c>
      <c r="F73" s="59">
        <f>IF(B73="","",IF(B73="Básico",$C$24,IF(B73="Sucesivo",$C$25,$C$26)))</f>
        <v>19951.1897165926</v>
      </c>
      <c r="G73" s="59">
        <f>IF(B73="","",IF(B73="Opción de compra",0,(E73-$C$7*F73)*IF(B73="Sucesivo",$C$11,$C$9)))</f>
        <v>5292.49822638882</v>
      </c>
      <c r="H73" s="59">
        <f>IF(B73="","",F73-G73)</f>
        <v>14658.6914902038</v>
      </c>
      <c r="I73" s="59">
        <f>IF(B73="","",E73-H73)</f>
        <v>378880.608324423</v>
      </c>
      <c r="J73" s="59">
        <f>IF(B73="","",IF(OR(inp_Tipo="Arrendamiento Puro",par_BaseIVAFin="Sobre renta",B73="Opción de compra"),F73,G73)*$C$14)</f>
        <v>3192.19035465482</v>
      </c>
      <c r="K73" s="59">
        <f>IF(B73="","",F73+J73)</f>
        <v>23143.3800712474</v>
      </c>
      <c r="L73" s="59">
        <f>IF(B73="","",F73-IF(A73=$C$38,$C$30,0))</f>
        <v>19951.1897165926</v>
      </c>
      <c r="M73" s="78">
        <f>IF(B73="","",$C$37*(1+$C$13)^(-C73))</f>
        <v>0.632595714909382</v>
      </c>
      <c r="N73" s="59">
        <f>IF(B73="","",L73*M73)</f>
        <v>12621.0371220606</v>
      </c>
      <c r="O73" s="59">
        <f>IF(B73="","",IF(B73="Básico",F73,0)-IF(A73=$C$38,$C$30,0))</f>
        <v>19951.1897165926</v>
      </c>
      <c r="P73" s="77">
        <f>IF(B73="",$C$31,D73)</f>
        <v>47119.0</v>
      </c>
      <c r="Q73" s="59">
        <f>IF(B73="",0,L73)</f>
        <v>19951.1897165926</v>
      </c>
      <c r="R73" s="59">
        <f>IF(B73="",0,-F73)</f>
        <v>-19951.1897165926</v>
      </c>
      <c r="S73" s="59">
        <f>IF(B73="","",O73*M73)</f>
        <v>12621.0371220606</v>
      </c>
    </row>
    <row r="74">
      <c r="A74" s="7" t="n">
        <v>29</v>
      </c>
      <c r="B74" s="7" t="str">
        <f>IF(A74&gt;$C$38,"",IF(A74&lt;=$C$5,"Básico",IF($C$6&gt;0,"Sucesivo","Opción de compra")))</f>
        <v>Básico</v>
      </c>
      <c r="C74" s="7">
        <f>IF(B74="","",IF(B74="Opción de compra",$C$5,A74-$C$7))</f>
        <v>28</v>
      </c>
      <c r="D74" s="77">
        <f>IF(B74="","",EDATE($C$33,C74))</f>
        <v>47150.0</v>
      </c>
      <c r="E74" s="59">
        <f>IF(B74="","",I73)</f>
        <v>378880.608324423</v>
      </c>
      <c r="F74" s="59">
        <f>IF(B74="","",IF(B74="Básico",$C$24,IF(B74="Sucesivo",$C$25,$C$26)))</f>
        <v>19951.1897165926</v>
      </c>
      <c r="G74" s="59">
        <f>IF(B74="","",IF(B74="Opción de compra",0,(E74-$C$7*F74)*IF(B74="Sucesivo",$C$11,$C$9)))</f>
        <v>5084.8334302776</v>
      </c>
      <c r="H74" s="59">
        <f>IF(B74="","",F74-G74)</f>
        <v>14866.356286315</v>
      </c>
      <c r="I74" s="59">
        <f>IF(B74="","",E74-H74)</f>
        <v>364014.252038108</v>
      </c>
      <c r="J74" s="59">
        <f>IF(B74="","",IF(OR(inp_Tipo="Arrendamiento Puro",par_BaseIVAFin="Sobre renta",B74="Opción de compra"),F74,G74)*$C$14)</f>
        <v>3192.19035465482</v>
      </c>
      <c r="K74" s="59">
        <f>IF(B74="","",F74+J74)</f>
        <v>23143.3800712474</v>
      </c>
      <c r="L74" s="59">
        <f>IF(B74="","",F74-IF(A74=$C$38,$C$30,0))</f>
        <v>19951.1897165926</v>
      </c>
      <c r="M74" s="78">
        <f>IF(B74="","",$C$37*(1+$C$13)^(-C74))</f>
        <v>0.621970387456992</v>
      </c>
      <c r="N74" s="59">
        <f>IF(B74="","",L74*M74)</f>
        <v>12409.049198257</v>
      </c>
      <c r="O74" s="59">
        <f>IF(B74="","",IF(B74="Básico",F74,0)-IF(A74=$C$38,$C$30,0))</f>
        <v>19951.1897165926</v>
      </c>
      <c r="P74" s="77">
        <f>IF(B74="",$C$31,D74)</f>
        <v>47150.0</v>
      </c>
      <c r="Q74" s="59">
        <f>IF(B74="",0,L74)</f>
        <v>19951.1897165926</v>
      </c>
      <c r="R74" s="59">
        <f>IF(B74="",0,-F74)</f>
        <v>-19951.1897165926</v>
      </c>
      <c r="S74" s="59">
        <f>IF(B74="","",O74*M74)</f>
        <v>12409.049198257</v>
      </c>
    </row>
    <row r="75">
      <c r="A75" s="7" t="n">
        <v>30</v>
      </c>
      <c r="B75" s="7" t="str">
        <f>IF(A75&gt;$C$38,"",IF(A75&lt;=$C$5,"Básico",IF($C$6&gt;0,"Sucesivo","Opción de compra")))</f>
        <v>Básico</v>
      </c>
      <c r="C75" s="7">
        <f>IF(B75="","",IF(B75="Opción de compra",$C$5,A75-$C$7))</f>
        <v>29</v>
      </c>
      <c r="D75" s="77">
        <f>IF(B75="","",EDATE($C$33,C75))</f>
        <v>47178.0</v>
      </c>
      <c r="E75" s="59">
        <f>IF(B75="","",I74)</f>
        <v>364014.252038108</v>
      </c>
      <c r="F75" s="59">
        <f>IF(B75="","",IF(B75="Básico",$C$24,IF(B75="Sucesivo",$C$25,$C$26)))</f>
        <v>19951.1897165926</v>
      </c>
      <c r="G75" s="59">
        <f>IF(B75="","",IF(B75="Opción de compra",0,(E75-$C$7*F75)*IF(B75="Sucesivo",$C$11,$C$9)))</f>
        <v>4874.22671622147</v>
      </c>
      <c r="H75" s="59">
        <f>IF(B75="","",F75-G75)</f>
        <v>15076.9630003711</v>
      </c>
      <c r="I75" s="59">
        <f>IF(B75="","",E75-H75)</f>
        <v>348937.289037737</v>
      </c>
      <c r="J75" s="59">
        <f>IF(B75="","",IF(OR(inp_Tipo="Arrendamiento Puro",par_BaseIVAFin="Sobre renta",B75="Opción de compra"),F75,G75)*$C$14)</f>
        <v>3192.19035465482</v>
      </c>
      <c r="K75" s="59">
        <f>IF(B75="","",F75+J75)</f>
        <v>23143.3800712474</v>
      </c>
      <c r="L75" s="59">
        <f>IF(B75="","",F75-IF(A75=$C$38,$C$30,0))</f>
        <v>19951.1897165926</v>
      </c>
      <c r="M75" s="78">
        <f>IF(B75="","",$C$37*(1+$C$13)^(-C75))</f>
        <v>0.611523527200648</v>
      </c>
      <c r="N75" s="59">
        <f>IF(B75="","",L75*M75)</f>
        <v>12200.62190734</v>
      </c>
      <c r="O75" s="59">
        <f>IF(B75="","",IF(B75="Básico",F75,0)-IF(A75=$C$38,$C$30,0))</f>
        <v>19951.1897165926</v>
      </c>
      <c r="P75" s="77">
        <f>IF(B75="",$C$31,D75)</f>
        <v>47178.0</v>
      </c>
      <c r="Q75" s="59">
        <f>IF(B75="",0,L75)</f>
        <v>19951.1897165926</v>
      </c>
      <c r="R75" s="59">
        <f>IF(B75="",0,-F75)</f>
        <v>-19951.1897165926</v>
      </c>
      <c r="S75" s="59">
        <f>IF(B75="","",O75*M75)</f>
        <v>12200.62190734</v>
      </c>
    </row>
    <row r="76">
      <c r="A76" s="7" t="n">
        <v>31</v>
      </c>
      <c r="B76" s="7" t="str">
        <f>IF(A76&gt;$C$38,"",IF(A76&lt;=$C$5,"Básico",IF($C$6&gt;0,"Sucesivo","Opción de compra")))</f>
        <v>Básico</v>
      </c>
      <c r="C76" s="7">
        <f>IF(B76="","",IF(B76="Opción de compra",$C$5,A76-$C$7))</f>
        <v>30</v>
      </c>
      <c r="D76" s="77">
        <f>IF(B76="","",EDATE($C$33,C76))</f>
        <v>47209.0</v>
      </c>
      <c r="E76" s="59">
        <f>IF(B76="","",I75)</f>
        <v>348937.289037737</v>
      </c>
      <c r="F76" s="59">
        <f>IF(B76="","",IF(B76="Básico",$C$24,IF(B76="Sucesivo",$C$25,$C$26)))</f>
        <v>19951.1897165926</v>
      </c>
      <c r="G76" s="59">
        <f>IF(B76="","",IF(B76="Opción de compra",0,(E76-$C$7*F76)*IF(B76="Sucesivo",$C$11,$C$9)))</f>
        <v>4660.63640704954</v>
      </c>
      <c r="H76" s="59">
        <f>IF(B76="","",F76-G76)</f>
        <v>15290.5533095431</v>
      </c>
      <c r="I76" s="59">
        <f>IF(B76="","",E76-H76)</f>
        <v>333646.735728194</v>
      </c>
      <c r="J76" s="59">
        <f>IF(B76="","",IF(OR(inp_Tipo="Arrendamiento Puro",par_BaseIVAFin="Sobre renta",B76="Opción de compra"),F76,G76)*$C$14)</f>
        <v>3192.19035465482</v>
      </c>
      <c r="K76" s="59">
        <f>IF(B76="","",F76+J76)</f>
        <v>23143.3800712474</v>
      </c>
      <c r="L76" s="59">
        <f>IF(B76="","",F76-IF(A76=$C$38,$C$30,0))</f>
        <v>19951.1897165926</v>
      </c>
      <c r="M76" s="78">
        <f>IF(B76="","",$C$37*(1+$C$13)^(-C76))</f>
        <v>0.601252136534844</v>
      </c>
      <c r="N76" s="59">
        <f>IF(B76="","",L76*M76)</f>
        <v>11995.6954435133</v>
      </c>
      <c r="O76" s="59">
        <f>IF(B76="","",IF(B76="Básico",F76,0)-IF(A76=$C$38,$C$30,0))</f>
        <v>19951.1897165926</v>
      </c>
      <c r="P76" s="77">
        <f>IF(B76="",$C$31,D76)</f>
        <v>47209.0</v>
      </c>
      <c r="Q76" s="59">
        <f>IF(B76="",0,L76)</f>
        <v>19951.1897165926</v>
      </c>
      <c r="R76" s="59">
        <f>IF(B76="",0,-F76)</f>
        <v>-19951.1897165926</v>
      </c>
      <c r="S76" s="59">
        <f>IF(B76="","",O76*M76)</f>
        <v>11995.6954435133</v>
      </c>
    </row>
    <row r="77">
      <c r="A77" s="7" t="n">
        <v>32</v>
      </c>
      <c r="B77" s="7" t="str">
        <f>IF(A77&gt;$C$38,"",IF(A77&lt;=$C$5,"Básico",IF($C$6&gt;0,"Sucesivo","Opción de compra")))</f>
        <v>Básico</v>
      </c>
      <c r="C77" s="7">
        <f>IF(B77="","",IF(B77="Opción de compra",$C$5,A77-$C$7))</f>
        <v>31</v>
      </c>
      <c r="D77" s="77">
        <f>IF(B77="","",EDATE($C$33,C77))</f>
        <v>47239.0</v>
      </c>
      <c r="E77" s="59">
        <f>IF(B77="","",I76)</f>
        <v>333646.735728194</v>
      </c>
      <c r="F77" s="59">
        <f>IF(B77="","",IF(B77="Básico",$C$24,IF(B77="Sucesivo",$C$25,$C$26)))</f>
        <v>19951.1897165926</v>
      </c>
      <c r="G77" s="59">
        <f>IF(B77="","",IF(B77="Opción de compra",0,(E77-$C$7*F77)*IF(B77="Sucesivo",$C$11,$C$9)))</f>
        <v>4444.02023516435</v>
      </c>
      <c r="H77" s="59">
        <f>IF(B77="","",F77-G77)</f>
        <v>15507.1694814282</v>
      </c>
      <c r="I77" s="59">
        <f>IF(B77="","",E77-H77)</f>
        <v>318139.566246765</v>
      </c>
      <c r="J77" s="59">
        <f>IF(B77="","",IF(OR(inp_Tipo="Arrendamiento Puro",par_BaseIVAFin="Sobre renta",B77="Opción de compra"),F77,G77)*$C$14)</f>
        <v>3192.19035465482</v>
      </c>
      <c r="K77" s="59">
        <f>IF(B77="","",F77+J77)</f>
        <v>23143.3800712474</v>
      </c>
      <c r="L77" s="59">
        <f>IF(B77="","",F77-IF(A77=$C$38,$C$30,0))</f>
        <v>19951.1897165926</v>
      </c>
      <c r="M77" s="78">
        <f>IF(B77="","",$C$37*(1+$C$13)^(-C77))</f>
        <v>0.591153268203042</v>
      </c>
      <c r="N77" s="59">
        <f>IF(B77="","",L77*M77)</f>
        <v>11794.2110055026</v>
      </c>
      <c r="O77" s="59">
        <f>IF(B77="","",IF(B77="Básico",F77,0)-IF(A77=$C$38,$C$30,0))</f>
        <v>19951.1897165926</v>
      </c>
      <c r="P77" s="77">
        <f>IF(B77="",$C$31,D77)</f>
        <v>47239.0</v>
      </c>
      <c r="Q77" s="59">
        <f>IF(B77="",0,L77)</f>
        <v>19951.1897165926</v>
      </c>
      <c r="R77" s="59">
        <f>IF(B77="",0,-F77)</f>
        <v>-19951.1897165926</v>
      </c>
      <c r="S77" s="59">
        <f>IF(B77="","",O77*M77)</f>
        <v>11794.2110055026</v>
      </c>
    </row>
    <row r="78">
      <c r="A78" s="7" t="n">
        <v>33</v>
      </c>
      <c r="B78" s="7" t="str">
        <f>IF(A78&gt;$C$38,"",IF(A78&lt;=$C$5,"Básico",IF($C$6&gt;0,"Sucesivo","Opción de compra")))</f>
        <v>Básico</v>
      </c>
      <c r="C78" s="7">
        <f>IF(B78="","",IF(B78="Opción de compra",$C$5,A78-$C$7))</f>
        <v>32</v>
      </c>
      <c r="D78" s="77">
        <f>IF(B78="","",EDATE($C$33,C78))</f>
        <v>47270.0</v>
      </c>
      <c r="E78" s="59">
        <f>IF(B78="","",I77)</f>
        <v>318139.566246765</v>
      </c>
      <c r="F78" s="59">
        <f>IF(B78="","",IF(B78="Básico",$C$24,IF(B78="Sucesivo",$C$25,$C$26)))</f>
        <v>19951.1897165926</v>
      </c>
      <c r="G78" s="59">
        <f>IF(B78="","",IF(B78="Opción de compra",0,(E78-$C$7*F78)*IF(B78="Sucesivo",$C$11,$C$9)))</f>
        <v>4224.33533417745</v>
      </c>
      <c r="H78" s="59">
        <f>IF(B78="","",F78-G78)</f>
        <v>15726.8543824151</v>
      </c>
      <c r="I78" s="59">
        <f>IF(B78="","",E78-H78)</f>
        <v>302412.71186435</v>
      </c>
      <c r="J78" s="59">
        <f>IF(B78="","",IF(OR(inp_Tipo="Arrendamiento Puro",par_BaseIVAFin="Sobre renta",B78="Opción de compra"),F78,G78)*$C$14)</f>
        <v>3192.19035465482</v>
      </c>
      <c r="K78" s="59">
        <f>IF(B78="","",F78+J78)</f>
        <v>23143.3800712474</v>
      </c>
      <c r="L78" s="59">
        <f>IF(B78="","",F78-IF(A78=$C$38,$C$30,0))</f>
        <v>19951.1897165926</v>
      </c>
      <c r="M78" s="78">
        <f>IF(B78="","",$C$37*(1+$C$13)^(-C78))</f>
        <v>0.581224024451987</v>
      </c>
      <c r="N78" s="59">
        <f>IF(B78="","",L78*M78)</f>
        <v>11596.1107796831</v>
      </c>
      <c r="O78" s="59">
        <f>IF(B78="","",IF(B78="Básico",F78,0)-IF(A78=$C$38,$C$30,0))</f>
        <v>19951.1897165926</v>
      </c>
      <c r="P78" s="77">
        <f>IF(B78="",$C$31,D78)</f>
        <v>47270.0</v>
      </c>
      <c r="Q78" s="59">
        <f>IF(B78="",0,L78)</f>
        <v>19951.1897165926</v>
      </c>
      <c r="R78" s="59">
        <f>IF(B78="",0,-F78)</f>
        <v>-19951.1897165926</v>
      </c>
      <c r="S78" s="59">
        <f>IF(B78="","",O78*M78)</f>
        <v>11596.1107796831</v>
      </c>
    </row>
    <row r="79">
      <c r="A79" s="7" t="n">
        <v>34</v>
      </c>
      <c r="B79" s="7" t="str">
        <f>IF(A79&gt;$C$38,"",IF(A79&lt;=$C$5,"Básico",IF($C$6&gt;0,"Sucesivo","Opción de compra")))</f>
        <v>Básico</v>
      </c>
      <c r="C79" s="7">
        <f>IF(B79="","",IF(B79="Opción de compra",$C$5,A79-$C$7))</f>
        <v>33</v>
      </c>
      <c r="D79" s="77">
        <f>IF(B79="","",EDATE($C$33,C79))</f>
        <v>47300.0</v>
      </c>
      <c r="E79" s="59">
        <f>IF(B79="","",I78)</f>
        <v>302412.71186435</v>
      </c>
      <c r="F79" s="59">
        <f>IF(B79="","",IF(B79="Básico",$C$24,IF(B79="Sucesivo",$C$25,$C$26)))</f>
        <v>19951.1897165926</v>
      </c>
      <c r="G79" s="59">
        <f>IF(B79="","",IF(B79="Opción de compra",0,(E79-$C$7*F79)*IF(B79="Sucesivo",$C$11,$C$9)))</f>
        <v>4001.53823042657</v>
      </c>
      <c r="H79" s="59">
        <f>IF(B79="","",F79-G79)</f>
        <v>15949.651486166</v>
      </c>
      <c r="I79" s="59">
        <f>IF(B79="","",E79-H79)</f>
        <v>286463.060378184</v>
      </c>
      <c r="J79" s="59">
        <f>IF(B79="","",IF(OR(inp_Tipo="Arrendamiento Puro",par_BaseIVAFin="Sobre renta",B79="Opción de compra"),F79,G79)*$C$14)</f>
        <v>3192.19035465482</v>
      </c>
      <c r="K79" s="59">
        <f>IF(B79="","",F79+J79)</f>
        <v>23143.3800712474</v>
      </c>
      <c r="L79" s="59">
        <f>IF(B79="","",F79-IF(A79=$C$38,$C$30,0))</f>
        <v>19951.1897165926</v>
      </c>
      <c r="M79" s="78">
        <f>IF(B79="","",$C$37*(1+$C$13)^(-C79))</f>
        <v>0.571461556200233</v>
      </c>
      <c r="N79" s="59">
        <f>IF(B79="","",L79*M79)</f>
        <v>11401.3379234901</v>
      </c>
      <c r="O79" s="59">
        <f>IF(B79="","",IF(B79="Básico",F79,0)-IF(A79=$C$38,$C$30,0))</f>
        <v>19951.1897165926</v>
      </c>
      <c r="P79" s="77">
        <f>IF(B79="",$C$31,D79)</f>
        <v>47300.0</v>
      </c>
      <c r="Q79" s="59">
        <f>IF(B79="",0,L79)</f>
        <v>19951.1897165926</v>
      </c>
      <c r="R79" s="59">
        <f>IF(B79="",0,-F79)</f>
        <v>-19951.1897165926</v>
      </c>
      <c r="S79" s="59">
        <f>IF(B79="","",O79*M79)</f>
        <v>11401.3379234901</v>
      </c>
    </row>
    <row r="80">
      <c r="A80" s="7" t="n">
        <v>35</v>
      </c>
      <c r="B80" s="7" t="str">
        <f>IF(A80&gt;$C$38,"",IF(A80&lt;=$C$5,"Básico",IF($C$6&gt;0,"Sucesivo","Opción de compra")))</f>
        <v>Básico</v>
      </c>
      <c r="C80" s="7">
        <f>IF(B80="","",IF(B80="Opción de compra",$C$5,A80-$C$7))</f>
        <v>34</v>
      </c>
      <c r="D80" s="77">
        <f>IF(B80="","",EDATE($C$33,C80))</f>
        <v>47331.0</v>
      </c>
      <c r="E80" s="59">
        <f>IF(B80="","",I79)</f>
        <v>286463.060378184</v>
      </c>
      <c r="F80" s="59">
        <f>IF(B80="","",IF(B80="Básico",$C$24,IF(B80="Sucesivo",$C$25,$C$26)))</f>
        <v>19951.1897165926</v>
      </c>
      <c r="G80" s="59">
        <f>IF(B80="","",IF(B80="Opción de compra",0,(E80-$C$7*F80)*IF(B80="Sucesivo",$C$11,$C$9)))</f>
        <v>3775.58483437255</v>
      </c>
      <c r="H80" s="59">
        <f>IF(B80="","",F80-G80)</f>
        <v>16175.60488222</v>
      </c>
      <c r="I80" s="59">
        <f>IF(B80="","",E80-H80)</f>
        <v>270287.455495964</v>
      </c>
      <c r="J80" s="59">
        <f>IF(B80="","",IF(OR(inp_Tipo="Arrendamiento Puro",par_BaseIVAFin="Sobre renta",B80="Opción de compra"),F80,G80)*$C$14)</f>
        <v>3192.19035465482</v>
      </c>
      <c r="K80" s="59">
        <f>IF(B80="","",F80+J80)</f>
        <v>23143.3800712474</v>
      </c>
      <c r="L80" s="59">
        <f>IF(B80="","",F80-IF(A80=$C$38,$C$30,0))</f>
        <v>19951.1897165926</v>
      </c>
      <c r="M80" s="78">
        <f>IF(B80="","",$C$37*(1+$C$13)^(-C80))</f>
        <v>0.561863062220631</v>
      </c>
      <c r="N80" s="59">
        <f>IF(B80="","",L80*M80)</f>
        <v>11209.8365491095</v>
      </c>
      <c r="O80" s="59">
        <f>IF(B80="","",IF(B80="Básico",F80,0)-IF(A80=$C$38,$C$30,0))</f>
        <v>19951.1897165926</v>
      </c>
      <c r="P80" s="77">
        <f>IF(B80="",$C$31,D80)</f>
        <v>47331.0</v>
      </c>
      <c r="Q80" s="59">
        <f>IF(B80="",0,L80)</f>
        <v>19951.1897165926</v>
      </c>
      <c r="R80" s="59">
        <f>IF(B80="",0,-F80)</f>
        <v>-19951.1897165926</v>
      </c>
      <c r="S80" s="59">
        <f>IF(B80="","",O80*M80)</f>
        <v>11209.8365491095</v>
      </c>
    </row>
    <row r="81">
      <c r="A81" s="7" t="n">
        <v>36</v>
      </c>
      <c r="B81" s="7" t="str">
        <f>IF(A81&gt;$C$38,"",IF(A81&lt;=$C$5,"Básico",IF($C$6&gt;0,"Sucesivo","Opción de compra")))</f>
        <v>Básico</v>
      </c>
      <c r="C81" s="7">
        <f>IF(B81="","",IF(B81="Opción de compra",$C$5,A81-$C$7))</f>
        <v>35</v>
      </c>
      <c r="D81" s="77">
        <f>IF(B81="","",EDATE($C$33,C81))</f>
        <v>47362.0</v>
      </c>
      <c r="E81" s="59">
        <f>IF(B81="","",I80)</f>
        <v>270287.455495964</v>
      </c>
      <c r="F81" s="59">
        <f>IF(B81="","",IF(B81="Básico",$C$24,IF(B81="Sucesivo",$C$25,$C$26)))</f>
        <v>19951.1897165926</v>
      </c>
      <c r="G81" s="59">
        <f>IF(B81="","",IF(B81="Opción de compra",0,(E81-$C$7*F81)*IF(B81="Sucesivo",$C$11,$C$9)))</f>
        <v>3546.43043187443</v>
      </c>
      <c r="H81" s="59">
        <f>IF(B81="","",F81-G81)</f>
        <v>16404.7592847182</v>
      </c>
      <c r="I81" s="59">
        <f>IF(B81="","",E81-H81)</f>
        <v>253882.696211246</v>
      </c>
      <c r="J81" s="59">
        <f>IF(B81="","",IF(OR(inp_Tipo="Arrendamiento Puro",par_BaseIVAFin="Sobre renta",B81="Opción de compra"),F81,G81)*$C$14)</f>
        <v>3192.19035465482</v>
      </c>
      <c r="K81" s="59">
        <f>IF(B81="","",F81+J81)</f>
        <v>23143.3800712474</v>
      </c>
      <c r="L81" s="59">
        <f>IF(B81="","",F81-IF(A81=$C$38,$C$30,0))</f>
        <v>19951.1897165926</v>
      </c>
      <c r="M81" s="78">
        <f>IF(B81="","",$C$37*(1+$C$13)^(-C81))</f>
        <v>0.552425788336548</v>
      </c>
      <c r="N81" s="59">
        <f>IF(B81="","",L81*M81)</f>
        <v>11021.5517074407</v>
      </c>
      <c r="O81" s="59">
        <f>IF(B81="","",IF(B81="Básico",F81,0)-IF(A81=$C$38,$C$30,0))</f>
        <v>19951.1897165926</v>
      </c>
      <c r="P81" s="77">
        <f>IF(B81="",$C$31,D81)</f>
        <v>47362.0</v>
      </c>
      <c r="Q81" s="59">
        <f>IF(B81="",0,L81)</f>
        <v>19951.1897165926</v>
      </c>
      <c r="R81" s="59">
        <f>IF(B81="",0,-F81)</f>
        <v>-19951.1897165926</v>
      </c>
      <c r="S81" s="59">
        <f>IF(B81="","",O81*M81)</f>
        <v>11021.5517074407</v>
      </c>
    </row>
    <row r="82">
      <c r="A82" s="7" t="n">
        <v>37</v>
      </c>
      <c r="B82" s="7" t="str">
        <f>IF(A82&gt;$C$38,"",IF(A82&lt;=$C$5,"Básico",IF($C$6&gt;0,"Sucesivo","Opción de compra")))</f>
        <v>Básico</v>
      </c>
      <c r="C82" s="7">
        <f>IF(B82="","",IF(B82="Opción de compra",$C$5,A82-$C$7))</f>
        <v>36</v>
      </c>
      <c r="D82" s="77">
        <f>IF(B82="","",EDATE($C$33,C82))</f>
        <v>47392.0</v>
      </c>
      <c r="E82" s="59">
        <f>IF(B82="","",I81)</f>
        <v>253882.696211246</v>
      </c>
      <c r="F82" s="59">
        <f>IF(B82="","",IF(B82="Básico",$C$24,IF(B82="Sucesivo",$C$25,$C$26)))</f>
        <v>19951.1897165926</v>
      </c>
      <c r="G82" s="59">
        <f>IF(B82="","",IF(B82="Opción de compra",0,(E82-$C$7*F82)*IF(B82="Sucesivo",$C$11,$C$9)))</f>
        <v>3314.02967534092</v>
      </c>
      <c r="H82" s="59">
        <f>IF(B82="","",F82-G82)</f>
        <v>16637.1600412517</v>
      </c>
      <c r="I82" s="59">
        <f>IF(B82="","",E82-H82)</f>
        <v>237245.536169994</v>
      </c>
      <c r="J82" s="59">
        <f>IF(B82="","",IF(OR(inp_Tipo="Arrendamiento Puro",par_BaseIVAFin="Sobre renta",B82="Opción de compra"),F82,G82)*$C$14)</f>
        <v>3192.19035465482</v>
      </c>
      <c r="K82" s="59">
        <f>IF(B82="","",F82+J82)</f>
        <v>23143.3800712474</v>
      </c>
      <c r="L82" s="59">
        <f>IF(B82="","",F82-IF(A82=$C$38,$C$30,0))</f>
        <v>19951.1897165926</v>
      </c>
      <c r="M82" s="78">
        <f>IF(B82="","",$C$37*(1+$C$13)^(-C82))</f>
        <v>0.543147026631592</v>
      </c>
      <c r="N82" s="59">
        <f>IF(B82="","",L82*M82)</f>
        <v>10836.4293723301</v>
      </c>
      <c r="O82" s="59">
        <f>IF(B82="","",IF(B82="Básico",F82,0)-IF(A82=$C$38,$C$30,0))</f>
        <v>19951.1897165926</v>
      </c>
      <c r="P82" s="77">
        <f>IF(B82="",$C$31,D82)</f>
        <v>47392.0</v>
      </c>
      <c r="Q82" s="59">
        <f>IF(B82="",0,L82)</f>
        <v>19951.1897165926</v>
      </c>
      <c r="R82" s="59">
        <f>IF(B82="",0,-F82)</f>
        <v>-19951.1897165926</v>
      </c>
      <c r="S82" s="59">
        <f>IF(B82="","",O82*M82)</f>
        <v>10836.4293723301</v>
      </c>
    </row>
    <row r="83">
      <c r="A83" s="7" t="n">
        <v>38</v>
      </c>
      <c r="B83" s="7" t="str">
        <f>IF(A83&gt;$C$38,"",IF(A83&lt;=$C$5,"Básico",IF($C$6&gt;0,"Sucesivo","Opción de compra")))</f>
        <v>Básico</v>
      </c>
      <c r="C83" s="7">
        <f>IF(B83="","",IF(B83="Opción de compra",$C$5,A83-$C$7))</f>
        <v>37</v>
      </c>
      <c r="D83" s="77">
        <f>IF(B83="","",EDATE($C$33,C83))</f>
        <v>47423.0</v>
      </c>
      <c r="E83" s="59">
        <f>IF(B83="","",I82)</f>
        <v>237245.536169994</v>
      </c>
      <c r="F83" s="59">
        <f>IF(B83="","",IF(B83="Básico",$C$24,IF(B83="Sucesivo",$C$25,$C$26)))</f>
        <v>19951.1897165926</v>
      </c>
      <c r="G83" s="59">
        <f>IF(B83="","",IF(B83="Opción de compra",0,(E83-$C$7*F83)*IF(B83="Sucesivo",$C$11,$C$9)))</f>
        <v>3078.33657475652</v>
      </c>
      <c r="H83" s="59">
        <f>IF(B83="","",F83-G83)</f>
        <v>16872.8531418361</v>
      </c>
      <c r="I83" s="59">
        <f>IF(B83="","",E83-H83)</f>
        <v>220372.683028158</v>
      </c>
      <c r="J83" s="59">
        <f>IF(B83="","",IF(OR(inp_Tipo="Arrendamiento Puro",par_BaseIVAFin="Sobre renta",B83="Opción de compra"),F83,G83)*$C$14)</f>
        <v>3192.19035465482</v>
      </c>
      <c r="K83" s="59">
        <f>IF(B83="","",F83+J83)</f>
        <v>23143.3800712474</v>
      </c>
      <c r="L83" s="59">
        <f>IF(B83="","",F83-IF(A83=$C$38,$C$30,0))</f>
        <v>19951.1897165926</v>
      </c>
      <c r="M83" s="78">
        <f>IF(B83="","",$C$37*(1+$C$13)^(-C83))</f>
        <v>0.534024114672602</v>
      </c>
      <c r="N83" s="59">
        <f>IF(B83="","",L83*M83)</f>
        <v>10654.4164250685</v>
      </c>
      <c r="O83" s="59">
        <f>IF(B83="","",IF(B83="Básico",F83,0)-IF(A83=$C$38,$C$30,0))</f>
        <v>19951.1897165926</v>
      </c>
      <c r="P83" s="77">
        <f>IF(B83="",$C$31,D83)</f>
        <v>47423.0</v>
      </c>
      <c r="Q83" s="59">
        <f>IF(B83="",0,L83)</f>
        <v>19951.1897165926</v>
      </c>
      <c r="R83" s="59">
        <f>IF(B83="",0,-F83)</f>
        <v>-19951.1897165926</v>
      </c>
      <c r="S83" s="59">
        <f>IF(B83="","",O83*M83)</f>
        <v>10654.4164250685</v>
      </c>
    </row>
    <row r="84">
      <c r="A84" s="7" t="n">
        <v>39</v>
      </c>
      <c r="B84" s="7" t="str">
        <f>IF(A84&gt;$C$38,"",IF(A84&lt;=$C$5,"Básico",IF($C$6&gt;0,"Sucesivo","Opción de compra")))</f>
        <v>Básico</v>
      </c>
      <c r="C84" s="7">
        <f>IF(B84="","",IF(B84="Opción de compra",$C$5,A84-$C$7))</f>
        <v>38</v>
      </c>
      <c r="D84" s="77">
        <f>IF(B84="","",EDATE($C$33,C84))</f>
        <v>47453.0</v>
      </c>
      <c r="E84" s="59">
        <f>IF(B84="","",I83)</f>
        <v>220372.683028158</v>
      </c>
      <c r="F84" s="59">
        <f>IF(B84="","",IF(B84="Básico",$C$24,IF(B84="Sucesivo",$C$25,$C$26)))</f>
        <v>19951.1897165926</v>
      </c>
      <c r="G84" s="59">
        <f>IF(B84="","",IF(B84="Opción de compra",0,(E84-$C$7*F84)*IF(B84="Sucesivo",$C$11,$C$9)))</f>
        <v>2839.30448858051</v>
      </c>
      <c r="H84" s="59">
        <f>IF(B84="","",F84-G84)</f>
        <v>17111.8852280121</v>
      </c>
      <c r="I84" s="59">
        <f>IF(B84="","",E84-H84)</f>
        <v>203260.797800146</v>
      </c>
      <c r="J84" s="59">
        <f>IF(B84="","",IF(OR(inp_Tipo="Arrendamiento Puro",par_BaseIVAFin="Sobre renta",B84="Opción de compra"),F84,G84)*$C$14)</f>
        <v>3192.19035465482</v>
      </c>
      <c r="K84" s="59">
        <f>IF(B84="","",F84+J84)</f>
        <v>23143.3800712474</v>
      </c>
      <c r="L84" s="59">
        <f>IF(B84="","",F84-IF(A84=$C$38,$C$30,0))</f>
        <v>19951.1897165926</v>
      </c>
      <c r="M84" s="78">
        <f>IF(B84="","",$C$37*(1+$C$13)^(-C84))</f>
        <v>0.525054434745696</v>
      </c>
      <c r="N84" s="59">
        <f>IF(B84="","",L84*M84)</f>
        <v>10475.4606391497</v>
      </c>
      <c r="O84" s="59">
        <f>IF(B84="","",IF(B84="Básico",F84,0)-IF(A84=$C$38,$C$30,0))</f>
        <v>19951.1897165926</v>
      </c>
      <c r="P84" s="77">
        <f>IF(B84="",$C$31,D84)</f>
        <v>47453.0</v>
      </c>
      <c r="Q84" s="59">
        <f>IF(B84="",0,L84)</f>
        <v>19951.1897165926</v>
      </c>
      <c r="R84" s="59">
        <f>IF(B84="",0,-F84)</f>
        <v>-19951.1897165926</v>
      </c>
      <c r="S84" s="59">
        <f>IF(B84="","",O84*M84)</f>
        <v>10475.4606391497</v>
      </c>
    </row>
    <row r="85">
      <c r="A85" s="7" t="n">
        <v>40</v>
      </c>
      <c r="B85" s="7" t="str">
        <f>IF(A85&gt;$C$38,"",IF(A85&lt;=$C$5,"Básico",IF($C$6&gt;0,"Sucesivo","Opción de compra")))</f>
        <v>Básico</v>
      </c>
      <c r="C85" s="7">
        <f>IF(B85="","",IF(B85="Opción de compra",$C$5,A85-$C$7))</f>
        <v>39</v>
      </c>
      <c r="D85" s="77">
        <f>IF(B85="","",EDATE($C$33,C85))</f>
        <v>47484.0</v>
      </c>
      <c r="E85" s="59">
        <f>IF(B85="","",I84)</f>
        <v>203260.797800146</v>
      </c>
      <c r="F85" s="59">
        <f>IF(B85="","",IF(B85="Básico",$C$24,IF(B85="Sucesivo",$C$25,$C$26)))</f>
        <v>19951.1897165926</v>
      </c>
      <c r="G85" s="59">
        <f>IF(B85="","",IF(B85="Opción de compra",0,(E85-$C$7*F85)*IF(B85="Sucesivo",$C$11,$C$9)))</f>
        <v>2596.88611451701</v>
      </c>
      <c r="H85" s="59">
        <f>IF(B85="","",F85-G85)</f>
        <v>17354.3036020756</v>
      </c>
      <c r="I85" s="59">
        <f>IF(B85="","",E85-H85)</f>
        <v>185906.494198071</v>
      </c>
      <c r="J85" s="59">
        <f>IF(B85="","",IF(OR(inp_Tipo="Arrendamiento Puro",par_BaseIVAFin="Sobre renta",B85="Opción de compra"),F85,G85)*$C$14)</f>
        <v>3192.19035465482</v>
      </c>
      <c r="K85" s="59">
        <f>IF(B85="","",F85+J85)</f>
        <v>23143.3800712474</v>
      </c>
      <c r="L85" s="59">
        <f>IF(B85="","",F85-IF(A85=$C$38,$C$30,0))</f>
        <v>19951.1897165926</v>
      </c>
      <c r="M85" s="78">
        <f>IF(B85="","",$C$37*(1+$C$13)^(-C85))</f>
        <v>0.516235413105149</v>
      </c>
      <c r="N85" s="59">
        <f>IF(B85="","",L85*M85)</f>
        <v>10299.5106652844</v>
      </c>
      <c r="O85" s="59">
        <f>IF(B85="","",IF(B85="Básico",F85,0)-IF(A85=$C$38,$C$30,0))</f>
        <v>19951.1897165926</v>
      </c>
      <c r="P85" s="77">
        <f>IF(B85="",$C$31,D85)</f>
        <v>47484.0</v>
      </c>
      <c r="Q85" s="59">
        <f>IF(B85="",0,L85)</f>
        <v>19951.1897165926</v>
      </c>
      <c r="R85" s="59">
        <f>IF(B85="",0,-F85)</f>
        <v>-19951.1897165926</v>
      </c>
      <c r="S85" s="59">
        <f>IF(B85="","",O85*M85)</f>
        <v>10299.5106652844</v>
      </c>
    </row>
    <row r="86">
      <c r="A86" s="7" t="n">
        <v>41</v>
      </c>
      <c r="B86" s="7" t="str">
        <f>IF(A86&gt;$C$38,"",IF(A86&lt;=$C$5,"Básico",IF($C$6&gt;0,"Sucesivo","Opción de compra")))</f>
        <v>Básico</v>
      </c>
      <c r="C86" s="7">
        <f>IF(B86="","",IF(B86="Opción de compra",$C$5,A86-$C$7))</f>
        <v>40</v>
      </c>
      <c r="D86" s="77">
        <f>IF(B86="","",EDATE($C$33,C86))</f>
        <v>47515.0</v>
      </c>
      <c r="E86" s="59">
        <f>IF(B86="","",I85)</f>
        <v>185906.494198071</v>
      </c>
      <c r="F86" s="59">
        <f>IF(B86="","",IF(B86="Básico",$C$24,IF(B86="Sucesivo",$C$25,$C$26)))</f>
        <v>19951.1897165926</v>
      </c>
      <c r="G86" s="59">
        <f>IF(B86="","",IF(B86="Opción de compra",0,(E86-$C$7*F86)*IF(B86="Sucesivo",$C$11,$C$9)))</f>
        <v>2351.03348015427</v>
      </c>
      <c r="H86" s="59">
        <f>IF(B86="","",F86-G86)</f>
        <v>17600.1562364383</v>
      </c>
      <c r="I86" s="59">
        <f>IF(B86="","",E86-H86)</f>
        <v>168306.337961632</v>
      </c>
      <c r="J86" s="59">
        <f>IF(B86="","",IF(OR(inp_Tipo="Arrendamiento Puro",par_BaseIVAFin="Sobre renta",B86="Opción de compra"),F86,G86)*$C$14)</f>
        <v>3192.19035465482</v>
      </c>
      <c r="K86" s="59">
        <f>IF(B86="","",F86+J86)</f>
        <v>23143.3800712474</v>
      </c>
      <c r="L86" s="59">
        <f>IF(B86="","",F86-IF(A86=$C$38,$C$30,0))</f>
        <v>19951.1897165926</v>
      </c>
      <c r="M86" s="78">
        <f>IF(B86="","",$C$37*(1+$C$13)^(-C86))</f>
        <v>0.507564519234887</v>
      </c>
      <c r="N86" s="59">
        <f>IF(B86="","",L86*M86)</f>
        <v>10126.5160166663</v>
      </c>
      <c r="O86" s="59">
        <f>IF(B86="","",IF(B86="Básico",F86,0)-IF(A86=$C$38,$C$30,0))</f>
        <v>19951.1897165926</v>
      </c>
      <c r="P86" s="77">
        <f>IF(B86="",$C$31,D86)</f>
        <v>47515.0</v>
      </c>
      <c r="Q86" s="59">
        <f>IF(B86="",0,L86)</f>
        <v>19951.1897165926</v>
      </c>
      <c r="R86" s="59">
        <f>IF(B86="",0,-F86)</f>
        <v>-19951.1897165926</v>
      </c>
      <c r="S86" s="59">
        <f>IF(B86="","",O86*M86)</f>
        <v>10126.5160166663</v>
      </c>
    </row>
    <row r="87">
      <c r="A87" s="7" t="n">
        <v>42</v>
      </c>
      <c r="B87" s="7" t="str">
        <f>IF(A87&gt;$C$38,"",IF(A87&lt;=$C$5,"Básico",IF($C$6&gt;0,"Sucesivo","Opción de compra")))</f>
        <v>Básico</v>
      </c>
      <c r="C87" s="7">
        <f>IF(B87="","",IF(B87="Opción de compra",$C$5,A87-$C$7))</f>
        <v>41</v>
      </c>
      <c r="D87" s="77">
        <f>IF(B87="","",EDATE($C$33,C87))</f>
        <v>47543.0</v>
      </c>
      <c r="E87" s="59">
        <f>IF(B87="","",I86)</f>
        <v>168306.337961632</v>
      </c>
      <c r="F87" s="59">
        <f>IF(B87="","",IF(B87="Básico",$C$24,IF(B87="Sucesivo",$C$25,$C$26)))</f>
        <v>19951.1897165926</v>
      </c>
      <c r="G87" s="59">
        <f>IF(B87="","",IF(B87="Opción de compra",0,(E87-$C$7*F87)*IF(B87="Sucesivo",$C$11,$C$9)))</f>
        <v>2101.6979334714</v>
      </c>
      <c r="H87" s="59">
        <f>IF(B87="","",F87-G87)</f>
        <v>17849.4917831212</v>
      </c>
      <c r="I87" s="59">
        <f>IF(B87="","",E87-H87)</f>
        <v>150456.846178511</v>
      </c>
      <c r="J87" s="59">
        <f>IF(B87="","",IF(OR(inp_Tipo="Arrendamiento Puro",par_BaseIVAFin="Sobre renta",B87="Opción de compra"),F87,G87)*$C$14)</f>
        <v>3192.19035465482</v>
      </c>
      <c r="K87" s="59">
        <f>IF(B87="","",F87+J87)</f>
        <v>23143.3800712474</v>
      </c>
      <c r="L87" s="59">
        <f>IF(B87="","",F87-IF(A87=$C$38,$C$30,0))</f>
        <v>19951.1897165926</v>
      </c>
      <c r="M87" s="78">
        <f>IF(B87="","",$C$37*(1+$C$13)^(-C87))</f>
        <v>0.49903926512238</v>
      </c>
      <c r="N87" s="59">
        <f>IF(B87="","",L87*M87)</f>
        <v>9956.42705448554</v>
      </c>
      <c r="O87" s="59">
        <f>IF(B87="","",IF(B87="Básico",F87,0)-IF(A87=$C$38,$C$30,0))</f>
        <v>19951.1897165926</v>
      </c>
      <c r="P87" s="77">
        <f>IF(B87="",$C$31,D87)</f>
        <v>47543.0</v>
      </c>
      <c r="Q87" s="59">
        <f>IF(B87="",0,L87)</f>
        <v>19951.1897165926</v>
      </c>
      <c r="R87" s="59">
        <f>IF(B87="",0,-F87)</f>
        <v>-19951.1897165926</v>
      </c>
      <c r="S87" s="59">
        <f>IF(B87="","",O87*M87)</f>
        <v>9956.42705448554</v>
      </c>
    </row>
    <row r="88">
      <c r="A88" s="7" t="n">
        <v>43</v>
      </c>
      <c r="B88" s="7" t="str">
        <f>IF(A88&gt;$C$38,"",IF(A88&lt;=$C$5,"Básico",IF($C$6&gt;0,"Sucesivo","Opción de compra")))</f>
        <v>Básico</v>
      </c>
      <c r="C88" s="7">
        <f>IF(B88="","",IF(B88="Opción de compra",$C$5,A88-$C$7))</f>
        <v>42</v>
      </c>
      <c r="D88" s="77">
        <f>IF(B88="","",EDATE($C$33,C88))</f>
        <v>47574.0</v>
      </c>
      <c r="E88" s="59">
        <f>IF(B88="","",I87)</f>
        <v>150456.846178511</v>
      </c>
      <c r="F88" s="59">
        <f>IF(B88="","",IF(B88="Básico",$C$24,IF(B88="Sucesivo",$C$25,$C$26)))</f>
        <v>19951.1897165926</v>
      </c>
      <c r="G88" s="59">
        <f>IF(B88="","",IF(B88="Opción de compra",0,(E88-$C$7*F88)*IF(B88="Sucesivo",$C$11,$C$9)))</f>
        <v>1848.83013321051</v>
      </c>
      <c r="H88" s="59">
        <f>IF(B88="","",F88-G88)</f>
        <v>18102.3595833821</v>
      </c>
      <c r="I88" s="59">
        <f>IF(B88="","",E88-H88)</f>
        <v>132354.486595129</v>
      </c>
      <c r="J88" s="59">
        <f>IF(B88="","",IF(OR(inp_Tipo="Arrendamiento Puro",par_BaseIVAFin="Sobre renta",B88="Opción de compra"),F88,G88)*$C$14)</f>
        <v>3192.19035465482</v>
      </c>
      <c r="K88" s="59">
        <f>IF(B88="","",F88+J88)</f>
        <v>23143.3800712474</v>
      </c>
      <c r="L88" s="59">
        <f>IF(B88="","",F88-IF(A88=$C$38,$C$30,0))</f>
        <v>19951.1897165926</v>
      </c>
      <c r="M88" s="78">
        <f>IF(B88="","",$C$37*(1+$C$13)^(-C88))</f>
        <v>0.49065720454474</v>
      </c>
      <c r="N88" s="59">
        <f>IF(B88="","",L88*M88)</f>
        <v>9789.19497368509</v>
      </c>
      <c r="O88" s="59">
        <f>IF(B88="","",IF(B88="Básico",F88,0)-IF(A88=$C$38,$C$30,0))</f>
        <v>19951.1897165926</v>
      </c>
      <c r="P88" s="77">
        <f>IF(B88="",$C$31,D88)</f>
        <v>47574.0</v>
      </c>
      <c r="Q88" s="59">
        <f>IF(B88="",0,L88)</f>
        <v>19951.1897165926</v>
      </c>
      <c r="R88" s="59">
        <f>IF(B88="",0,-F88)</f>
        <v>-19951.1897165926</v>
      </c>
      <c r="S88" s="59">
        <f>IF(B88="","",O88*M88)</f>
        <v>9789.19497368509</v>
      </c>
    </row>
    <row r="89">
      <c r="A89" s="7" t="n">
        <v>44</v>
      </c>
      <c r="B89" s="7" t="str">
        <f>IF(A89&gt;$C$38,"",IF(A89&lt;=$C$5,"Básico",IF($C$6&gt;0,"Sucesivo","Opción de compra")))</f>
        <v>Básico</v>
      </c>
      <c r="C89" s="7">
        <f>IF(B89="","",IF(B89="Opción de compra",$C$5,A89-$C$7))</f>
        <v>43</v>
      </c>
      <c r="D89" s="77">
        <f>IF(B89="","",EDATE($C$33,C89))</f>
        <v>47604.0</v>
      </c>
      <c r="E89" s="59">
        <f>IF(B89="","",I88)</f>
        <v>132354.486595129</v>
      </c>
      <c r="F89" s="59">
        <f>IF(B89="","",IF(B89="Básico",$C$24,IF(B89="Sucesivo",$C$25,$C$26)))</f>
        <v>19951.1897165926</v>
      </c>
      <c r="G89" s="59">
        <f>IF(B89="","",IF(B89="Opción de compra",0,(E89-$C$7*F89)*IF(B89="Sucesivo",$C$11,$C$9)))</f>
        <v>1592.3800391126</v>
      </c>
      <c r="H89" s="59">
        <f>IF(B89="","",F89-G89)</f>
        <v>18358.80967748</v>
      </c>
      <c r="I89" s="59">
        <f>IF(B89="","",E89-H89)</f>
        <v>113995.676917649</v>
      </c>
      <c r="J89" s="59">
        <f>IF(B89="","",IF(OR(inp_Tipo="Arrendamiento Puro",par_BaseIVAFin="Sobre renta",B89="Opción de compra"),F89,G89)*$C$14)</f>
        <v>3192.19035465482</v>
      </c>
      <c r="K89" s="59">
        <f>IF(B89="","",F89+J89)</f>
        <v>23143.3800712474</v>
      </c>
      <c r="L89" s="59">
        <f>IF(B89="","",F89-IF(A89=$C$38,$C$30,0))</f>
        <v>19951.1897165926</v>
      </c>
      <c r="M89" s="78">
        <f>IF(B89="","",$C$37*(1+$C$13)^(-C89))</f>
        <v>0.482415932366807</v>
      </c>
      <c r="N89" s="59">
        <f>IF(B89="","",L89*M89)</f>
        <v>9624.77178895707</v>
      </c>
      <c r="O89" s="59">
        <f>IF(B89="","",IF(B89="Básico",F89,0)-IF(A89=$C$38,$C$30,0))</f>
        <v>19951.1897165926</v>
      </c>
      <c r="P89" s="77">
        <f>IF(B89="",$C$31,D89)</f>
        <v>47604.0</v>
      </c>
      <c r="Q89" s="59">
        <f>IF(B89="",0,L89)</f>
        <v>19951.1897165926</v>
      </c>
      <c r="R89" s="59">
        <f>IF(B89="",0,-F89)</f>
        <v>-19951.1897165926</v>
      </c>
      <c r="S89" s="59">
        <f>IF(B89="","",O89*M89)</f>
        <v>9624.77178895707</v>
      </c>
    </row>
    <row r="90">
      <c r="A90" s="7" t="n">
        <v>45</v>
      </c>
      <c r="B90" s="7" t="str">
        <f>IF(A90&gt;$C$38,"",IF(A90&lt;=$C$5,"Básico",IF($C$6&gt;0,"Sucesivo","Opción de compra")))</f>
        <v>Básico</v>
      </c>
      <c r="C90" s="7">
        <f>IF(B90="","",IF(B90="Opción de compra",$C$5,A90-$C$7))</f>
        <v>44</v>
      </c>
      <c r="D90" s="77">
        <f>IF(B90="","",EDATE($C$33,C90))</f>
        <v>47635.0</v>
      </c>
      <c r="E90" s="59">
        <f>IF(B90="","",I89)</f>
        <v>113995.676917649</v>
      </c>
      <c r="F90" s="59">
        <f>IF(B90="","",IF(B90="Básico",$C$24,IF(B90="Sucesivo",$C$25,$C$26)))</f>
        <v>19951.1897165926</v>
      </c>
      <c r="G90" s="59">
        <f>IF(B90="","",IF(B90="Opción de compra",0,(E90-$C$7*F90)*IF(B90="Sucesivo",$C$11,$C$9)))</f>
        <v>1332.29690201497</v>
      </c>
      <c r="H90" s="59">
        <f>IF(B90="","",F90-G90)</f>
        <v>18618.8928145776</v>
      </c>
      <c r="I90" s="59">
        <f>IF(B90="","",E90-H90)</f>
        <v>95376.7841030714</v>
      </c>
      <c r="J90" s="59">
        <f>IF(B90="","",IF(OR(inp_Tipo="Arrendamiento Puro",par_BaseIVAFin="Sobre renta",B90="Opción de compra"),F90,G90)*$C$14)</f>
        <v>3192.19035465482</v>
      </c>
      <c r="K90" s="59">
        <f>IF(B90="","",F90+J90)</f>
        <v>23143.3800712474</v>
      </c>
      <c r="L90" s="59">
        <f>IF(B90="","",F90-IF(A90=$C$38,$C$30,0))</f>
        <v>19951.1897165926</v>
      </c>
      <c r="M90" s="78">
        <f>IF(B90="","",$C$37*(1+$C$13)^(-C90))</f>
        <v>0.474313083851019</v>
      </c>
      <c r="N90" s="59">
        <f>IF(B90="","",L90*M90)</f>
        <v>9463.11032097377</v>
      </c>
      <c r="O90" s="59">
        <f>IF(B90="","",IF(B90="Básico",F90,0)-IF(A90=$C$38,$C$30,0))</f>
        <v>19951.1897165926</v>
      </c>
      <c r="P90" s="77">
        <f>IF(B90="",$C$31,D90)</f>
        <v>47635.0</v>
      </c>
      <c r="Q90" s="59">
        <f>IF(B90="",0,L90)</f>
        <v>19951.1897165926</v>
      </c>
      <c r="R90" s="59">
        <f>IF(B90="",0,-F90)</f>
        <v>-19951.1897165926</v>
      </c>
      <c r="S90" s="59">
        <f>IF(B90="","",O90*M90)</f>
        <v>9463.11032097377</v>
      </c>
    </row>
    <row r="91">
      <c r="A91" s="7" t="n">
        <v>46</v>
      </c>
      <c r="B91" s="7" t="str">
        <f>IF(A91&gt;$C$38,"",IF(A91&lt;=$C$5,"Básico",IF($C$6&gt;0,"Sucesivo","Opción de compra")))</f>
        <v>Básico</v>
      </c>
      <c r="C91" s="7">
        <f>IF(B91="","",IF(B91="Opción de compra",$C$5,A91-$C$7))</f>
        <v>45</v>
      </c>
      <c r="D91" s="77">
        <f>IF(B91="","",EDATE($C$33,C91))</f>
        <v>47665.0</v>
      </c>
      <c r="E91" s="59">
        <f>IF(B91="","",I90)</f>
        <v>95376.7841030714</v>
      </c>
      <c r="F91" s="59">
        <f>IF(B91="","",IF(B91="Básico",$C$24,IF(B91="Sucesivo",$C$25,$C$26)))</f>
        <v>19951.1897165926</v>
      </c>
      <c r="G91" s="59">
        <f>IF(B91="","",IF(B91="Opción de compra",0,(E91-$C$7*F91)*IF(B91="Sucesivo",$C$11,$C$9)))</f>
        <v>1068.52925380845</v>
      </c>
      <c r="H91" s="59">
        <f>IF(B91="","",F91-G91)</f>
        <v>18882.6604627841</v>
      </c>
      <c r="I91" s="59">
        <f>IF(B91="","",E91-H91)</f>
        <v>76494.1236402873</v>
      </c>
      <c r="J91" s="59">
        <f>IF(B91="","",IF(OR(inp_Tipo="Arrendamiento Puro",par_BaseIVAFin="Sobre renta",B91="Opción de compra"),F91,G91)*$C$14)</f>
        <v>3192.19035465482</v>
      </c>
      <c r="K91" s="59">
        <f>IF(B91="","",F91+J91)</f>
        <v>23143.3800712474</v>
      </c>
      <c r="L91" s="59">
        <f>IF(B91="","",F91-IF(A91=$C$38,$C$30,0))</f>
        <v>19951.1897165926</v>
      </c>
      <c r="M91" s="78">
        <f>IF(B91="","",$C$37*(1+$C$13)^(-C91))</f>
        <v>0.46634633397888</v>
      </c>
      <c r="N91" s="59">
        <f>IF(B91="","",L91*M91)</f>
        <v>9304.16418285008</v>
      </c>
      <c r="O91" s="59">
        <f>IF(B91="","",IF(B91="Básico",F91,0)-IF(A91=$C$38,$C$30,0))</f>
        <v>19951.1897165926</v>
      </c>
      <c r="P91" s="77">
        <f>IF(B91="",$C$31,D91)</f>
        <v>47665.0</v>
      </c>
      <c r="Q91" s="59">
        <f>IF(B91="",0,L91)</f>
        <v>19951.1897165926</v>
      </c>
      <c r="R91" s="59">
        <f>IF(B91="",0,-F91)</f>
        <v>-19951.1897165926</v>
      </c>
      <c r="S91" s="59">
        <f>IF(B91="","",O91*M91)</f>
        <v>9304.16418285008</v>
      </c>
    </row>
    <row r="92">
      <c r="A92" s="7" t="n">
        <v>47</v>
      </c>
      <c r="B92" s="7" t="str">
        <f>IF(A92&gt;$C$38,"",IF(A92&lt;=$C$5,"Básico",IF($C$6&gt;0,"Sucesivo","Opción de compra")))</f>
        <v>Básico</v>
      </c>
      <c r="C92" s="7">
        <f>IF(B92="","",IF(B92="Opción de compra",$C$5,A92-$C$7))</f>
        <v>46</v>
      </c>
      <c r="D92" s="77">
        <f>IF(B92="","",EDATE($C$33,C92))</f>
        <v>47696.0</v>
      </c>
      <c r="E92" s="59">
        <f>IF(B92="","",I91)</f>
        <v>76494.1236402873</v>
      </c>
      <c r="F92" s="59">
        <f>IF(B92="","",IF(B92="Básico",$C$24,IF(B92="Sucesivo",$C$25,$C$26)))</f>
        <v>19951.1897165926</v>
      </c>
      <c r="G92" s="59">
        <f>IF(B92="","",IF(B92="Opción de compra",0,(E92-$C$7*F92)*IF(B92="Sucesivo",$C$11,$C$9)))</f>
        <v>801.024897252341</v>
      </c>
      <c r="H92" s="59">
        <f>IF(B92="","",F92-G92)</f>
        <v>19150.1648193403</v>
      </c>
      <c r="I92" s="59">
        <f>IF(B92="","",E92-H92)</f>
        <v>57343.958820947</v>
      </c>
      <c r="J92" s="59">
        <f>IF(B92="","",IF(OR(inp_Tipo="Arrendamiento Puro",par_BaseIVAFin="Sobre renta",B92="Opción de compra"),F92,G92)*$C$14)</f>
        <v>3192.19035465482</v>
      </c>
      <c r="K92" s="59">
        <f>IF(B92="","",F92+J92)</f>
        <v>23143.3800712474</v>
      </c>
      <c r="L92" s="59">
        <f>IF(B92="","",F92-IF(A92=$C$38,$C$30,0))</f>
        <v>19951.1897165926</v>
      </c>
      <c r="M92" s="78">
        <f>IF(B92="","",$C$37*(1+$C$13)^(-C92))</f>
        <v>0.458513396783823</v>
      </c>
      <c r="N92" s="59">
        <f>IF(B92="","",L92*M92)</f>
        <v>9147.88776683335</v>
      </c>
      <c r="O92" s="59">
        <f>IF(B92="","",IF(B92="Básico",F92,0)-IF(A92=$C$38,$C$30,0))</f>
        <v>19951.1897165926</v>
      </c>
      <c r="P92" s="77">
        <f>IF(B92="",$C$31,D92)</f>
        <v>47696.0</v>
      </c>
      <c r="Q92" s="59">
        <f>IF(B92="",0,L92)</f>
        <v>19951.1897165926</v>
      </c>
      <c r="R92" s="59">
        <f>IF(B92="",0,-F92)</f>
        <v>-19951.1897165926</v>
      </c>
      <c r="S92" s="59">
        <f>IF(B92="","",O92*M92)</f>
        <v>9147.88776683335</v>
      </c>
    </row>
    <row r="93">
      <c r="A93" s="7" t="n">
        <v>48</v>
      </c>
      <c r="B93" s="7" t="str">
        <f>IF(A93&gt;$C$38,"",IF(A93&lt;=$C$5,"Básico",IF($C$6&gt;0,"Sucesivo","Opción de compra")))</f>
        <v>Básico</v>
      </c>
      <c r="C93" s="7">
        <f>IF(B93="","",IF(B93="Opción de compra",$C$5,A93-$C$7))</f>
        <v>47</v>
      </c>
      <c r="D93" s="77">
        <f>IF(B93="","",EDATE($C$33,C93))</f>
        <v>47727.0</v>
      </c>
      <c r="E93" s="59">
        <f>IF(B93="","",I92)</f>
        <v>57343.958820947</v>
      </c>
      <c r="F93" s="59">
        <f>IF(B93="","",IF(B93="Básico",$C$24,IF(B93="Sucesivo",$C$25,$C$26)))</f>
        <v>19951.1897165926</v>
      </c>
      <c r="G93" s="59">
        <f>IF(B93="","",IF(B93="Opción de compra",0,(E93-$C$7*F93)*IF(B93="Sucesivo",$C$11,$C$9)))</f>
        <v>529.730895645021</v>
      </c>
      <c r="H93" s="59">
        <f>IF(B93="","",F93-G93)</f>
        <v>19421.4588209476</v>
      </c>
      <c r="I93" s="59">
        <f>IF(B93="","",E93-H93)</f>
        <v>37922.4999999994</v>
      </c>
      <c r="J93" s="59">
        <f>IF(B93="","",IF(OR(inp_Tipo="Arrendamiento Puro",par_BaseIVAFin="Sobre renta",B93="Opción de compra"),F93,G93)*$C$14)</f>
        <v>3192.19035465482</v>
      </c>
      <c r="K93" s="59">
        <f>IF(B93="","",F93+J93)</f>
        <v>23143.3800712474</v>
      </c>
      <c r="L93" s="59">
        <f>IF(B93="","",F93-IF(A93=$C$38,$C$30,0))</f>
        <v>19951.1897165926</v>
      </c>
      <c r="M93" s="78">
        <f>IF(B93="","",$C$37*(1+$C$13)^(-C93))</f>
        <v>0.450812024695278</v>
      </c>
      <c r="N93" s="59">
        <f>IF(B93="","",L93*M93)</f>
        <v>8994.23623121673</v>
      </c>
      <c r="O93" s="59">
        <f>IF(B93="","",IF(B93="Básico",F93,0)-IF(A93=$C$38,$C$30,0))</f>
        <v>19951.1897165926</v>
      </c>
      <c r="P93" s="77">
        <f>IF(B93="",$C$31,D93)</f>
        <v>47727.0</v>
      </c>
      <c r="Q93" s="59">
        <f>IF(B93="",0,L93)</f>
        <v>19951.1897165926</v>
      </c>
      <c r="R93" s="59">
        <f>IF(B93="",0,-F93)</f>
        <v>-19951.1897165926</v>
      </c>
      <c r="S93" s="59">
        <f>IF(B93="","",O93*M93)</f>
        <v>8994.23623121673</v>
      </c>
    </row>
    <row r="94">
      <c r="A94" s="7" t="n">
        <v>49</v>
      </c>
      <c r="B94" s="7" t="str">
        <f>IF(A94&gt;$C$38,"",IF(A94&lt;=$C$5,"Básico",IF($C$6&gt;0,"Sucesivo","Opción de compra")))</f>
        <v>Sucesivo</v>
      </c>
      <c r="C94" s="7">
        <f>IF(B94="","",IF(B94="Opción de compra",$C$5,A94-$C$7))</f>
        <v>48</v>
      </c>
      <c r="D94" s="77">
        <f>IF(B94="","",EDATE($C$33,C94))</f>
        <v>47757.0</v>
      </c>
      <c r="E94" s="59">
        <f>IF(B94="","",I93)</f>
        <v>37922.4999999994</v>
      </c>
      <c r="F94" s="59">
        <f>IF(B94="","",IF(B94="Básico",$C$24,IF(B94="Sucesivo",$C$25,$C$26)))</f>
        <v>37922.5</v>
      </c>
      <c r="G94" s="59">
        <f>IF(B94="","",IF(B94="Opción de compra",0,(E94-$C$7*F94)*IF(B94="Sucesivo",$C$11,$C$9)))</f>
        <v>-8.24608529607455e-12</v>
      </c>
      <c r="H94" s="59">
        <f>IF(B94="","",F94-G94)</f>
        <v>37922.5</v>
      </c>
      <c r="I94" s="59">
        <f>IF(B94="","",E94-H94)</f>
        <v>-5.89352566748858e-10</v>
      </c>
      <c r="J94" s="59">
        <f>IF(B94="","",IF(OR(inp_Tipo="Arrendamiento Puro",par_BaseIVAFin="Sobre renta",B94="Opción de compra"),F94,G94)*$C$14)</f>
        <v>6067.6</v>
      </c>
      <c r="K94" s="59">
        <f>IF(B94="","",F94+J94)</f>
        <v>43990.1</v>
      </c>
      <c r="L94" s="59">
        <f>IF(B94="","",F94-IF(A94=$C$38,$C$30,0))</f>
        <v>14779.1199287526</v>
      </c>
      <c r="M94" s="78">
        <f>IF(B94="","",$C$37*(1+$C$13)^(-C94))</f>
        <v>0.44324000789376</v>
      </c>
      <c r="N94" s="59">
        <f>IF(B94="","",L94*M94)</f>
        <v>6550.69723388313</v>
      </c>
      <c r="O94" s="59">
        <f>IF(B94="","",IF(B94="Básico",F94,0)-IF(A94=$C$38,$C$30,0))</f>
        <v>-23143.3800712474</v>
      </c>
      <c r="P94" s="77">
        <f>IF(B94="",$C$31,D94)</f>
        <v>47757.0</v>
      </c>
      <c r="Q94" s="59">
        <f>IF(B94="",0,L94)</f>
        <v>14779.1199287526</v>
      </c>
      <c r="R94" s="59">
        <f>IF(B94="",0,-F94)</f>
        <v>-37922.5</v>
      </c>
      <c r="S94" s="59">
        <f>IF(B94="","",O94*M94)</f>
        <v>-10258.071965468</v>
      </c>
    </row>
    <row r="95">
      <c r="A95" s="7" t="n">
        <v>50</v>
      </c>
      <c r="B95" s="7" t="str">
        <f>IF(A95&gt;$C$38,"",IF(A95&lt;=$C$5,"Básico",IF($C$6&gt;0,"Sucesivo","Opción de compra")))</f>
        <v/>
      </c>
      <c r="C95" s="7" t="str">
        <f>IF(B95="","",IF(B95="Opción de compra",$C$5,A95-$C$7))</f>
        <v/>
      </c>
      <c r="D95" s="77" t="str">
        <f>IF(B95="","",EDATE($C$33,C95))</f>
        <v/>
      </c>
      <c r="E95" s="59" t="str">
        <f>IF(B95="","",I94)</f>
        <v/>
      </c>
      <c r="F95" s="59" t="str">
        <f>IF(B95="","",IF(B95="Básico",$C$24,IF(B95="Sucesivo",$C$25,$C$26)))</f>
        <v/>
      </c>
      <c r="G95" s="59" t="str">
        <f>IF(B95="","",IF(B95="Opción de compra",0,(E95-$C$7*F95)*IF(B95="Sucesivo",$C$11,$C$9)))</f>
        <v/>
      </c>
      <c r="H95" s="59" t="str">
        <f>IF(B95="","",F95-G95)</f>
        <v/>
      </c>
      <c r="I95" s="59" t="str">
        <f>IF(B95="","",E95-H95)</f>
        <v/>
      </c>
      <c r="J95" s="59" t="str">
        <f>IF(B95="","",IF(OR(inp_Tipo="Arrendamiento Puro",par_BaseIVAFin="Sobre renta",B95="Opción de compra"),F95,G95)*$C$14)</f>
        <v/>
      </c>
      <c r="K95" s="59" t="str">
        <f>IF(B95="","",F95+J95)</f>
        <v/>
      </c>
      <c r="L95" s="59" t="str">
        <f>IF(B95="","",F95-IF(A95=$C$38,$C$30,0))</f>
        <v/>
      </c>
      <c r="M95" s="78" t="str">
        <f>IF(B95="","",$C$37*(1+$C$13)^(-C95))</f>
        <v/>
      </c>
      <c r="N95" s="59" t="str">
        <f>IF(B95="","",L95*M95)</f>
        <v/>
      </c>
      <c r="O95" s="59" t="str">
        <f>IF(B95="","",IF(B95="Básico",F95,0)-IF(A95=$C$38,$C$30,0))</f>
        <v/>
      </c>
      <c r="P95" s="77">
        <f>IF(B95="",$C$31,D95)</f>
        <v>46295.0</v>
      </c>
      <c r="Q95" s="59">
        <f>IF(B95="",0,L95)</f>
        <v>0</v>
      </c>
      <c r="R95" s="59">
        <f>IF(B95="",0,-F95)</f>
        <v>0</v>
      </c>
      <c r="S95" s="59" t="str">
        <f>IF(B95="","",O95*M95)</f>
        <v/>
      </c>
    </row>
    <row r="96">
      <c r="A96" s="7" t="n">
        <v>51</v>
      </c>
      <c r="B96" s="7" t="str">
        <f>IF(A96&gt;$C$38,"",IF(A96&lt;=$C$5,"Básico",IF($C$6&gt;0,"Sucesivo","Opción de compra")))</f>
        <v/>
      </c>
      <c r="C96" s="7" t="str">
        <f>IF(B96="","",IF(B96="Opción de compra",$C$5,A96-$C$7))</f>
        <v/>
      </c>
      <c r="D96" s="77" t="str">
        <f>IF(B96="","",EDATE($C$33,C96))</f>
        <v/>
      </c>
      <c r="E96" s="59" t="str">
        <f>IF(B96="","",I95)</f>
        <v/>
      </c>
      <c r="F96" s="59" t="str">
        <f>IF(B96="","",IF(B96="Básico",$C$24,IF(B96="Sucesivo",$C$25,$C$26)))</f>
        <v/>
      </c>
      <c r="G96" s="59" t="str">
        <f>IF(B96="","",IF(B96="Opción de compra",0,(E96-$C$7*F96)*IF(B96="Sucesivo",$C$11,$C$9)))</f>
        <v/>
      </c>
      <c r="H96" s="59" t="str">
        <f>IF(B96="","",F96-G96)</f>
        <v/>
      </c>
      <c r="I96" s="59" t="str">
        <f>IF(B96="","",E96-H96)</f>
        <v/>
      </c>
      <c r="J96" s="59" t="str">
        <f>IF(B96="","",IF(OR(inp_Tipo="Arrendamiento Puro",par_BaseIVAFin="Sobre renta",B96="Opción de compra"),F96,G96)*$C$14)</f>
        <v/>
      </c>
      <c r="K96" s="59" t="str">
        <f>IF(B96="","",F96+J96)</f>
        <v/>
      </c>
      <c r="L96" s="59" t="str">
        <f>IF(B96="","",F96-IF(A96=$C$38,$C$30,0))</f>
        <v/>
      </c>
      <c r="M96" s="78" t="str">
        <f>IF(B96="","",$C$37*(1+$C$13)^(-C96))</f>
        <v/>
      </c>
      <c r="N96" s="59" t="str">
        <f>IF(B96="","",L96*M96)</f>
        <v/>
      </c>
      <c r="O96" s="59" t="str">
        <f>IF(B96="","",IF(B96="Básico",F96,0)-IF(A96=$C$38,$C$30,0))</f>
        <v/>
      </c>
      <c r="P96" s="77">
        <f>IF(B96="",$C$31,D96)</f>
        <v>46295.0</v>
      </c>
      <c r="Q96" s="59">
        <f>IF(B96="",0,L96)</f>
        <v>0</v>
      </c>
      <c r="R96" s="59">
        <f>IF(B96="",0,-F96)</f>
        <v>0</v>
      </c>
      <c r="S96" s="59" t="str">
        <f>IF(B96="","",O96*M96)</f>
        <v/>
      </c>
    </row>
    <row r="97">
      <c r="A97" s="7" t="n">
        <v>52</v>
      </c>
      <c r="B97" s="7" t="str">
        <f>IF(A97&gt;$C$38,"",IF(A97&lt;=$C$5,"Básico",IF($C$6&gt;0,"Sucesivo","Opción de compra")))</f>
        <v/>
      </c>
      <c r="C97" s="7" t="str">
        <f>IF(B97="","",IF(B97="Opción de compra",$C$5,A97-$C$7))</f>
        <v/>
      </c>
      <c r="D97" s="77" t="str">
        <f>IF(B97="","",EDATE($C$33,C97))</f>
        <v/>
      </c>
      <c r="E97" s="59" t="str">
        <f>IF(B97="","",I96)</f>
        <v/>
      </c>
      <c r="F97" s="59" t="str">
        <f>IF(B97="","",IF(B97="Básico",$C$24,IF(B97="Sucesivo",$C$25,$C$26)))</f>
        <v/>
      </c>
      <c r="G97" s="59" t="str">
        <f>IF(B97="","",IF(B97="Opción de compra",0,(E97-$C$7*F97)*IF(B97="Sucesivo",$C$11,$C$9)))</f>
        <v/>
      </c>
      <c r="H97" s="59" t="str">
        <f>IF(B97="","",F97-G97)</f>
        <v/>
      </c>
      <c r="I97" s="59" t="str">
        <f>IF(B97="","",E97-H97)</f>
        <v/>
      </c>
      <c r="J97" s="59" t="str">
        <f>IF(B97="","",IF(OR(inp_Tipo="Arrendamiento Puro",par_BaseIVAFin="Sobre renta",B97="Opción de compra"),F97,G97)*$C$14)</f>
        <v/>
      </c>
      <c r="K97" s="59" t="str">
        <f>IF(B97="","",F97+J97)</f>
        <v/>
      </c>
      <c r="L97" s="59" t="str">
        <f>IF(B97="","",F97-IF(A97=$C$38,$C$30,0))</f>
        <v/>
      </c>
      <c r="M97" s="78" t="str">
        <f>IF(B97="","",$C$37*(1+$C$13)^(-C97))</f>
        <v/>
      </c>
      <c r="N97" s="59" t="str">
        <f>IF(B97="","",L97*M97)</f>
        <v/>
      </c>
      <c r="O97" s="59" t="str">
        <f>IF(B97="","",IF(B97="Básico",F97,0)-IF(A97=$C$38,$C$30,0))</f>
        <v/>
      </c>
      <c r="P97" s="77">
        <f>IF(B97="",$C$31,D97)</f>
        <v>46295.0</v>
      </c>
      <c r="Q97" s="59">
        <f>IF(B97="",0,L97)</f>
        <v>0</v>
      </c>
      <c r="R97" s="59">
        <f>IF(B97="",0,-F97)</f>
        <v>0</v>
      </c>
      <c r="S97" s="59" t="str">
        <f>IF(B97="","",O97*M97)</f>
        <v/>
      </c>
    </row>
    <row r="98">
      <c r="A98" s="7" t="n">
        <v>53</v>
      </c>
      <c r="B98" s="7" t="str">
        <f>IF(A98&gt;$C$38,"",IF(A98&lt;=$C$5,"Básico",IF($C$6&gt;0,"Sucesivo","Opción de compra")))</f>
        <v/>
      </c>
      <c r="C98" s="7" t="str">
        <f>IF(B98="","",IF(B98="Opción de compra",$C$5,A98-$C$7))</f>
        <v/>
      </c>
      <c r="D98" s="77" t="str">
        <f>IF(B98="","",EDATE($C$33,C98))</f>
        <v/>
      </c>
      <c r="E98" s="59" t="str">
        <f>IF(B98="","",I97)</f>
        <v/>
      </c>
      <c r="F98" s="59" t="str">
        <f>IF(B98="","",IF(B98="Básico",$C$24,IF(B98="Sucesivo",$C$25,$C$26)))</f>
        <v/>
      </c>
      <c r="G98" s="59" t="str">
        <f>IF(B98="","",IF(B98="Opción de compra",0,(E98-$C$7*F98)*IF(B98="Sucesivo",$C$11,$C$9)))</f>
        <v/>
      </c>
      <c r="H98" s="59" t="str">
        <f>IF(B98="","",F98-G98)</f>
        <v/>
      </c>
      <c r="I98" s="59" t="str">
        <f>IF(B98="","",E98-H98)</f>
        <v/>
      </c>
      <c r="J98" s="59" t="str">
        <f>IF(B98="","",IF(OR(inp_Tipo="Arrendamiento Puro",par_BaseIVAFin="Sobre renta",B98="Opción de compra"),F98,G98)*$C$14)</f>
        <v/>
      </c>
      <c r="K98" s="59" t="str">
        <f>IF(B98="","",F98+J98)</f>
        <v/>
      </c>
      <c r="L98" s="59" t="str">
        <f>IF(B98="","",F98-IF(A98=$C$38,$C$30,0))</f>
        <v/>
      </c>
      <c r="M98" s="78" t="str">
        <f>IF(B98="","",$C$37*(1+$C$13)^(-C98))</f>
        <v/>
      </c>
      <c r="N98" s="59" t="str">
        <f>IF(B98="","",L98*M98)</f>
        <v/>
      </c>
      <c r="O98" s="59" t="str">
        <f>IF(B98="","",IF(B98="Básico",F98,0)-IF(A98=$C$38,$C$30,0))</f>
        <v/>
      </c>
      <c r="P98" s="77">
        <f>IF(B98="",$C$31,D98)</f>
        <v>46295.0</v>
      </c>
      <c r="Q98" s="59">
        <f>IF(B98="",0,L98)</f>
        <v>0</v>
      </c>
      <c r="R98" s="59">
        <f>IF(B98="",0,-F98)</f>
        <v>0</v>
      </c>
      <c r="S98" s="59" t="str">
        <f>IF(B98="","",O98*M98)</f>
        <v/>
      </c>
    </row>
    <row r="99">
      <c r="A99" s="7" t="n">
        <v>54</v>
      </c>
      <c r="B99" s="7" t="str">
        <f>IF(A99&gt;$C$38,"",IF(A99&lt;=$C$5,"Básico",IF($C$6&gt;0,"Sucesivo","Opción de compra")))</f>
        <v/>
      </c>
      <c r="C99" s="7" t="str">
        <f>IF(B99="","",IF(B99="Opción de compra",$C$5,A99-$C$7))</f>
        <v/>
      </c>
      <c r="D99" s="77" t="str">
        <f>IF(B99="","",EDATE($C$33,C99))</f>
        <v/>
      </c>
      <c r="E99" s="59" t="str">
        <f>IF(B99="","",I98)</f>
        <v/>
      </c>
      <c r="F99" s="59" t="str">
        <f>IF(B99="","",IF(B99="Básico",$C$24,IF(B99="Sucesivo",$C$25,$C$26)))</f>
        <v/>
      </c>
      <c r="G99" s="59" t="str">
        <f>IF(B99="","",IF(B99="Opción de compra",0,(E99-$C$7*F99)*IF(B99="Sucesivo",$C$11,$C$9)))</f>
        <v/>
      </c>
      <c r="H99" s="59" t="str">
        <f>IF(B99="","",F99-G99)</f>
        <v/>
      </c>
      <c r="I99" s="59" t="str">
        <f>IF(B99="","",E99-H99)</f>
        <v/>
      </c>
      <c r="J99" s="59" t="str">
        <f>IF(B99="","",IF(OR(inp_Tipo="Arrendamiento Puro",par_BaseIVAFin="Sobre renta",B99="Opción de compra"),F99,G99)*$C$14)</f>
        <v/>
      </c>
      <c r="K99" s="59" t="str">
        <f>IF(B99="","",F99+J99)</f>
        <v/>
      </c>
      <c r="L99" s="59" t="str">
        <f>IF(B99="","",F99-IF(A99=$C$38,$C$30,0))</f>
        <v/>
      </c>
      <c r="M99" s="78" t="str">
        <f>IF(B99="","",$C$37*(1+$C$13)^(-C99))</f>
        <v/>
      </c>
      <c r="N99" s="59" t="str">
        <f>IF(B99="","",L99*M99)</f>
        <v/>
      </c>
      <c r="O99" s="59" t="str">
        <f>IF(B99="","",IF(B99="Básico",F99,0)-IF(A99=$C$38,$C$30,0))</f>
        <v/>
      </c>
      <c r="P99" s="77">
        <f>IF(B99="",$C$31,D99)</f>
        <v>46295.0</v>
      </c>
      <c r="Q99" s="59">
        <f>IF(B99="",0,L99)</f>
        <v>0</v>
      </c>
      <c r="R99" s="59">
        <f>IF(B99="",0,-F99)</f>
        <v>0</v>
      </c>
      <c r="S99" s="59" t="str">
        <f>IF(B99="","",O99*M99)</f>
        <v/>
      </c>
    </row>
    <row r="100">
      <c r="A100" s="7" t="n">
        <v>55</v>
      </c>
      <c r="B100" s="7" t="str">
        <f>IF(A100&gt;$C$38,"",IF(A100&lt;=$C$5,"Básico",IF($C$6&gt;0,"Sucesivo","Opción de compra")))</f>
        <v/>
      </c>
      <c r="C100" s="7" t="str">
        <f>IF(B100="","",IF(B100="Opción de compra",$C$5,A100-$C$7))</f>
        <v/>
      </c>
      <c r="D100" s="77" t="str">
        <f>IF(B100="","",EDATE($C$33,C100))</f>
        <v/>
      </c>
      <c r="E100" s="59" t="str">
        <f>IF(B100="","",I99)</f>
        <v/>
      </c>
      <c r="F100" s="59" t="str">
        <f>IF(B100="","",IF(B100="Básico",$C$24,IF(B100="Sucesivo",$C$25,$C$26)))</f>
        <v/>
      </c>
      <c r="G100" s="59" t="str">
        <f>IF(B100="","",IF(B100="Opción de compra",0,(E100-$C$7*F100)*IF(B100="Sucesivo",$C$11,$C$9)))</f>
        <v/>
      </c>
      <c r="H100" s="59" t="str">
        <f>IF(B100="","",F100-G100)</f>
        <v/>
      </c>
      <c r="I100" s="59" t="str">
        <f>IF(B100="","",E100-H100)</f>
        <v/>
      </c>
      <c r="J100" s="59" t="str">
        <f>IF(B100="","",IF(OR(inp_Tipo="Arrendamiento Puro",par_BaseIVAFin="Sobre renta",B100="Opción de compra"),F100,G100)*$C$14)</f>
        <v/>
      </c>
      <c r="K100" s="59" t="str">
        <f>IF(B100="","",F100+J100)</f>
        <v/>
      </c>
      <c r="L100" s="59" t="str">
        <f>IF(B100="","",F100-IF(A100=$C$38,$C$30,0))</f>
        <v/>
      </c>
      <c r="M100" s="78" t="str">
        <f>IF(B100="","",$C$37*(1+$C$13)^(-C100))</f>
        <v/>
      </c>
      <c r="N100" s="59" t="str">
        <f>IF(B100="","",L100*M100)</f>
        <v/>
      </c>
      <c r="O100" s="59" t="str">
        <f>IF(B100="","",IF(B100="Básico",F100,0)-IF(A100=$C$38,$C$30,0))</f>
        <v/>
      </c>
      <c r="P100" s="77">
        <f>IF(B100="",$C$31,D100)</f>
        <v>46295.0</v>
      </c>
      <c r="Q100" s="59">
        <f>IF(B100="",0,L100)</f>
        <v>0</v>
      </c>
      <c r="R100" s="59">
        <f>IF(B100="",0,-F100)</f>
        <v>0</v>
      </c>
      <c r="S100" s="59" t="str">
        <f>IF(B100="","",O100*M100)</f>
        <v/>
      </c>
    </row>
    <row r="101">
      <c r="A101" s="7" t="n">
        <v>56</v>
      </c>
      <c r="B101" s="7" t="str">
        <f>IF(A101&gt;$C$38,"",IF(A101&lt;=$C$5,"Básico",IF($C$6&gt;0,"Sucesivo","Opción de compra")))</f>
        <v/>
      </c>
      <c r="C101" s="7" t="str">
        <f>IF(B101="","",IF(B101="Opción de compra",$C$5,A101-$C$7))</f>
        <v/>
      </c>
      <c r="D101" s="77" t="str">
        <f>IF(B101="","",EDATE($C$33,C101))</f>
        <v/>
      </c>
      <c r="E101" s="59" t="str">
        <f>IF(B101="","",I100)</f>
        <v/>
      </c>
      <c r="F101" s="59" t="str">
        <f>IF(B101="","",IF(B101="Básico",$C$24,IF(B101="Sucesivo",$C$25,$C$26)))</f>
        <v/>
      </c>
      <c r="G101" s="59" t="str">
        <f>IF(B101="","",IF(B101="Opción de compra",0,(E101-$C$7*F101)*IF(B101="Sucesivo",$C$11,$C$9)))</f>
        <v/>
      </c>
      <c r="H101" s="59" t="str">
        <f>IF(B101="","",F101-G101)</f>
        <v/>
      </c>
      <c r="I101" s="59" t="str">
        <f>IF(B101="","",E101-H101)</f>
        <v/>
      </c>
      <c r="J101" s="59" t="str">
        <f>IF(B101="","",IF(OR(inp_Tipo="Arrendamiento Puro",par_BaseIVAFin="Sobre renta",B101="Opción de compra"),F101,G101)*$C$14)</f>
        <v/>
      </c>
      <c r="K101" s="59" t="str">
        <f>IF(B101="","",F101+J101)</f>
        <v/>
      </c>
      <c r="L101" s="59" t="str">
        <f>IF(B101="","",F101-IF(A101=$C$38,$C$30,0))</f>
        <v/>
      </c>
      <c r="M101" s="78" t="str">
        <f>IF(B101="","",$C$37*(1+$C$13)^(-C101))</f>
        <v/>
      </c>
      <c r="N101" s="59" t="str">
        <f>IF(B101="","",L101*M101)</f>
        <v/>
      </c>
      <c r="O101" s="59" t="str">
        <f>IF(B101="","",IF(B101="Básico",F101,0)-IF(A101=$C$38,$C$30,0))</f>
        <v/>
      </c>
      <c r="P101" s="77">
        <f>IF(B101="",$C$31,D101)</f>
        <v>46295.0</v>
      </c>
      <c r="Q101" s="59">
        <f>IF(B101="",0,L101)</f>
        <v>0</v>
      </c>
      <c r="R101" s="59">
        <f>IF(B101="",0,-F101)</f>
        <v>0</v>
      </c>
      <c r="S101" s="59" t="str">
        <f>IF(B101="","",O101*M101)</f>
        <v/>
      </c>
    </row>
    <row r="102">
      <c r="A102" s="7" t="n">
        <v>57</v>
      </c>
      <c r="B102" s="7" t="str">
        <f>IF(A102&gt;$C$38,"",IF(A102&lt;=$C$5,"Básico",IF($C$6&gt;0,"Sucesivo","Opción de compra")))</f>
        <v/>
      </c>
      <c r="C102" s="7" t="str">
        <f>IF(B102="","",IF(B102="Opción de compra",$C$5,A102-$C$7))</f>
        <v/>
      </c>
      <c r="D102" s="77" t="str">
        <f>IF(B102="","",EDATE($C$33,C102))</f>
        <v/>
      </c>
      <c r="E102" s="59" t="str">
        <f>IF(B102="","",I101)</f>
        <v/>
      </c>
      <c r="F102" s="59" t="str">
        <f>IF(B102="","",IF(B102="Básico",$C$24,IF(B102="Sucesivo",$C$25,$C$26)))</f>
        <v/>
      </c>
      <c r="G102" s="59" t="str">
        <f>IF(B102="","",IF(B102="Opción de compra",0,(E102-$C$7*F102)*IF(B102="Sucesivo",$C$11,$C$9)))</f>
        <v/>
      </c>
      <c r="H102" s="59" t="str">
        <f>IF(B102="","",F102-G102)</f>
        <v/>
      </c>
      <c r="I102" s="59" t="str">
        <f>IF(B102="","",E102-H102)</f>
        <v/>
      </c>
      <c r="J102" s="59" t="str">
        <f>IF(B102="","",IF(OR(inp_Tipo="Arrendamiento Puro",par_BaseIVAFin="Sobre renta",B102="Opción de compra"),F102,G102)*$C$14)</f>
        <v/>
      </c>
      <c r="K102" s="59" t="str">
        <f>IF(B102="","",F102+J102)</f>
        <v/>
      </c>
      <c r="L102" s="59" t="str">
        <f>IF(B102="","",F102-IF(A102=$C$38,$C$30,0))</f>
        <v/>
      </c>
      <c r="M102" s="78" t="str">
        <f>IF(B102="","",$C$37*(1+$C$13)^(-C102))</f>
        <v/>
      </c>
      <c r="N102" s="59" t="str">
        <f>IF(B102="","",L102*M102)</f>
        <v/>
      </c>
      <c r="O102" s="59" t="str">
        <f>IF(B102="","",IF(B102="Básico",F102,0)-IF(A102=$C$38,$C$30,0))</f>
        <v/>
      </c>
      <c r="P102" s="77">
        <f>IF(B102="",$C$31,D102)</f>
        <v>46295.0</v>
      </c>
      <c r="Q102" s="59">
        <f>IF(B102="",0,L102)</f>
        <v>0</v>
      </c>
      <c r="R102" s="59">
        <f>IF(B102="",0,-F102)</f>
        <v>0</v>
      </c>
      <c r="S102" s="59" t="str">
        <f>IF(B102="","",O102*M102)</f>
        <v/>
      </c>
    </row>
    <row r="103">
      <c r="A103" s="7" t="n">
        <v>58</v>
      </c>
      <c r="B103" s="7" t="str">
        <f>IF(A103&gt;$C$38,"",IF(A103&lt;=$C$5,"Básico",IF($C$6&gt;0,"Sucesivo","Opción de compra")))</f>
        <v/>
      </c>
      <c r="C103" s="7" t="str">
        <f>IF(B103="","",IF(B103="Opción de compra",$C$5,A103-$C$7))</f>
        <v/>
      </c>
      <c r="D103" s="77" t="str">
        <f>IF(B103="","",EDATE($C$33,C103))</f>
        <v/>
      </c>
      <c r="E103" s="59" t="str">
        <f>IF(B103="","",I102)</f>
        <v/>
      </c>
      <c r="F103" s="59" t="str">
        <f>IF(B103="","",IF(B103="Básico",$C$24,IF(B103="Sucesivo",$C$25,$C$26)))</f>
        <v/>
      </c>
      <c r="G103" s="59" t="str">
        <f>IF(B103="","",IF(B103="Opción de compra",0,(E103-$C$7*F103)*IF(B103="Sucesivo",$C$11,$C$9)))</f>
        <v/>
      </c>
      <c r="H103" s="59" t="str">
        <f>IF(B103="","",F103-G103)</f>
        <v/>
      </c>
      <c r="I103" s="59" t="str">
        <f>IF(B103="","",E103-H103)</f>
        <v/>
      </c>
      <c r="J103" s="59" t="str">
        <f>IF(B103="","",IF(OR(inp_Tipo="Arrendamiento Puro",par_BaseIVAFin="Sobre renta",B103="Opción de compra"),F103,G103)*$C$14)</f>
        <v/>
      </c>
      <c r="K103" s="59" t="str">
        <f>IF(B103="","",F103+J103)</f>
        <v/>
      </c>
      <c r="L103" s="59" t="str">
        <f>IF(B103="","",F103-IF(A103=$C$38,$C$30,0))</f>
        <v/>
      </c>
      <c r="M103" s="78" t="str">
        <f>IF(B103="","",$C$37*(1+$C$13)^(-C103))</f>
        <v/>
      </c>
      <c r="N103" s="59" t="str">
        <f>IF(B103="","",L103*M103)</f>
        <v/>
      </c>
      <c r="O103" s="59" t="str">
        <f>IF(B103="","",IF(B103="Básico",F103,0)-IF(A103=$C$38,$C$30,0))</f>
        <v/>
      </c>
      <c r="P103" s="77">
        <f>IF(B103="",$C$31,D103)</f>
        <v>46295.0</v>
      </c>
      <c r="Q103" s="59">
        <f>IF(B103="",0,L103)</f>
        <v>0</v>
      </c>
      <c r="R103" s="59">
        <f>IF(B103="",0,-F103)</f>
        <v>0</v>
      </c>
      <c r="S103" s="59" t="str">
        <f>IF(B103="","",O103*M103)</f>
        <v/>
      </c>
    </row>
    <row r="104">
      <c r="A104" s="7" t="n">
        <v>59</v>
      </c>
      <c r="B104" s="7" t="str">
        <f>IF(A104&gt;$C$38,"",IF(A104&lt;=$C$5,"Básico",IF($C$6&gt;0,"Sucesivo","Opción de compra")))</f>
        <v/>
      </c>
      <c r="C104" s="7" t="str">
        <f>IF(B104="","",IF(B104="Opción de compra",$C$5,A104-$C$7))</f>
        <v/>
      </c>
      <c r="D104" s="77" t="str">
        <f>IF(B104="","",EDATE($C$33,C104))</f>
        <v/>
      </c>
      <c r="E104" s="59" t="str">
        <f>IF(B104="","",I103)</f>
        <v/>
      </c>
      <c r="F104" s="59" t="str">
        <f>IF(B104="","",IF(B104="Básico",$C$24,IF(B104="Sucesivo",$C$25,$C$26)))</f>
        <v/>
      </c>
      <c r="G104" s="59" t="str">
        <f>IF(B104="","",IF(B104="Opción de compra",0,(E104-$C$7*F104)*IF(B104="Sucesivo",$C$11,$C$9)))</f>
        <v/>
      </c>
      <c r="H104" s="59" t="str">
        <f>IF(B104="","",F104-G104)</f>
        <v/>
      </c>
      <c r="I104" s="59" t="str">
        <f>IF(B104="","",E104-H104)</f>
        <v/>
      </c>
      <c r="J104" s="59" t="str">
        <f>IF(B104="","",IF(OR(inp_Tipo="Arrendamiento Puro",par_BaseIVAFin="Sobre renta",B104="Opción de compra"),F104,G104)*$C$14)</f>
        <v/>
      </c>
      <c r="K104" s="59" t="str">
        <f>IF(B104="","",F104+J104)</f>
        <v/>
      </c>
      <c r="L104" s="59" t="str">
        <f>IF(B104="","",F104-IF(A104=$C$38,$C$30,0))</f>
        <v/>
      </c>
      <c r="M104" s="78" t="str">
        <f>IF(B104="","",$C$37*(1+$C$13)^(-C104))</f>
        <v/>
      </c>
      <c r="N104" s="59" t="str">
        <f>IF(B104="","",L104*M104)</f>
        <v/>
      </c>
      <c r="O104" s="59" t="str">
        <f>IF(B104="","",IF(B104="Básico",F104,0)-IF(A104=$C$38,$C$30,0))</f>
        <v/>
      </c>
      <c r="P104" s="77">
        <f>IF(B104="",$C$31,D104)</f>
        <v>46295.0</v>
      </c>
      <c r="Q104" s="59">
        <f>IF(B104="",0,L104)</f>
        <v>0</v>
      </c>
      <c r="R104" s="59">
        <f>IF(B104="",0,-F104)</f>
        <v>0</v>
      </c>
      <c r="S104" s="59" t="str">
        <f>IF(B104="","",O104*M104)</f>
        <v/>
      </c>
    </row>
    <row r="105">
      <c r="A105" s="7" t="n">
        <v>60</v>
      </c>
      <c r="B105" s="7" t="str">
        <f>IF(A105&gt;$C$38,"",IF(A105&lt;=$C$5,"Básico",IF($C$6&gt;0,"Sucesivo","Opción de compra")))</f>
        <v/>
      </c>
      <c r="C105" s="7" t="str">
        <f>IF(B105="","",IF(B105="Opción de compra",$C$5,A105-$C$7))</f>
        <v/>
      </c>
      <c r="D105" s="77" t="str">
        <f>IF(B105="","",EDATE($C$33,C105))</f>
        <v/>
      </c>
      <c r="E105" s="59" t="str">
        <f>IF(B105="","",I104)</f>
        <v/>
      </c>
      <c r="F105" s="59" t="str">
        <f>IF(B105="","",IF(B105="Básico",$C$24,IF(B105="Sucesivo",$C$25,$C$26)))</f>
        <v/>
      </c>
      <c r="G105" s="59" t="str">
        <f>IF(B105="","",IF(B105="Opción de compra",0,(E105-$C$7*F105)*IF(B105="Sucesivo",$C$11,$C$9)))</f>
        <v/>
      </c>
      <c r="H105" s="59" t="str">
        <f>IF(B105="","",F105-G105)</f>
        <v/>
      </c>
      <c r="I105" s="59" t="str">
        <f>IF(B105="","",E105-H105)</f>
        <v/>
      </c>
      <c r="J105" s="59" t="str">
        <f>IF(B105="","",IF(OR(inp_Tipo="Arrendamiento Puro",par_BaseIVAFin="Sobre renta",B105="Opción de compra"),F105,G105)*$C$14)</f>
        <v/>
      </c>
      <c r="K105" s="59" t="str">
        <f>IF(B105="","",F105+J105)</f>
        <v/>
      </c>
      <c r="L105" s="59" t="str">
        <f>IF(B105="","",F105-IF(A105=$C$38,$C$30,0))</f>
        <v/>
      </c>
      <c r="M105" s="78" t="str">
        <f>IF(B105="","",$C$37*(1+$C$13)^(-C105))</f>
        <v/>
      </c>
      <c r="N105" s="59" t="str">
        <f>IF(B105="","",L105*M105)</f>
        <v/>
      </c>
      <c r="O105" s="59" t="str">
        <f>IF(B105="","",IF(B105="Básico",F105,0)-IF(A105=$C$38,$C$30,0))</f>
        <v/>
      </c>
      <c r="P105" s="77">
        <f>IF(B105="",$C$31,D105)</f>
        <v>46295.0</v>
      </c>
      <c r="Q105" s="59">
        <f>IF(B105="",0,L105)</f>
        <v>0</v>
      </c>
      <c r="R105" s="59">
        <f>IF(B105="",0,-F105)</f>
        <v>0</v>
      </c>
      <c r="S105" s="59" t="str">
        <f>IF(B105="","",O105*M105)</f>
        <v/>
      </c>
    </row>
    <row r="106">
      <c r="A106" s="7" t="n">
        <v>61</v>
      </c>
      <c r="B106" s="7" t="str">
        <f>IF(A106&gt;$C$38,"",IF(A106&lt;=$C$5,"Básico",IF($C$6&gt;0,"Sucesivo","Opción de compra")))</f>
        <v/>
      </c>
      <c r="C106" s="7" t="str">
        <f>IF(B106="","",IF(B106="Opción de compra",$C$5,A106-$C$7))</f>
        <v/>
      </c>
      <c r="D106" s="77" t="str">
        <f>IF(B106="","",EDATE($C$33,C106))</f>
        <v/>
      </c>
      <c r="E106" s="59" t="str">
        <f>IF(B106="","",I105)</f>
        <v/>
      </c>
      <c r="F106" s="59" t="str">
        <f>IF(B106="","",IF(B106="Básico",$C$24,IF(B106="Sucesivo",$C$25,$C$26)))</f>
        <v/>
      </c>
      <c r="G106" s="59" t="str">
        <f>IF(B106="","",IF(B106="Opción de compra",0,(E106-$C$7*F106)*IF(B106="Sucesivo",$C$11,$C$9)))</f>
        <v/>
      </c>
      <c r="H106" s="59" t="str">
        <f>IF(B106="","",F106-G106)</f>
        <v/>
      </c>
      <c r="I106" s="59" t="str">
        <f>IF(B106="","",E106-H106)</f>
        <v/>
      </c>
      <c r="J106" s="59" t="str">
        <f>IF(B106="","",IF(OR(inp_Tipo="Arrendamiento Puro",par_BaseIVAFin="Sobre renta",B106="Opción de compra"),F106,G106)*$C$14)</f>
        <v/>
      </c>
      <c r="K106" s="59" t="str">
        <f>IF(B106="","",F106+J106)</f>
        <v/>
      </c>
      <c r="L106" s="59" t="str">
        <f>IF(B106="","",F106-IF(A106=$C$38,$C$30,0))</f>
        <v/>
      </c>
      <c r="M106" s="78" t="str">
        <f>IF(B106="","",$C$37*(1+$C$13)^(-C106))</f>
        <v/>
      </c>
      <c r="N106" s="59" t="str">
        <f>IF(B106="","",L106*M106)</f>
        <v/>
      </c>
      <c r="O106" s="59" t="str">
        <f>IF(B106="","",IF(B106="Básico",F106,0)-IF(A106=$C$38,$C$30,0))</f>
        <v/>
      </c>
      <c r="P106" s="77">
        <f>IF(B106="",$C$31,D106)</f>
        <v>46295.0</v>
      </c>
      <c r="Q106" s="59">
        <f>IF(B106="",0,L106)</f>
        <v>0</v>
      </c>
      <c r="R106" s="59">
        <f>IF(B106="",0,-F106)</f>
        <v>0</v>
      </c>
      <c r="S106" s="59" t="str">
        <f>IF(B106="","",O106*M106)</f>
        <v/>
      </c>
    </row>
    <row r="107">
      <c r="A107" s="7" t="n">
        <v>62</v>
      </c>
      <c r="B107" s="7" t="str">
        <f>IF(A107&gt;$C$38,"",IF(A107&lt;=$C$5,"Básico",IF($C$6&gt;0,"Sucesivo","Opción de compra")))</f>
        <v/>
      </c>
      <c r="C107" s="7" t="str">
        <f>IF(B107="","",IF(B107="Opción de compra",$C$5,A107-$C$7))</f>
        <v/>
      </c>
      <c r="D107" s="77" t="str">
        <f>IF(B107="","",EDATE($C$33,C107))</f>
        <v/>
      </c>
      <c r="E107" s="59" t="str">
        <f>IF(B107="","",I106)</f>
        <v/>
      </c>
      <c r="F107" s="59" t="str">
        <f>IF(B107="","",IF(B107="Básico",$C$24,IF(B107="Sucesivo",$C$25,$C$26)))</f>
        <v/>
      </c>
      <c r="G107" s="59" t="str">
        <f>IF(B107="","",IF(B107="Opción de compra",0,(E107-$C$7*F107)*IF(B107="Sucesivo",$C$11,$C$9)))</f>
        <v/>
      </c>
      <c r="H107" s="59" t="str">
        <f>IF(B107="","",F107-G107)</f>
        <v/>
      </c>
      <c r="I107" s="59" t="str">
        <f>IF(B107="","",E107-H107)</f>
        <v/>
      </c>
      <c r="J107" s="59" t="str">
        <f>IF(B107="","",IF(OR(inp_Tipo="Arrendamiento Puro",par_BaseIVAFin="Sobre renta",B107="Opción de compra"),F107,G107)*$C$14)</f>
        <v/>
      </c>
      <c r="K107" s="59" t="str">
        <f>IF(B107="","",F107+J107)</f>
        <v/>
      </c>
      <c r="L107" s="59" t="str">
        <f>IF(B107="","",F107-IF(A107=$C$38,$C$30,0))</f>
        <v/>
      </c>
      <c r="M107" s="78" t="str">
        <f>IF(B107="","",$C$37*(1+$C$13)^(-C107))</f>
        <v/>
      </c>
      <c r="N107" s="59" t="str">
        <f>IF(B107="","",L107*M107)</f>
        <v/>
      </c>
      <c r="O107" s="59" t="str">
        <f>IF(B107="","",IF(B107="Básico",F107,0)-IF(A107=$C$38,$C$30,0))</f>
        <v/>
      </c>
      <c r="P107" s="77">
        <f>IF(B107="",$C$31,D107)</f>
        <v>46295.0</v>
      </c>
      <c r="Q107" s="59">
        <f>IF(B107="",0,L107)</f>
        <v>0</v>
      </c>
      <c r="R107" s="59">
        <f>IF(B107="",0,-F107)</f>
        <v>0</v>
      </c>
      <c r="S107" s="59" t="str">
        <f>IF(B107="","",O107*M107)</f>
        <v/>
      </c>
    </row>
    <row r="108">
      <c r="A108" s="7" t="n">
        <v>63</v>
      </c>
      <c r="B108" s="7" t="str">
        <f>IF(A108&gt;$C$38,"",IF(A108&lt;=$C$5,"Básico",IF($C$6&gt;0,"Sucesivo","Opción de compra")))</f>
        <v/>
      </c>
      <c r="C108" s="7" t="str">
        <f>IF(B108="","",IF(B108="Opción de compra",$C$5,A108-$C$7))</f>
        <v/>
      </c>
      <c r="D108" s="77" t="str">
        <f>IF(B108="","",EDATE($C$33,C108))</f>
        <v/>
      </c>
      <c r="E108" s="59" t="str">
        <f>IF(B108="","",I107)</f>
        <v/>
      </c>
      <c r="F108" s="59" t="str">
        <f>IF(B108="","",IF(B108="Básico",$C$24,IF(B108="Sucesivo",$C$25,$C$26)))</f>
        <v/>
      </c>
      <c r="G108" s="59" t="str">
        <f>IF(B108="","",IF(B108="Opción de compra",0,(E108-$C$7*F108)*IF(B108="Sucesivo",$C$11,$C$9)))</f>
        <v/>
      </c>
      <c r="H108" s="59" t="str">
        <f>IF(B108="","",F108-G108)</f>
        <v/>
      </c>
      <c r="I108" s="59" t="str">
        <f>IF(B108="","",E108-H108)</f>
        <v/>
      </c>
      <c r="J108" s="59" t="str">
        <f>IF(B108="","",IF(OR(inp_Tipo="Arrendamiento Puro",par_BaseIVAFin="Sobre renta",B108="Opción de compra"),F108,G108)*$C$14)</f>
        <v/>
      </c>
      <c r="K108" s="59" t="str">
        <f>IF(B108="","",F108+J108)</f>
        <v/>
      </c>
      <c r="L108" s="59" t="str">
        <f>IF(B108="","",F108-IF(A108=$C$38,$C$30,0))</f>
        <v/>
      </c>
      <c r="M108" s="78" t="str">
        <f>IF(B108="","",$C$37*(1+$C$13)^(-C108))</f>
        <v/>
      </c>
      <c r="N108" s="59" t="str">
        <f>IF(B108="","",L108*M108)</f>
        <v/>
      </c>
      <c r="O108" s="59" t="str">
        <f>IF(B108="","",IF(B108="Básico",F108,0)-IF(A108=$C$38,$C$30,0))</f>
        <v/>
      </c>
      <c r="P108" s="77">
        <f>IF(B108="",$C$31,D108)</f>
        <v>46295.0</v>
      </c>
      <c r="Q108" s="59">
        <f>IF(B108="",0,L108)</f>
        <v>0</v>
      </c>
      <c r="R108" s="59">
        <f>IF(B108="",0,-F108)</f>
        <v>0</v>
      </c>
      <c r="S108" s="59" t="str">
        <f>IF(B108="","",O108*M108)</f>
        <v/>
      </c>
    </row>
    <row r="109">
      <c r="A109" s="7" t="n">
        <v>64</v>
      </c>
      <c r="B109" s="7" t="str">
        <f>IF(A109&gt;$C$38,"",IF(A109&lt;=$C$5,"Básico",IF($C$6&gt;0,"Sucesivo","Opción de compra")))</f>
        <v/>
      </c>
      <c r="C109" s="7" t="str">
        <f>IF(B109="","",IF(B109="Opción de compra",$C$5,A109-$C$7))</f>
        <v/>
      </c>
      <c r="D109" s="77" t="str">
        <f>IF(B109="","",EDATE($C$33,C109))</f>
        <v/>
      </c>
      <c r="E109" s="59" t="str">
        <f>IF(B109="","",I108)</f>
        <v/>
      </c>
      <c r="F109" s="59" t="str">
        <f>IF(B109="","",IF(B109="Básico",$C$24,IF(B109="Sucesivo",$C$25,$C$26)))</f>
        <v/>
      </c>
      <c r="G109" s="59" t="str">
        <f>IF(B109="","",IF(B109="Opción de compra",0,(E109-$C$7*F109)*IF(B109="Sucesivo",$C$11,$C$9)))</f>
        <v/>
      </c>
      <c r="H109" s="59" t="str">
        <f>IF(B109="","",F109-G109)</f>
        <v/>
      </c>
      <c r="I109" s="59" t="str">
        <f>IF(B109="","",E109-H109)</f>
        <v/>
      </c>
      <c r="J109" s="59" t="str">
        <f>IF(B109="","",IF(OR(inp_Tipo="Arrendamiento Puro",par_BaseIVAFin="Sobre renta",B109="Opción de compra"),F109,G109)*$C$14)</f>
        <v/>
      </c>
      <c r="K109" s="59" t="str">
        <f>IF(B109="","",F109+J109)</f>
        <v/>
      </c>
      <c r="L109" s="59" t="str">
        <f>IF(B109="","",F109-IF(A109=$C$38,$C$30,0))</f>
        <v/>
      </c>
      <c r="M109" s="78" t="str">
        <f>IF(B109="","",$C$37*(1+$C$13)^(-C109))</f>
        <v/>
      </c>
      <c r="N109" s="59" t="str">
        <f>IF(B109="","",L109*M109)</f>
        <v/>
      </c>
      <c r="O109" s="59" t="str">
        <f>IF(B109="","",IF(B109="Básico",F109,0)-IF(A109=$C$38,$C$30,0))</f>
        <v/>
      </c>
      <c r="P109" s="77">
        <f>IF(B109="",$C$31,D109)</f>
        <v>46295.0</v>
      </c>
      <c r="Q109" s="59">
        <f>IF(B109="",0,L109)</f>
        <v>0</v>
      </c>
      <c r="R109" s="59">
        <f>IF(B109="",0,-F109)</f>
        <v>0</v>
      </c>
      <c r="S109" s="59" t="str">
        <f>IF(B109="","",O109*M109)</f>
        <v/>
      </c>
    </row>
    <row r="110">
      <c r="A110" s="7" t="n">
        <v>65</v>
      </c>
      <c r="B110" s="7" t="str">
        <f>IF(A110&gt;$C$38,"",IF(A110&lt;=$C$5,"Básico",IF($C$6&gt;0,"Sucesivo","Opción de compra")))</f>
        <v/>
      </c>
      <c r="C110" s="7" t="str">
        <f>IF(B110="","",IF(B110="Opción de compra",$C$5,A110-$C$7))</f>
        <v/>
      </c>
      <c r="D110" s="77" t="str">
        <f>IF(B110="","",EDATE($C$33,C110))</f>
        <v/>
      </c>
      <c r="E110" s="59" t="str">
        <f>IF(B110="","",I109)</f>
        <v/>
      </c>
      <c r="F110" s="59" t="str">
        <f>IF(B110="","",IF(B110="Básico",$C$24,IF(B110="Sucesivo",$C$25,$C$26)))</f>
        <v/>
      </c>
      <c r="G110" s="59" t="str">
        <f>IF(B110="","",IF(B110="Opción de compra",0,(E110-$C$7*F110)*IF(B110="Sucesivo",$C$11,$C$9)))</f>
        <v/>
      </c>
      <c r="H110" s="59" t="str">
        <f>IF(B110="","",F110-G110)</f>
        <v/>
      </c>
      <c r="I110" s="59" t="str">
        <f>IF(B110="","",E110-H110)</f>
        <v/>
      </c>
      <c r="J110" s="59" t="str">
        <f>IF(B110="","",IF(OR(inp_Tipo="Arrendamiento Puro",par_BaseIVAFin="Sobre renta",B110="Opción de compra"),F110,G110)*$C$14)</f>
        <v/>
      </c>
      <c r="K110" s="59" t="str">
        <f>IF(B110="","",F110+J110)</f>
        <v/>
      </c>
      <c r="L110" s="59" t="str">
        <f>IF(B110="","",F110-IF(A110=$C$38,$C$30,0))</f>
        <v/>
      </c>
      <c r="M110" s="78" t="str">
        <f>IF(B110="","",$C$37*(1+$C$13)^(-C110))</f>
        <v/>
      </c>
      <c r="N110" s="59" t="str">
        <f>IF(B110="","",L110*M110)</f>
        <v/>
      </c>
      <c r="O110" s="59" t="str">
        <f>IF(B110="","",IF(B110="Básico",F110,0)-IF(A110=$C$38,$C$30,0))</f>
        <v/>
      </c>
      <c r="P110" s="77">
        <f>IF(B110="",$C$31,D110)</f>
        <v>46295.0</v>
      </c>
      <c r="Q110" s="59">
        <f>IF(B110="",0,L110)</f>
        <v>0</v>
      </c>
      <c r="R110" s="59">
        <f>IF(B110="",0,-F110)</f>
        <v>0</v>
      </c>
      <c r="S110" s="59" t="str">
        <f>IF(B110="","",O110*M110)</f>
        <v/>
      </c>
    </row>
    <row r="111">
      <c r="A111" s="7" t="n">
        <v>66</v>
      </c>
      <c r="B111" s="7" t="str">
        <f>IF(A111&gt;$C$38,"",IF(A111&lt;=$C$5,"Básico",IF($C$6&gt;0,"Sucesivo","Opción de compra")))</f>
        <v/>
      </c>
      <c r="C111" s="7" t="str">
        <f>IF(B111="","",IF(B111="Opción de compra",$C$5,A111-$C$7))</f>
        <v/>
      </c>
      <c r="D111" s="77" t="str">
        <f>IF(B111="","",EDATE($C$33,C111))</f>
        <v/>
      </c>
      <c r="E111" s="59" t="str">
        <f>IF(B111="","",I110)</f>
        <v/>
      </c>
      <c r="F111" s="59" t="str">
        <f>IF(B111="","",IF(B111="Básico",$C$24,IF(B111="Sucesivo",$C$25,$C$26)))</f>
        <v/>
      </c>
      <c r="G111" s="59" t="str">
        <f>IF(B111="","",IF(B111="Opción de compra",0,(E111-$C$7*F111)*IF(B111="Sucesivo",$C$11,$C$9)))</f>
        <v/>
      </c>
      <c r="H111" s="59" t="str">
        <f>IF(B111="","",F111-G111)</f>
        <v/>
      </c>
      <c r="I111" s="59" t="str">
        <f>IF(B111="","",E111-H111)</f>
        <v/>
      </c>
      <c r="J111" s="59" t="str">
        <f>IF(B111="","",IF(OR(inp_Tipo="Arrendamiento Puro",par_BaseIVAFin="Sobre renta",B111="Opción de compra"),F111,G111)*$C$14)</f>
        <v/>
      </c>
      <c r="K111" s="59" t="str">
        <f>IF(B111="","",F111+J111)</f>
        <v/>
      </c>
      <c r="L111" s="59" t="str">
        <f>IF(B111="","",F111-IF(A111=$C$38,$C$30,0))</f>
        <v/>
      </c>
      <c r="M111" s="78" t="str">
        <f>IF(B111="","",$C$37*(1+$C$13)^(-C111))</f>
        <v/>
      </c>
      <c r="N111" s="59" t="str">
        <f>IF(B111="","",L111*M111)</f>
        <v/>
      </c>
      <c r="O111" s="59" t="str">
        <f>IF(B111="","",IF(B111="Básico",F111,0)-IF(A111=$C$38,$C$30,0))</f>
        <v/>
      </c>
      <c r="P111" s="77">
        <f>IF(B111="",$C$31,D111)</f>
        <v>46295.0</v>
      </c>
      <c r="Q111" s="59">
        <f>IF(B111="",0,L111)</f>
        <v>0</v>
      </c>
      <c r="R111" s="59">
        <f>IF(B111="",0,-F111)</f>
        <v>0</v>
      </c>
      <c r="S111" s="59" t="str">
        <f>IF(B111="","",O111*M111)</f>
        <v/>
      </c>
    </row>
    <row r="112">
      <c r="A112" s="7" t="n">
        <v>67</v>
      </c>
      <c r="B112" s="7" t="str">
        <f>IF(A112&gt;$C$38,"",IF(A112&lt;=$C$5,"Básico",IF($C$6&gt;0,"Sucesivo","Opción de compra")))</f>
        <v/>
      </c>
      <c r="C112" s="7" t="str">
        <f>IF(B112="","",IF(B112="Opción de compra",$C$5,A112-$C$7))</f>
        <v/>
      </c>
      <c r="D112" s="77" t="str">
        <f>IF(B112="","",EDATE($C$33,C112))</f>
        <v/>
      </c>
      <c r="E112" s="59" t="str">
        <f>IF(B112="","",I111)</f>
        <v/>
      </c>
      <c r="F112" s="59" t="str">
        <f>IF(B112="","",IF(B112="Básico",$C$24,IF(B112="Sucesivo",$C$25,$C$26)))</f>
        <v/>
      </c>
      <c r="G112" s="59" t="str">
        <f>IF(B112="","",IF(B112="Opción de compra",0,(E112-$C$7*F112)*IF(B112="Sucesivo",$C$11,$C$9)))</f>
        <v/>
      </c>
      <c r="H112" s="59" t="str">
        <f>IF(B112="","",F112-G112)</f>
        <v/>
      </c>
      <c r="I112" s="59" t="str">
        <f>IF(B112="","",E112-H112)</f>
        <v/>
      </c>
      <c r="J112" s="59" t="str">
        <f>IF(B112="","",IF(OR(inp_Tipo="Arrendamiento Puro",par_BaseIVAFin="Sobre renta",B112="Opción de compra"),F112,G112)*$C$14)</f>
        <v/>
      </c>
      <c r="K112" s="59" t="str">
        <f>IF(B112="","",F112+J112)</f>
        <v/>
      </c>
      <c r="L112" s="59" t="str">
        <f>IF(B112="","",F112-IF(A112=$C$38,$C$30,0))</f>
        <v/>
      </c>
      <c r="M112" s="78" t="str">
        <f>IF(B112="","",$C$37*(1+$C$13)^(-C112))</f>
        <v/>
      </c>
      <c r="N112" s="59" t="str">
        <f>IF(B112="","",L112*M112)</f>
        <v/>
      </c>
      <c r="O112" s="59" t="str">
        <f>IF(B112="","",IF(B112="Básico",F112,0)-IF(A112=$C$38,$C$30,0))</f>
        <v/>
      </c>
      <c r="P112" s="77">
        <f>IF(B112="",$C$31,D112)</f>
        <v>46295.0</v>
      </c>
      <c r="Q112" s="59">
        <f>IF(B112="",0,L112)</f>
        <v>0</v>
      </c>
      <c r="R112" s="59">
        <f>IF(B112="",0,-F112)</f>
        <v>0</v>
      </c>
      <c r="S112" s="59" t="str">
        <f>IF(B112="","",O112*M112)</f>
        <v/>
      </c>
    </row>
    <row r="113">
      <c r="A113" s="7" t="n">
        <v>68</v>
      </c>
      <c r="B113" s="7" t="str">
        <f>IF(A113&gt;$C$38,"",IF(A113&lt;=$C$5,"Básico",IF($C$6&gt;0,"Sucesivo","Opción de compra")))</f>
        <v/>
      </c>
      <c r="C113" s="7" t="str">
        <f>IF(B113="","",IF(B113="Opción de compra",$C$5,A113-$C$7))</f>
        <v/>
      </c>
      <c r="D113" s="77" t="str">
        <f>IF(B113="","",EDATE($C$33,C113))</f>
        <v/>
      </c>
      <c r="E113" s="59" t="str">
        <f>IF(B113="","",I112)</f>
        <v/>
      </c>
      <c r="F113" s="59" t="str">
        <f>IF(B113="","",IF(B113="Básico",$C$24,IF(B113="Sucesivo",$C$25,$C$26)))</f>
        <v/>
      </c>
      <c r="G113" s="59" t="str">
        <f>IF(B113="","",IF(B113="Opción de compra",0,(E113-$C$7*F113)*IF(B113="Sucesivo",$C$11,$C$9)))</f>
        <v/>
      </c>
      <c r="H113" s="59" t="str">
        <f>IF(B113="","",F113-G113)</f>
        <v/>
      </c>
      <c r="I113" s="59" t="str">
        <f>IF(B113="","",E113-H113)</f>
        <v/>
      </c>
      <c r="J113" s="59" t="str">
        <f>IF(B113="","",IF(OR(inp_Tipo="Arrendamiento Puro",par_BaseIVAFin="Sobre renta",B113="Opción de compra"),F113,G113)*$C$14)</f>
        <v/>
      </c>
      <c r="K113" s="59" t="str">
        <f>IF(B113="","",F113+J113)</f>
        <v/>
      </c>
      <c r="L113" s="59" t="str">
        <f>IF(B113="","",F113-IF(A113=$C$38,$C$30,0))</f>
        <v/>
      </c>
      <c r="M113" s="78" t="str">
        <f>IF(B113="","",$C$37*(1+$C$13)^(-C113))</f>
        <v/>
      </c>
      <c r="N113" s="59" t="str">
        <f>IF(B113="","",L113*M113)</f>
        <v/>
      </c>
      <c r="O113" s="59" t="str">
        <f>IF(B113="","",IF(B113="Básico",F113,0)-IF(A113=$C$38,$C$30,0))</f>
        <v/>
      </c>
      <c r="P113" s="77">
        <f>IF(B113="",$C$31,D113)</f>
        <v>46295.0</v>
      </c>
      <c r="Q113" s="59">
        <f>IF(B113="",0,L113)</f>
        <v>0</v>
      </c>
      <c r="R113" s="59">
        <f>IF(B113="",0,-F113)</f>
        <v>0</v>
      </c>
      <c r="S113" s="59" t="str">
        <f>IF(B113="","",O113*M113)</f>
        <v/>
      </c>
    </row>
    <row r="114">
      <c r="A114" s="7" t="n">
        <v>69</v>
      </c>
      <c r="B114" s="7" t="str">
        <f>IF(A114&gt;$C$38,"",IF(A114&lt;=$C$5,"Básico",IF($C$6&gt;0,"Sucesivo","Opción de compra")))</f>
        <v/>
      </c>
      <c r="C114" s="7" t="str">
        <f>IF(B114="","",IF(B114="Opción de compra",$C$5,A114-$C$7))</f>
        <v/>
      </c>
      <c r="D114" s="77" t="str">
        <f>IF(B114="","",EDATE($C$33,C114))</f>
        <v/>
      </c>
      <c r="E114" s="59" t="str">
        <f>IF(B114="","",I113)</f>
        <v/>
      </c>
      <c r="F114" s="59" t="str">
        <f>IF(B114="","",IF(B114="Básico",$C$24,IF(B114="Sucesivo",$C$25,$C$26)))</f>
        <v/>
      </c>
      <c r="G114" s="59" t="str">
        <f>IF(B114="","",IF(B114="Opción de compra",0,(E114-$C$7*F114)*IF(B114="Sucesivo",$C$11,$C$9)))</f>
        <v/>
      </c>
      <c r="H114" s="59" t="str">
        <f>IF(B114="","",F114-G114)</f>
        <v/>
      </c>
      <c r="I114" s="59" t="str">
        <f>IF(B114="","",E114-H114)</f>
        <v/>
      </c>
      <c r="J114" s="59" t="str">
        <f>IF(B114="","",IF(OR(inp_Tipo="Arrendamiento Puro",par_BaseIVAFin="Sobre renta",B114="Opción de compra"),F114,G114)*$C$14)</f>
        <v/>
      </c>
      <c r="K114" s="59" t="str">
        <f>IF(B114="","",F114+J114)</f>
        <v/>
      </c>
      <c r="L114" s="59" t="str">
        <f>IF(B114="","",F114-IF(A114=$C$38,$C$30,0))</f>
        <v/>
      </c>
      <c r="M114" s="78" t="str">
        <f>IF(B114="","",$C$37*(1+$C$13)^(-C114))</f>
        <v/>
      </c>
      <c r="N114" s="59" t="str">
        <f>IF(B114="","",L114*M114)</f>
        <v/>
      </c>
      <c r="O114" s="59" t="str">
        <f>IF(B114="","",IF(B114="Básico",F114,0)-IF(A114=$C$38,$C$30,0))</f>
        <v/>
      </c>
      <c r="P114" s="77">
        <f>IF(B114="",$C$31,D114)</f>
        <v>46295.0</v>
      </c>
      <c r="Q114" s="59">
        <f>IF(B114="",0,L114)</f>
        <v>0</v>
      </c>
      <c r="R114" s="59">
        <f>IF(B114="",0,-F114)</f>
        <v>0</v>
      </c>
      <c r="S114" s="59" t="str">
        <f>IF(B114="","",O114*M114)</f>
        <v/>
      </c>
    </row>
    <row r="115">
      <c r="A115" s="7" t="n">
        <v>70</v>
      </c>
      <c r="B115" s="7" t="str">
        <f>IF(A115&gt;$C$38,"",IF(A115&lt;=$C$5,"Básico",IF($C$6&gt;0,"Sucesivo","Opción de compra")))</f>
        <v/>
      </c>
      <c r="C115" s="7" t="str">
        <f>IF(B115="","",IF(B115="Opción de compra",$C$5,A115-$C$7))</f>
        <v/>
      </c>
      <c r="D115" s="77" t="str">
        <f>IF(B115="","",EDATE($C$33,C115))</f>
        <v/>
      </c>
      <c r="E115" s="59" t="str">
        <f>IF(B115="","",I114)</f>
        <v/>
      </c>
      <c r="F115" s="59" t="str">
        <f>IF(B115="","",IF(B115="Básico",$C$24,IF(B115="Sucesivo",$C$25,$C$26)))</f>
        <v/>
      </c>
      <c r="G115" s="59" t="str">
        <f>IF(B115="","",IF(B115="Opción de compra",0,(E115-$C$7*F115)*IF(B115="Sucesivo",$C$11,$C$9)))</f>
        <v/>
      </c>
      <c r="H115" s="59" t="str">
        <f>IF(B115="","",F115-G115)</f>
        <v/>
      </c>
      <c r="I115" s="59" t="str">
        <f>IF(B115="","",E115-H115)</f>
        <v/>
      </c>
      <c r="J115" s="59" t="str">
        <f>IF(B115="","",IF(OR(inp_Tipo="Arrendamiento Puro",par_BaseIVAFin="Sobre renta",B115="Opción de compra"),F115,G115)*$C$14)</f>
        <v/>
      </c>
      <c r="K115" s="59" t="str">
        <f>IF(B115="","",F115+J115)</f>
        <v/>
      </c>
      <c r="L115" s="59" t="str">
        <f>IF(B115="","",F115-IF(A115=$C$38,$C$30,0))</f>
        <v/>
      </c>
      <c r="M115" s="78" t="str">
        <f>IF(B115="","",$C$37*(1+$C$13)^(-C115))</f>
        <v/>
      </c>
      <c r="N115" s="59" t="str">
        <f>IF(B115="","",L115*M115)</f>
        <v/>
      </c>
      <c r="O115" s="59" t="str">
        <f>IF(B115="","",IF(B115="Básico",F115,0)-IF(A115=$C$38,$C$30,0))</f>
        <v/>
      </c>
      <c r="P115" s="77">
        <f>IF(B115="",$C$31,D115)</f>
        <v>46295.0</v>
      </c>
      <c r="Q115" s="59">
        <f>IF(B115="",0,L115)</f>
        <v>0</v>
      </c>
      <c r="R115" s="59">
        <f>IF(B115="",0,-F115)</f>
        <v>0</v>
      </c>
      <c r="S115" s="59" t="str">
        <f>IF(B115="","",O115*M115)</f>
        <v/>
      </c>
    </row>
    <row r="116">
      <c r="A116" s="7" t="n">
        <v>71</v>
      </c>
      <c r="B116" s="7" t="str">
        <f>IF(A116&gt;$C$38,"",IF(A116&lt;=$C$5,"Básico",IF($C$6&gt;0,"Sucesivo","Opción de compra")))</f>
        <v/>
      </c>
      <c r="C116" s="7" t="str">
        <f>IF(B116="","",IF(B116="Opción de compra",$C$5,A116-$C$7))</f>
        <v/>
      </c>
      <c r="D116" s="77" t="str">
        <f>IF(B116="","",EDATE($C$33,C116))</f>
        <v/>
      </c>
      <c r="E116" s="59" t="str">
        <f>IF(B116="","",I115)</f>
        <v/>
      </c>
      <c r="F116" s="59" t="str">
        <f>IF(B116="","",IF(B116="Básico",$C$24,IF(B116="Sucesivo",$C$25,$C$26)))</f>
        <v/>
      </c>
      <c r="G116" s="59" t="str">
        <f>IF(B116="","",IF(B116="Opción de compra",0,(E116-$C$7*F116)*IF(B116="Sucesivo",$C$11,$C$9)))</f>
        <v/>
      </c>
      <c r="H116" s="59" t="str">
        <f>IF(B116="","",F116-G116)</f>
        <v/>
      </c>
      <c r="I116" s="59" t="str">
        <f>IF(B116="","",E116-H116)</f>
        <v/>
      </c>
      <c r="J116" s="59" t="str">
        <f>IF(B116="","",IF(OR(inp_Tipo="Arrendamiento Puro",par_BaseIVAFin="Sobre renta",B116="Opción de compra"),F116,G116)*$C$14)</f>
        <v/>
      </c>
      <c r="K116" s="59" t="str">
        <f>IF(B116="","",F116+J116)</f>
        <v/>
      </c>
      <c r="L116" s="59" t="str">
        <f>IF(B116="","",F116-IF(A116=$C$38,$C$30,0))</f>
        <v/>
      </c>
      <c r="M116" s="78" t="str">
        <f>IF(B116="","",$C$37*(1+$C$13)^(-C116))</f>
        <v/>
      </c>
      <c r="N116" s="59" t="str">
        <f>IF(B116="","",L116*M116)</f>
        <v/>
      </c>
      <c r="O116" s="59" t="str">
        <f>IF(B116="","",IF(B116="Básico",F116,0)-IF(A116=$C$38,$C$30,0))</f>
        <v/>
      </c>
      <c r="P116" s="77">
        <f>IF(B116="",$C$31,D116)</f>
        <v>46295.0</v>
      </c>
      <c r="Q116" s="59">
        <f>IF(B116="",0,L116)</f>
        <v>0</v>
      </c>
      <c r="R116" s="59">
        <f>IF(B116="",0,-F116)</f>
        <v>0</v>
      </c>
      <c r="S116" s="59" t="str">
        <f>IF(B116="","",O116*M116)</f>
        <v/>
      </c>
    </row>
    <row r="117">
      <c r="A117" s="7" t="n">
        <v>72</v>
      </c>
      <c r="B117" s="7" t="str">
        <f>IF(A117&gt;$C$38,"",IF(A117&lt;=$C$5,"Básico",IF($C$6&gt;0,"Sucesivo","Opción de compra")))</f>
        <v/>
      </c>
      <c r="C117" s="7" t="str">
        <f>IF(B117="","",IF(B117="Opción de compra",$C$5,A117-$C$7))</f>
        <v/>
      </c>
      <c r="D117" s="77" t="str">
        <f>IF(B117="","",EDATE($C$33,C117))</f>
        <v/>
      </c>
      <c r="E117" s="59" t="str">
        <f>IF(B117="","",I116)</f>
        <v/>
      </c>
      <c r="F117" s="59" t="str">
        <f>IF(B117="","",IF(B117="Básico",$C$24,IF(B117="Sucesivo",$C$25,$C$26)))</f>
        <v/>
      </c>
      <c r="G117" s="59" t="str">
        <f>IF(B117="","",IF(B117="Opción de compra",0,(E117-$C$7*F117)*IF(B117="Sucesivo",$C$11,$C$9)))</f>
        <v/>
      </c>
      <c r="H117" s="59" t="str">
        <f>IF(B117="","",F117-G117)</f>
        <v/>
      </c>
      <c r="I117" s="59" t="str">
        <f>IF(B117="","",E117-H117)</f>
        <v/>
      </c>
      <c r="J117" s="59" t="str">
        <f>IF(B117="","",IF(OR(inp_Tipo="Arrendamiento Puro",par_BaseIVAFin="Sobre renta",B117="Opción de compra"),F117,G117)*$C$14)</f>
        <v/>
      </c>
      <c r="K117" s="59" t="str">
        <f>IF(B117="","",F117+J117)</f>
        <v/>
      </c>
      <c r="L117" s="59" t="str">
        <f>IF(B117="","",F117-IF(A117=$C$38,$C$30,0))</f>
        <v/>
      </c>
      <c r="M117" s="78" t="str">
        <f>IF(B117="","",$C$37*(1+$C$13)^(-C117))</f>
        <v/>
      </c>
      <c r="N117" s="59" t="str">
        <f>IF(B117="","",L117*M117)</f>
        <v/>
      </c>
      <c r="O117" s="59" t="str">
        <f>IF(B117="","",IF(B117="Básico",F117,0)-IF(A117=$C$38,$C$30,0))</f>
        <v/>
      </c>
      <c r="P117" s="77">
        <f>IF(B117="",$C$31,D117)</f>
        <v>46295.0</v>
      </c>
      <c r="Q117" s="59">
        <f>IF(B117="",0,L117)</f>
        <v>0</v>
      </c>
      <c r="R117" s="59">
        <f>IF(B117="",0,-F117)</f>
        <v>0</v>
      </c>
      <c r="S117" s="59" t="str">
        <f>IF(B117="","",O117*M117)</f>
        <v/>
      </c>
    </row>
    <row r="118">
      <c r="A118" s="7" t="n">
        <v>73</v>
      </c>
      <c r="B118" s="7" t="str">
        <f>IF(A118&gt;$C$38,"",IF(A118&lt;=$C$5,"Básico",IF($C$6&gt;0,"Sucesivo","Opción de compra")))</f>
        <v/>
      </c>
      <c r="C118" s="7" t="str">
        <f>IF(B118="","",IF(B118="Opción de compra",$C$5,A118-$C$7))</f>
        <v/>
      </c>
      <c r="D118" s="77" t="str">
        <f>IF(B118="","",EDATE($C$33,C118))</f>
        <v/>
      </c>
      <c r="E118" s="59" t="str">
        <f>IF(B118="","",I117)</f>
        <v/>
      </c>
      <c r="F118" s="59" t="str">
        <f>IF(B118="","",IF(B118="Básico",$C$24,IF(B118="Sucesivo",$C$25,$C$26)))</f>
        <v/>
      </c>
      <c r="G118" s="59" t="str">
        <f>IF(B118="","",IF(B118="Opción de compra",0,(E118-$C$7*F118)*IF(B118="Sucesivo",$C$11,$C$9)))</f>
        <v/>
      </c>
      <c r="H118" s="59" t="str">
        <f>IF(B118="","",F118-G118)</f>
        <v/>
      </c>
      <c r="I118" s="59" t="str">
        <f>IF(B118="","",E118-H118)</f>
        <v/>
      </c>
      <c r="J118" s="59" t="str">
        <f>IF(B118="","",IF(OR(inp_Tipo="Arrendamiento Puro",par_BaseIVAFin="Sobre renta",B118="Opción de compra"),F118,G118)*$C$14)</f>
        <v/>
      </c>
      <c r="K118" s="59" t="str">
        <f>IF(B118="","",F118+J118)</f>
        <v/>
      </c>
      <c r="L118" s="59" t="str">
        <f>IF(B118="","",F118-IF(A118=$C$38,$C$30,0))</f>
        <v/>
      </c>
      <c r="M118" s="78" t="str">
        <f>IF(B118="","",$C$37*(1+$C$13)^(-C118))</f>
        <v/>
      </c>
      <c r="N118" s="59" t="str">
        <f>IF(B118="","",L118*M118)</f>
        <v/>
      </c>
      <c r="O118" s="59" t="str">
        <f>IF(B118="","",IF(B118="Básico",F118,0)-IF(A118=$C$38,$C$30,0))</f>
        <v/>
      </c>
      <c r="P118" s="77">
        <f>IF(B118="",$C$31,D118)</f>
        <v>46295.0</v>
      </c>
      <c r="Q118" s="59">
        <f>IF(B118="",0,L118)</f>
        <v>0</v>
      </c>
      <c r="R118" s="59">
        <f>IF(B118="",0,-F118)</f>
        <v>0</v>
      </c>
      <c r="S118" s="59" t="str">
        <f>IF(B118="","",O118*M118)</f>
        <v/>
      </c>
    </row>
    <row r="119">
      <c r="A119" s="7" t="n">
        <v>74</v>
      </c>
      <c r="B119" s="7" t="str">
        <f>IF(A119&gt;$C$38,"",IF(A119&lt;=$C$5,"Básico",IF($C$6&gt;0,"Sucesivo","Opción de compra")))</f>
        <v/>
      </c>
      <c r="C119" s="7" t="str">
        <f>IF(B119="","",IF(B119="Opción de compra",$C$5,A119-$C$7))</f>
        <v/>
      </c>
      <c r="D119" s="77" t="str">
        <f>IF(B119="","",EDATE($C$33,C119))</f>
        <v/>
      </c>
      <c r="E119" s="59" t="str">
        <f>IF(B119="","",I118)</f>
        <v/>
      </c>
      <c r="F119" s="59" t="str">
        <f>IF(B119="","",IF(B119="Básico",$C$24,IF(B119="Sucesivo",$C$25,$C$26)))</f>
        <v/>
      </c>
      <c r="G119" s="59" t="str">
        <f>IF(B119="","",IF(B119="Opción de compra",0,(E119-$C$7*F119)*IF(B119="Sucesivo",$C$11,$C$9)))</f>
        <v/>
      </c>
      <c r="H119" s="59" t="str">
        <f>IF(B119="","",F119-G119)</f>
        <v/>
      </c>
      <c r="I119" s="59" t="str">
        <f>IF(B119="","",E119-H119)</f>
        <v/>
      </c>
      <c r="J119" s="59" t="str">
        <f>IF(B119="","",IF(OR(inp_Tipo="Arrendamiento Puro",par_BaseIVAFin="Sobre renta",B119="Opción de compra"),F119,G119)*$C$14)</f>
        <v/>
      </c>
      <c r="K119" s="59" t="str">
        <f>IF(B119="","",F119+J119)</f>
        <v/>
      </c>
      <c r="L119" s="59" t="str">
        <f>IF(B119="","",F119-IF(A119=$C$38,$C$30,0))</f>
        <v/>
      </c>
      <c r="M119" s="78" t="str">
        <f>IF(B119="","",$C$37*(1+$C$13)^(-C119))</f>
        <v/>
      </c>
      <c r="N119" s="59" t="str">
        <f>IF(B119="","",L119*M119)</f>
        <v/>
      </c>
      <c r="O119" s="59" t="str">
        <f>IF(B119="","",IF(B119="Básico",F119,0)-IF(A119=$C$38,$C$30,0))</f>
        <v/>
      </c>
      <c r="P119" s="77">
        <f>IF(B119="",$C$31,D119)</f>
        <v>46295.0</v>
      </c>
      <c r="Q119" s="59">
        <f>IF(B119="",0,L119)</f>
        <v>0</v>
      </c>
      <c r="R119" s="59">
        <f>IF(B119="",0,-F119)</f>
        <v>0</v>
      </c>
      <c r="S119" s="59" t="str">
        <f>IF(B119="","",O119*M119)</f>
        <v/>
      </c>
    </row>
    <row r="120">
      <c r="A120" s="7" t="n">
        <v>75</v>
      </c>
      <c r="B120" s="7" t="str">
        <f>IF(A120&gt;$C$38,"",IF(A120&lt;=$C$5,"Básico",IF($C$6&gt;0,"Sucesivo","Opción de compra")))</f>
        <v/>
      </c>
      <c r="C120" s="7" t="str">
        <f>IF(B120="","",IF(B120="Opción de compra",$C$5,A120-$C$7))</f>
        <v/>
      </c>
      <c r="D120" s="77" t="str">
        <f>IF(B120="","",EDATE($C$33,C120))</f>
        <v/>
      </c>
      <c r="E120" s="59" t="str">
        <f>IF(B120="","",I119)</f>
        <v/>
      </c>
      <c r="F120" s="59" t="str">
        <f>IF(B120="","",IF(B120="Básico",$C$24,IF(B120="Sucesivo",$C$25,$C$26)))</f>
        <v/>
      </c>
      <c r="G120" s="59" t="str">
        <f>IF(B120="","",IF(B120="Opción de compra",0,(E120-$C$7*F120)*IF(B120="Sucesivo",$C$11,$C$9)))</f>
        <v/>
      </c>
      <c r="H120" s="59" t="str">
        <f>IF(B120="","",F120-G120)</f>
        <v/>
      </c>
      <c r="I120" s="59" t="str">
        <f>IF(B120="","",E120-H120)</f>
        <v/>
      </c>
      <c r="J120" s="59" t="str">
        <f>IF(B120="","",IF(OR(inp_Tipo="Arrendamiento Puro",par_BaseIVAFin="Sobre renta",B120="Opción de compra"),F120,G120)*$C$14)</f>
        <v/>
      </c>
      <c r="K120" s="59" t="str">
        <f>IF(B120="","",F120+J120)</f>
        <v/>
      </c>
      <c r="L120" s="59" t="str">
        <f>IF(B120="","",F120-IF(A120=$C$38,$C$30,0))</f>
        <v/>
      </c>
      <c r="M120" s="78" t="str">
        <f>IF(B120="","",$C$37*(1+$C$13)^(-C120))</f>
        <v/>
      </c>
      <c r="N120" s="59" t="str">
        <f>IF(B120="","",L120*M120)</f>
        <v/>
      </c>
      <c r="O120" s="59" t="str">
        <f>IF(B120="","",IF(B120="Básico",F120,0)-IF(A120=$C$38,$C$30,0))</f>
        <v/>
      </c>
      <c r="P120" s="77">
        <f>IF(B120="",$C$31,D120)</f>
        <v>46295.0</v>
      </c>
      <c r="Q120" s="59">
        <f>IF(B120="",0,L120)</f>
        <v>0</v>
      </c>
      <c r="R120" s="59">
        <f>IF(B120="",0,-F120)</f>
        <v>0</v>
      </c>
      <c r="S120" s="59" t="str">
        <f>IF(B120="","",O120*M120)</f>
        <v/>
      </c>
    </row>
    <row r="121">
      <c r="A121" s="7" t="n">
        <v>76</v>
      </c>
      <c r="B121" s="7" t="str">
        <f>IF(A121&gt;$C$38,"",IF(A121&lt;=$C$5,"Básico",IF($C$6&gt;0,"Sucesivo","Opción de compra")))</f>
        <v/>
      </c>
      <c r="C121" s="7" t="str">
        <f>IF(B121="","",IF(B121="Opción de compra",$C$5,A121-$C$7))</f>
        <v/>
      </c>
      <c r="D121" s="77" t="str">
        <f>IF(B121="","",EDATE($C$33,C121))</f>
        <v/>
      </c>
      <c r="E121" s="59" t="str">
        <f>IF(B121="","",I120)</f>
        <v/>
      </c>
      <c r="F121" s="59" t="str">
        <f>IF(B121="","",IF(B121="Básico",$C$24,IF(B121="Sucesivo",$C$25,$C$26)))</f>
        <v/>
      </c>
      <c r="G121" s="59" t="str">
        <f>IF(B121="","",IF(B121="Opción de compra",0,(E121-$C$7*F121)*IF(B121="Sucesivo",$C$11,$C$9)))</f>
        <v/>
      </c>
      <c r="H121" s="59" t="str">
        <f>IF(B121="","",F121-G121)</f>
        <v/>
      </c>
      <c r="I121" s="59" t="str">
        <f>IF(B121="","",E121-H121)</f>
        <v/>
      </c>
      <c r="J121" s="59" t="str">
        <f>IF(B121="","",IF(OR(inp_Tipo="Arrendamiento Puro",par_BaseIVAFin="Sobre renta",B121="Opción de compra"),F121,G121)*$C$14)</f>
        <v/>
      </c>
      <c r="K121" s="59" t="str">
        <f>IF(B121="","",F121+J121)</f>
        <v/>
      </c>
      <c r="L121" s="59" t="str">
        <f>IF(B121="","",F121-IF(A121=$C$38,$C$30,0))</f>
        <v/>
      </c>
      <c r="M121" s="78" t="str">
        <f>IF(B121="","",$C$37*(1+$C$13)^(-C121))</f>
        <v/>
      </c>
      <c r="N121" s="59" t="str">
        <f>IF(B121="","",L121*M121)</f>
        <v/>
      </c>
      <c r="O121" s="59" t="str">
        <f>IF(B121="","",IF(B121="Básico",F121,0)-IF(A121=$C$38,$C$30,0))</f>
        <v/>
      </c>
      <c r="P121" s="77">
        <f>IF(B121="",$C$31,D121)</f>
        <v>46295.0</v>
      </c>
      <c r="Q121" s="59">
        <f>IF(B121="",0,L121)</f>
        <v>0</v>
      </c>
      <c r="R121" s="59">
        <f>IF(B121="",0,-F121)</f>
        <v>0</v>
      </c>
      <c r="S121" s="59" t="str">
        <f>IF(B121="","",O121*M121)</f>
        <v/>
      </c>
    </row>
    <row r="122">
      <c r="A122" s="7" t="n">
        <v>77</v>
      </c>
      <c r="B122" s="7" t="str">
        <f>IF(A122&gt;$C$38,"",IF(A122&lt;=$C$5,"Básico",IF($C$6&gt;0,"Sucesivo","Opción de compra")))</f>
        <v/>
      </c>
      <c r="C122" s="7" t="str">
        <f>IF(B122="","",IF(B122="Opción de compra",$C$5,A122-$C$7))</f>
        <v/>
      </c>
      <c r="D122" s="77" t="str">
        <f>IF(B122="","",EDATE($C$33,C122))</f>
        <v/>
      </c>
      <c r="E122" s="59" t="str">
        <f>IF(B122="","",I121)</f>
        <v/>
      </c>
      <c r="F122" s="59" t="str">
        <f>IF(B122="","",IF(B122="Básico",$C$24,IF(B122="Sucesivo",$C$25,$C$26)))</f>
        <v/>
      </c>
      <c r="G122" s="59" t="str">
        <f>IF(B122="","",IF(B122="Opción de compra",0,(E122-$C$7*F122)*IF(B122="Sucesivo",$C$11,$C$9)))</f>
        <v/>
      </c>
      <c r="H122" s="59" t="str">
        <f>IF(B122="","",F122-G122)</f>
        <v/>
      </c>
      <c r="I122" s="59" t="str">
        <f>IF(B122="","",E122-H122)</f>
        <v/>
      </c>
      <c r="J122" s="59" t="str">
        <f>IF(B122="","",IF(OR(inp_Tipo="Arrendamiento Puro",par_BaseIVAFin="Sobre renta",B122="Opción de compra"),F122,G122)*$C$14)</f>
        <v/>
      </c>
      <c r="K122" s="59" t="str">
        <f>IF(B122="","",F122+J122)</f>
        <v/>
      </c>
      <c r="L122" s="59" t="str">
        <f>IF(B122="","",F122-IF(A122=$C$38,$C$30,0))</f>
        <v/>
      </c>
      <c r="M122" s="78" t="str">
        <f>IF(B122="","",$C$37*(1+$C$13)^(-C122))</f>
        <v/>
      </c>
      <c r="N122" s="59" t="str">
        <f>IF(B122="","",L122*M122)</f>
        <v/>
      </c>
      <c r="O122" s="59" t="str">
        <f>IF(B122="","",IF(B122="Básico",F122,0)-IF(A122=$C$38,$C$30,0))</f>
        <v/>
      </c>
      <c r="P122" s="77">
        <f>IF(B122="",$C$31,D122)</f>
        <v>46295.0</v>
      </c>
      <c r="Q122" s="59">
        <f>IF(B122="",0,L122)</f>
        <v>0</v>
      </c>
      <c r="R122" s="59">
        <f>IF(B122="",0,-F122)</f>
        <v>0</v>
      </c>
      <c r="S122" s="59" t="str">
        <f>IF(B122="","",O122*M122)</f>
        <v/>
      </c>
    </row>
    <row r="123">
      <c r="A123" s="7" t="n">
        <v>78</v>
      </c>
      <c r="B123" s="7" t="str">
        <f>IF(A123&gt;$C$38,"",IF(A123&lt;=$C$5,"Básico",IF($C$6&gt;0,"Sucesivo","Opción de compra")))</f>
        <v/>
      </c>
      <c r="C123" s="7" t="str">
        <f>IF(B123="","",IF(B123="Opción de compra",$C$5,A123-$C$7))</f>
        <v/>
      </c>
      <c r="D123" s="77" t="str">
        <f>IF(B123="","",EDATE($C$33,C123))</f>
        <v/>
      </c>
      <c r="E123" s="59" t="str">
        <f>IF(B123="","",I122)</f>
        <v/>
      </c>
      <c r="F123" s="59" t="str">
        <f>IF(B123="","",IF(B123="Básico",$C$24,IF(B123="Sucesivo",$C$25,$C$26)))</f>
        <v/>
      </c>
      <c r="G123" s="59" t="str">
        <f>IF(B123="","",IF(B123="Opción de compra",0,(E123-$C$7*F123)*IF(B123="Sucesivo",$C$11,$C$9)))</f>
        <v/>
      </c>
      <c r="H123" s="59" t="str">
        <f>IF(B123="","",F123-G123)</f>
        <v/>
      </c>
      <c r="I123" s="59" t="str">
        <f>IF(B123="","",E123-H123)</f>
        <v/>
      </c>
      <c r="J123" s="59" t="str">
        <f>IF(B123="","",IF(OR(inp_Tipo="Arrendamiento Puro",par_BaseIVAFin="Sobre renta",B123="Opción de compra"),F123,G123)*$C$14)</f>
        <v/>
      </c>
      <c r="K123" s="59" t="str">
        <f>IF(B123="","",F123+J123)</f>
        <v/>
      </c>
      <c r="L123" s="59" t="str">
        <f>IF(B123="","",F123-IF(A123=$C$38,$C$30,0))</f>
        <v/>
      </c>
      <c r="M123" s="78" t="str">
        <f>IF(B123="","",$C$37*(1+$C$13)^(-C123))</f>
        <v/>
      </c>
      <c r="N123" s="59" t="str">
        <f>IF(B123="","",L123*M123)</f>
        <v/>
      </c>
      <c r="O123" s="59" t="str">
        <f>IF(B123="","",IF(B123="Básico",F123,0)-IF(A123=$C$38,$C$30,0))</f>
        <v/>
      </c>
      <c r="P123" s="77">
        <f>IF(B123="",$C$31,D123)</f>
        <v>46295.0</v>
      </c>
      <c r="Q123" s="59">
        <f>IF(B123="",0,L123)</f>
        <v>0</v>
      </c>
      <c r="R123" s="59">
        <f>IF(B123="",0,-F123)</f>
        <v>0</v>
      </c>
      <c r="S123" s="59" t="str">
        <f>IF(B123="","",O123*M123)</f>
        <v/>
      </c>
    </row>
    <row r="124">
      <c r="A124" s="7" t="n">
        <v>79</v>
      </c>
      <c r="B124" s="7" t="str">
        <f>IF(A124&gt;$C$38,"",IF(A124&lt;=$C$5,"Básico",IF($C$6&gt;0,"Sucesivo","Opción de compra")))</f>
        <v/>
      </c>
      <c r="C124" s="7" t="str">
        <f>IF(B124="","",IF(B124="Opción de compra",$C$5,A124-$C$7))</f>
        <v/>
      </c>
      <c r="D124" s="77" t="str">
        <f>IF(B124="","",EDATE($C$33,C124))</f>
        <v/>
      </c>
      <c r="E124" s="59" t="str">
        <f>IF(B124="","",I123)</f>
        <v/>
      </c>
      <c r="F124" s="59" t="str">
        <f>IF(B124="","",IF(B124="Básico",$C$24,IF(B124="Sucesivo",$C$25,$C$26)))</f>
        <v/>
      </c>
      <c r="G124" s="59" t="str">
        <f>IF(B124="","",IF(B124="Opción de compra",0,(E124-$C$7*F124)*IF(B124="Sucesivo",$C$11,$C$9)))</f>
        <v/>
      </c>
      <c r="H124" s="59" t="str">
        <f>IF(B124="","",F124-G124)</f>
        <v/>
      </c>
      <c r="I124" s="59" t="str">
        <f>IF(B124="","",E124-H124)</f>
        <v/>
      </c>
      <c r="J124" s="59" t="str">
        <f>IF(B124="","",IF(OR(inp_Tipo="Arrendamiento Puro",par_BaseIVAFin="Sobre renta",B124="Opción de compra"),F124,G124)*$C$14)</f>
        <v/>
      </c>
      <c r="K124" s="59" t="str">
        <f>IF(B124="","",F124+J124)</f>
        <v/>
      </c>
      <c r="L124" s="59" t="str">
        <f>IF(B124="","",F124-IF(A124=$C$38,$C$30,0))</f>
        <v/>
      </c>
      <c r="M124" s="78" t="str">
        <f>IF(B124="","",$C$37*(1+$C$13)^(-C124))</f>
        <v/>
      </c>
      <c r="N124" s="59" t="str">
        <f>IF(B124="","",L124*M124)</f>
        <v/>
      </c>
      <c r="O124" s="59" t="str">
        <f>IF(B124="","",IF(B124="Básico",F124,0)-IF(A124=$C$38,$C$30,0))</f>
        <v/>
      </c>
      <c r="P124" s="77">
        <f>IF(B124="",$C$31,D124)</f>
        <v>46295.0</v>
      </c>
      <c r="Q124" s="59">
        <f>IF(B124="",0,L124)</f>
        <v>0</v>
      </c>
      <c r="R124" s="59">
        <f>IF(B124="",0,-F124)</f>
        <v>0</v>
      </c>
      <c r="S124" s="59" t="str">
        <f>IF(B124="","",O124*M124)</f>
        <v/>
      </c>
    </row>
    <row r="125">
      <c r="A125" s="7" t="n">
        <v>80</v>
      </c>
      <c r="B125" s="7" t="str">
        <f>IF(A125&gt;$C$38,"",IF(A125&lt;=$C$5,"Básico",IF($C$6&gt;0,"Sucesivo","Opción de compra")))</f>
        <v/>
      </c>
      <c r="C125" s="7" t="str">
        <f>IF(B125="","",IF(B125="Opción de compra",$C$5,A125-$C$7))</f>
        <v/>
      </c>
      <c r="D125" s="77" t="str">
        <f>IF(B125="","",EDATE($C$33,C125))</f>
        <v/>
      </c>
      <c r="E125" s="59" t="str">
        <f>IF(B125="","",I124)</f>
        <v/>
      </c>
      <c r="F125" s="59" t="str">
        <f>IF(B125="","",IF(B125="Básico",$C$24,IF(B125="Sucesivo",$C$25,$C$26)))</f>
        <v/>
      </c>
      <c r="G125" s="59" t="str">
        <f>IF(B125="","",IF(B125="Opción de compra",0,(E125-$C$7*F125)*IF(B125="Sucesivo",$C$11,$C$9)))</f>
        <v/>
      </c>
      <c r="H125" s="59" t="str">
        <f>IF(B125="","",F125-G125)</f>
        <v/>
      </c>
      <c r="I125" s="59" t="str">
        <f>IF(B125="","",E125-H125)</f>
        <v/>
      </c>
      <c r="J125" s="59" t="str">
        <f>IF(B125="","",IF(OR(inp_Tipo="Arrendamiento Puro",par_BaseIVAFin="Sobre renta",B125="Opción de compra"),F125,G125)*$C$14)</f>
        <v/>
      </c>
      <c r="K125" s="59" t="str">
        <f>IF(B125="","",F125+J125)</f>
        <v/>
      </c>
      <c r="L125" s="59" t="str">
        <f>IF(B125="","",F125-IF(A125=$C$38,$C$30,0))</f>
        <v/>
      </c>
      <c r="M125" s="78" t="str">
        <f>IF(B125="","",$C$37*(1+$C$13)^(-C125))</f>
        <v/>
      </c>
      <c r="N125" s="59" t="str">
        <f>IF(B125="","",L125*M125)</f>
        <v/>
      </c>
      <c r="O125" s="59" t="str">
        <f>IF(B125="","",IF(B125="Básico",F125,0)-IF(A125=$C$38,$C$30,0))</f>
        <v/>
      </c>
      <c r="P125" s="77">
        <f>IF(B125="",$C$31,D125)</f>
        <v>46295.0</v>
      </c>
      <c r="Q125" s="59">
        <f>IF(B125="",0,L125)</f>
        <v>0</v>
      </c>
      <c r="R125" s="59">
        <f>IF(B125="",0,-F125)</f>
        <v>0</v>
      </c>
      <c r="S125" s="59" t="str">
        <f>IF(B125="","",O125*M125)</f>
        <v/>
      </c>
    </row>
    <row r="126">
      <c r="A126" s="7" t="n">
        <v>81</v>
      </c>
      <c r="B126" s="7" t="str">
        <f>IF(A126&gt;$C$38,"",IF(A126&lt;=$C$5,"Básico",IF($C$6&gt;0,"Sucesivo","Opción de compra")))</f>
        <v/>
      </c>
      <c r="C126" s="7" t="str">
        <f>IF(B126="","",IF(B126="Opción de compra",$C$5,A126-$C$7))</f>
        <v/>
      </c>
      <c r="D126" s="77" t="str">
        <f>IF(B126="","",EDATE($C$33,C126))</f>
        <v/>
      </c>
      <c r="E126" s="59" t="str">
        <f>IF(B126="","",I125)</f>
        <v/>
      </c>
      <c r="F126" s="59" t="str">
        <f>IF(B126="","",IF(B126="Básico",$C$24,IF(B126="Sucesivo",$C$25,$C$26)))</f>
        <v/>
      </c>
      <c r="G126" s="59" t="str">
        <f>IF(B126="","",IF(B126="Opción de compra",0,(E126-$C$7*F126)*IF(B126="Sucesivo",$C$11,$C$9)))</f>
        <v/>
      </c>
      <c r="H126" s="59" t="str">
        <f>IF(B126="","",F126-G126)</f>
        <v/>
      </c>
      <c r="I126" s="59" t="str">
        <f>IF(B126="","",E126-H126)</f>
        <v/>
      </c>
      <c r="J126" s="59" t="str">
        <f>IF(B126="","",IF(OR(inp_Tipo="Arrendamiento Puro",par_BaseIVAFin="Sobre renta",B126="Opción de compra"),F126,G126)*$C$14)</f>
        <v/>
      </c>
      <c r="K126" s="59" t="str">
        <f>IF(B126="","",F126+J126)</f>
        <v/>
      </c>
      <c r="L126" s="59" t="str">
        <f>IF(B126="","",F126-IF(A126=$C$38,$C$30,0))</f>
        <v/>
      </c>
      <c r="M126" s="78" t="str">
        <f>IF(B126="","",$C$37*(1+$C$13)^(-C126))</f>
        <v/>
      </c>
      <c r="N126" s="59" t="str">
        <f>IF(B126="","",L126*M126)</f>
        <v/>
      </c>
      <c r="O126" s="59" t="str">
        <f>IF(B126="","",IF(B126="Básico",F126,0)-IF(A126=$C$38,$C$30,0))</f>
        <v/>
      </c>
      <c r="P126" s="77">
        <f>IF(B126="",$C$31,D126)</f>
        <v>46295.0</v>
      </c>
      <c r="Q126" s="59">
        <f>IF(B126="",0,L126)</f>
        <v>0</v>
      </c>
      <c r="R126" s="59">
        <f>IF(B126="",0,-F126)</f>
        <v>0</v>
      </c>
      <c r="S126" s="59" t="str">
        <f>IF(B126="","",O126*M126)</f>
        <v/>
      </c>
    </row>
    <row r="127">
      <c r="A127" s="7" t="n">
        <v>82</v>
      </c>
      <c r="B127" s="7" t="str">
        <f>IF(A127&gt;$C$38,"",IF(A127&lt;=$C$5,"Básico",IF($C$6&gt;0,"Sucesivo","Opción de compra")))</f>
        <v/>
      </c>
      <c r="C127" s="7" t="str">
        <f>IF(B127="","",IF(B127="Opción de compra",$C$5,A127-$C$7))</f>
        <v/>
      </c>
      <c r="D127" s="77" t="str">
        <f>IF(B127="","",EDATE($C$33,C127))</f>
        <v/>
      </c>
      <c r="E127" s="59" t="str">
        <f>IF(B127="","",I126)</f>
        <v/>
      </c>
      <c r="F127" s="59" t="str">
        <f>IF(B127="","",IF(B127="Básico",$C$24,IF(B127="Sucesivo",$C$25,$C$26)))</f>
        <v/>
      </c>
      <c r="G127" s="59" t="str">
        <f>IF(B127="","",IF(B127="Opción de compra",0,(E127-$C$7*F127)*IF(B127="Sucesivo",$C$11,$C$9)))</f>
        <v/>
      </c>
      <c r="H127" s="59" t="str">
        <f>IF(B127="","",F127-G127)</f>
        <v/>
      </c>
      <c r="I127" s="59" t="str">
        <f>IF(B127="","",E127-H127)</f>
        <v/>
      </c>
      <c r="J127" s="59" t="str">
        <f>IF(B127="","",IF(OR(inp_Tipo="Arrendamiento Puro",par_BaseIVAFin="Sobre renta",B127="Opción de compra"),F127,G127)*$C$14)</f>
        <v/>
      </c>
      <c r="K127" s="59" t="str">
        <f>IF(B127="","",F127+J127)</f>
        <v/>
      </c>
      <c r="L127" s="59" t="str">
        <f>IF(B127="","",F127-IF(A127=$C$38,$C$30,0))</f>
        <v/>
      </c>
      <c r="M127" s="78" t="str">
        <f>IF(B127="","",$C$37*(1+$C$13)^(-C127))</f>
        <v/>
      </c>
      <c r="N127" s="59" t="str">
        <f>IF(B127="","",L127*M127)</f>
        <v/>
      </c>
      <c r="O127" s="59" t="str">
        <f>IF(B127="","",IF(B127="Básico",F127,0)-IF(A127=$C$38,$C$30,0))</f>
        <v/>
      </c>
      <c r="P127" s="77">
        <f>IF(B127="",$C$31,D127)</f>
        <v>46295.0</v>
      </c>
      <c r="Q127" s="59">
        <f>IF(B127="",0,L127)</f>
        <v>0</v>
      </c>
      <c r="R127" s="59">
        <f>IF(B127="",0,-F127)</f>
        <v>0</v>
      </c>
      <c r="S127" s="59" t="str">
        <f>IF(B127="","",O127*M127)</f>
        <v/>
      </c>
    </row>
    <row r="128">
      <c r="A128" s="7" t="n">
        <v>83</v>
      </c>
      <c r="B128" s="7" t="str">
        <f>IF(A128&gt;$C$38,"",IF(A128&lt;=$C$5,"Básico",IF($C$6&gt;0,"Sucesivo","Opción de compra")))</f>
        <v/>
      </c>
      <c r="C128" s="7" t="str">
        <f>IF(B128="","",IF(B128="Opción de compra",$C$5,A128-$C$7))</f>
        <v/>
      </c>
      <c r="D128" s="77" t="str">
        <f>IF(B128="","",EDATE($C$33,C128))</f>
        <v/>
      </c>
      <c r="E128" s="59" t="str">
        <f>IF(B128="","",I127)</f>
        <v/>
      </c>
      <c r="F128" s="59" t="str">
        <f>IF(B128="","",IF(B128="Básico",$C$24,IF(B128="Sucesivo",$C$25,$C$26)))</f>
        <v/>
      </c>
      <c r="G128" s="59" t="str">
        <f>IF(B128="","",IF(B128="Opción de compra",0,(E128-$C$7*F128)*IF(B128="Sucesivo",$C$11,$C$9)))</f>
        <v/>
      </c>
      <c r="H128" s="59" t="str">
        <f>IF(B128="","",F128-G128)</f>
        <v/>
      </c>
      <c r="I128" s="59" t="str">
        <f>IF(B128="","",E128-H128)</f>
        <v/>
      </c>
      <c r="J128" s="59" t="str">
        <f>IF(B128="","",IF(OR(inp_Tipo="Arrendamiento Puro",par_BaseIVAFin="Sobre renta",B128="Opción de compra"),F128,G128)*$C$14)</f>
        <v/>
      </c>
      <c r="K128" s="59" t="str">
        <f>IF(B128="","",F128+J128)</f>
        <v/>
      </c>
      <c r="L128" s="59" t="str">
        <f>IF(B128="","",F128-IF(A128=$C$38,$C$30,0))</f>
        <v/>
      </c>
      <c r="M128" s="78" t="str">
        <f>IF(B128="","",$C$37*(1+$C$13)^(-C128))</f>
        <v/>
      </c>
      <c r="N128" s="59" t="str">
        <f>IF(B128="","",L128*M128)</f>
        <v/>
      </c>
      <c r="O128" s="59" t="str">
        <f>IF(B128="","",IF(B128="Básico",F128,0)-IF(A128=$C$38,$C$30,0))</f>
        <v/>
      </c>
      <c r="P128" s="77">
        <f>IF(B128="",$C$31,D128)</f>
        <v>46295.0</v>
      </c>
      <c r="Q128" s="59">
        <f>IF(B128="",0,L128)</f>
        <v>0</v>
      </c>
      <c r="R128" s="59">
        <f>IF(B128="",0,-F128)</f>
        <v>0</v>
      </c>
      <c r="S128" s="59" t="str">
        <f>IF(B128="","",O128*M128)</f>
        <v/>
      </c>
    </row>
    <row r="129">
      <c r="A129" s="7" t="n">
        <v>84</v>
      </c>
      <c r="B129" s="7" t="str">
        <f>IF(A129&gt;$C$38,"",IF(A129&lt;=$C$5,"Básico",IF($C$6&gt;0,"Sucesivo","Opción de compra")))</f>
        <v/>
      </c>
      <c r="C129" s="7" t="str">
        <f>IF(B129="","",IF(B129="Opción de compra",$C$5,A129-$C$7))</f>
        <v/>
      </c>
      <c r="D129" s="77" t="str">
        <f>IF(B129="","",EDATE($C$33,C129))</f>
        <v/>
      </c>
      <c r="E129" s="59" t="str">
        <f>IF(B129="","",I128)</f>
        <v/>
      </c>
      <c r="F129" s="59" t="str">
        <f>IF(B129="","",IF(B129="Básico",$C$24,IF(B129="Sucesivo",$C$25,$C$26)))</f>
        <v/>
      </c>
      <c r="G129" s="59" t="str">
        <f>IF(B129="","",IF(B129="Opción de compra",0,(E129-$C$7*F129)*IF(B129="Sucesivo",$C$11,$C$9)))</f>
        <v/>
      </c>
      <c r="H129" s="59" t="str">
        <f>IF(B129="","",F129-G129)</f>
        <v/>
      </c>
      <c r="I129" s="59" t="str">
        <f>IF(B129="","",E129-H129)</f>
        <v/>
      </c>
      <c r="J129" s="59" t="str">
        <f>IF(B129="","",IF(OR(inp_Tipo="Arrendamiento Puro",par_BaseIVAFin="Sobre renta",B129="Opción de compra"),F129,G129)*$C$14)</f>
        <v/>
      </c>
      <c r="K129" s="59" t="str">
        <f>IF(B129="","",F129+J129)</f>
        <v/>
      </c>
      <c r="L129" s="59" t="str">
        <f>IF(B129="","",F129-IF(A129=$C$38,$C$30,0))</f>
        <v/>
      </c>
      <c r="M129" s="78" t="str">
        <f>IF(B129="","",$C$37*(1+$C$13)^(-C129))</f>
        <v/>
      </c>
      <c r="N129" s="59" t="str">
        <f>IF(B129="","",L129*M129)</f>
        <v/>
      </c>
      <c r="O129" s="59" t="str">
        <f>IF(B129="","",IF(B129="Básico",F129,0)-IF(A129=$C$38,$C$30,0))</f>
        <v/>
      </c>
      <c r="P129" s="77">
        <f>IF(B129="",$C$31,D129)</f>
        <v>46295.0</v>
      </c>
      <c r="Q129" s="59">
        <f>IF(B129="",0,L129)</f>
        <v>0</v>
      </c>
      <c r="R129" s="59">
        <f>IF(B129="",0,-F129)</f>
        <v>0</v>
      </c>
      <c r="S129" s="59" t="str">
        <f>IF(B129="","",O129*M129)</f>
        <v/>
      </c>
    </row>
    <row r="130">
      <c r="A130" s="7" t="n">
        <v>85</v>
      </c>
      <c r="B130" s="7" t="str">
        <f>IF(A130&gt;$C$38,"",IF(A130&lt;=$C$5,"Básico",IF($C$6&gt;0,"Sucesivo","Opción de compra")))</f>
        <v/>
      </c>
      <c r="C130" s="7" t="str">
        <f>IF(B130="","",IF(B130="Opción de compra",$C$5,A130-$C$7))</f>
        <v/>
      </c>
      <c r="D130" s="77" t="str">
        <f>IF(B130="","",EDATE($C$33,C130))</f>
        <v/>
      </c>
      <c r="E130" s="59" t="str">
        <f>IF(B130="","",I129)</f>
        <v/>
      </c>
      <c r="F130" s="59" t="str">
        <f>IF(B130="","",IF(B130="Básico",$C$24,IF(B130="Sucesivo",$C$25,$C$26)))</f>
        <v/>
      </c>
      <c r="G130" s="59" t="str">
        <f>IF(B130="","",IF(B130="Opción de compra",0,(E130-$C$7*F130)*IF(B130="Sucesivo",$C$11,$C$9)))</f>
        <v/>
      </c>
      <c r="H130" s="59" t="str">
        <f>IF(B130="","",F130-G130)</f>
        <v/>
      </c>
      <c r="I130" s="59" t="str">
        <f>IF(B130="","",E130-H130)</f>
        <v/>
      </c>
      <c r="J130" s="59" t="str">
        <f>IF(B130="","",IF(OR(inp_Tipo="Arrendamiento Puro",par_BaseIVAFin="Sobre renta",B130="Opción de compra"),F130,G130)*$C$14)</f>
        <v/>
      </c>
      <c r="K130" s="59" t="str">
        <f>IF(B130="","",F130+J130)</f>
        <v/>
      </c>
      <c r="L130" s="59" t="str">
        <f>IF(B130="","",F130-IF(A130=$C$38,$C$30,0))</f>
        <v/>
      </c>
      <c r="M130" s="78" t="str">
        <f>IF(B130="","",$C$37*(1+$C$13)^(-C130))</f>
        <v/>
      </c>
      <c r="N130" s="59" t="str">
        <f>IF(B130="","",L130*M130)</f>
        <v/>
      </c>
      <c r="O130" s="59" t="str">
        <f>IF(B130="","",IF(B130="Básico",F130,0)-IF(A130=$C$38,$C$30,0))</f>
        <v/>
      </c>
      <c r="P130" s="77">
        <f>IF(B130="",$C$31,D130)</f>
        <v>46295.0</v>
      </c>
      <c r="Q130" s="59">
        <f>IF(B130="",0,L130)</f>
        <v>0</v>
      </c>
      <c r="R130" s="59">
        <f>IF(B130="",0,-F130)</f>
        <v>0</v>
      </c>
      <c r="S130" s="59" t="str">
        <f>IF(B130="","",O130*M130)</f>
        <v/>
      </c>
    </row>
    <row r="131">
      <c r="A131" s="7" t="n">
        <v>86</v>
      </c>
      <c r="B131" s="7" t="str">
        <f>IF(A131&gt;$C$38,"",IF(A131&lt;=$C$5,"Básico",IF($C$6&gt;0,"Sucesivo","Opción de compra")))</f>
        <v/>
      </c>
      <c r="C131" s="7" t="str">
        <f>IF(B131="","",IF(B131="Opción de compra",$C$5,A131-$C$7))</f>
        <v/>
      </c>
      <c r="D131" s="77" t="str">
        <f>IF(B131="","",EDATE($C$33,C131))</f>
        <v/>
      </c>
      <c r="E131" s="59" t="str">
        <f>IF(B131="","",I130)</f>
        <v/>
      </c>
      <c r="F131" s="59" t="str">
        <f>IF(B131="","",IF(B131="Básico",$C$24,IF(B131="Sucesivo",$C$25,$C$26)))</f>
        <v/>
      </c>
      <c r="G131" s="59" t="str">
        <f>IF(B131="","",IF(B131="Opción de compra",0,(E131-$C$7*F131)*IF(B131="Sucesivo",$C$11,$C$9)))</f>
        <v/>
      </c>
      <c r="H131" s="59" t="str">
        <f>IF(B131="","",F131-G131)</f>
        <v/>
      </c>
      <c r="I131" s="59" t="str">
        <f>IF(B131="","",E131-H131)</f>
        <v/>
      </c>
      <c r="J131" s="59" t="str">
        <f>IF(B131="","",IF(OR(inp_Tipo="Arrendamiento Puro",par_BaseIVAFin="Sobre renta",B131="Opción de compra"),F131,G131)*$C$14)</f>
        <v/>
      </c>
      <c r="K131" s="59" t="str">
        <f>IF(B131="","",F131+J131)</f>
        <v/>
      </c>
      <c r="L131" s="59" t="str">
        <f>IF(B131="","",F131-IF(A131=$C$38,$C$30,0))</f>
        <v/>
      </c>
      <c r="M131" s="78" t="str">
        <f>IF(B131="","",$C$37*(1+$C$13)^(-C131))</f>
        <v/>
      </c>
      <c r="N131" s="59" t="str">
        <f>IF(B131="","",L131*M131)</f>
        <v/>
      </c>
      <c r="O131" s="59" t="str">
        <f>IF(B131="","",IF(B131="Básico",F131,0)-IF(A131=$C$38,$C$30,0))</f>
        <v/>
      </c>
      <c r="P131" s="77">
        <f>IF(B131="",$C$31,D131)</f>
        <v>46295.0</v>
      </c>
      <c r="Q131" s="59">
        <f>IF(B131="",0,L131)</f>
        <v>0</v>
      </c>
      <c r="R131" s="59">
        <f>IF(B131="",0,-F131)</f>
        <v>0</v>
      </c>
      <c r="S131" s="59" t="str">
        <f>IF(B131="","",O131*M131)</f>
        <v/>
      </c>
    </row>
    <row r="132">
      <c r="A132" s="7" t="n">
        <v>87</v>
      </c>
      <c r="B132" s="7" t="str">
        <f>IF(A132&gt;$C$38,"",IF(A132&lt;=$C$5,"Básico",IF($C$6&gt;0,"Sucesivo","Opción de compra")))</f>
        <v/>
      </c>
      <c r="C132" s="7" t="str">
        <f>IF(B132="","",IF(B132="Opción de compra",$C$5,A132-$C$7))</f>
        <v/>
      </c>
      <c r="D132" s="77" t="str">
        <f>IF(B132="","",EDATE($C$33,C132))</f>
        <v/>
      </c>
      <c r="E132" s="59" t="str">
        <f>IF(B132="","",I131)</f>
        <v/>
      </c>
      <c r="F132" s="59" t="str">
        <f>IF(B132="","",IF(B132="Básico",$C$24,IF(B132="Sucesivo",$C$25,$C$26)))</f>
        <v/>
      </c>
      <c r="G132" s="59" t="str">
        <f>IF(B132="","",IF(B132="Opción de compra",0,(E132-$C$7*F132)*IF(B132="Sucesivo",$C$11,$C$9)))</f>
        <v/>
      </c>
      <c r="H132" s="59" t="str">
        <f>IF(B132="","",F132-G132)</f>
        <v/>
      </c>
      <c r="I132" s="59" t="str">
        <f>IF(B132="","",E132-H132)</f>
        <v/>
      </c>
      <c r="J132" s="59" t="str">
        <f>IF(B132="","",IF(OR(inp_Tipo="Arrendamiento Puro",par_BaseIVAFin="Sobre renta",B132="Opción de compra"),F132,G132)*$C$14)</f>
        <v/>
      </c>
      <c r="K132" s="59" t="str">
        <f>IF(B132="","",F132+J132)</f>
        <v/>
      </c>
      <c r="L132" s="59" t="str">
        <f>IF(B132="","",F132-IF(A132=$C$38,$C$30,0))</f>
        <v/>
      </c>
      <c r="M132" s="78" t="str">
        <f>IF(B132="","",$C$37*(1+$C$13)^(-C132))</f>
        <v/>
      </c>
      <c r="N132" s="59" t="str">
        <f>IF(B132="","",L132*M132)</f>
        <v/>
      </c>
      <c r="O132" s="59" t="str">
        <f>IF(B132="","",IF(B132="Básico",F132,0)-IF(A132=$C$38,$C$30,0))</f>
        <v/>
      </c>
      <c r="P132" s="77">
        <f>IF(B132="",$C$31,D132)</f>
        <v>46295.0</v>
      </c>
      <c r="Q132" s="59">
        <f>IF(B132="",0,L132)</f>
        <v>0</v>
      </c>
      <c r="R132" s="59">
        <f>IF(B132="",0,-F132)</f>
        <v>0</v>
      </c>
      <c r="S132" s="59" t="str">
        <f>IF(B132="","",O132*M132)</f>
        <v/>
      </c>
    </row>
    <row r="133">
      <c r="A133" s="7" t="n">
        <v>88</v>
      </c>
      <c r="B133" s="7" t="str">
        <f>IF(A133&gt;$C$38,"",IF(A133&lt;=$C$5,"Básico",IF($C$6&gt;0,"Sucesivo","Opción de compra")))</f>
        <v/>
      </c>
      <c r="C133" s="7" t="str">
        <f>IF(B133="","",IF(B133="Opción de compra",$C$5,A133-$C$7))</f>
        <v/>
      </c>
      <c r="D133" s="77" t="str">
        <f>IF(B133="","",EDATE($C$33,C133))</f>
        <v/>
      </c>
      <c r="E133" s="59" t="str">
        <f>IF(B133="","",I132)</f>
        <v/>
      </c>
      <c r="F133" s="59" t="str">
        <f>IF(B133="","",IF(B133="Básico",$C$24,IF(B133="Sucesivo",$C$25,$C$26)))</f>
        <v/>
      </c>
      <c r="G133" s="59" t="str">
        <f>IF(B133="","",IF(B133="Opción de compra",0,(E133-$C$7*F133)*IF(B133="Sucesivo",$C$11,$C$9)))</f>
        <v/>
      </c>
      <c r="H133" s="59" t="str">
        <f>IF(B133="","",F133-G133)</f>
        <v/>
      </c>
      <c r="I133" s="59" t="str">
        <f>IF(B133="","",E133-H133)</f>
        <v/>
      </c>
      <c r="J133" s="59" t="str">
        <f>IF(B133="","",IF(OR(inp_Tipo="Arrendamiento Puro",par_BaseIVAFin="Sobre renta",B133="Opción de compra"),F133,G133)*$C$14)</f>
        <v/>
      </c>
      <c r="K133" s="59" t="str">
        <f>IF(B133="","",F133+J133)</f>
        <v/>
      </c>
      <c r="L133" s="59" t="str">
        <f>IF(B133="","",F133-IF(A133=$C$38,$C$30,0))</f>
        <v/>
      </c>
      <c r="M133" s="78" t="str">
        <f>IF(B133="","",$C$37*(1+$C$13)^(-C133))</f>
        <v/>
      </c>
      <c r="N133" s="59" t="str">
        <f>IF(B133="","",L133*M133)</f>
        <v/>
      </c>
      <c r="O133" s="59" t="str">
        <f>IF(B133="","",IF(B133="Básico",F133,0)-IF(A133=$C$38,$C$30,0))</f>
        <v/>
      </c>
      <c r="P133" s="77">
        <f>IF(B133="",$C$31,D133)</f>
        <v>46295.0</v>
      </c>
      <c r="Q133" s="59">
        <f>IF(B133="",0,L133)</f>
        <v>0</v>
      </c>
      <c r="R133" s="59">
        <f>IF(B133="",0,-F133)</f>
        <v>0</v>
      </c>
      <c r="S133" s="59" t="str">
        <f>IF(B133="","",O133*M133)</f>
        <v/>
      </c>
    </row>
    <row r="134">
      <c r="A134" s="7" t="n">
        <v>89</v>
      </c>
      <c r="B134" s="7" t="str">
        <f>IF(A134&gt;$C$38,"",IF(A134&lt;=$C$5,"Básico",IF($C$6&gt;0,"Sucesivo","Opción de compra")))</f>
        <v/>
      </c>
      <c r="C134" s="7" t="str">
        <f>IF(B134="","",IF(B134="Opción de compra",$C$5,A134-$C$7))</f>
        <v/>
      </c>
      <c r="D134" s="77" t="str">
        <f>IF(B134="","",EDATE($C$33,C134))</f>
        <v/>
      </c>
      <c r="E134" s="59" t="str">
        <f>IF(B134="","",I133)</f>
        <v/>
      </c>
      <c r="F134" s="59" t="str">
        <f>IF(B134="","",IF(B134="Básico",$C$24,IF(B134="Sucesivo",$C$25,$C$26)))</f>
        <v/>
      </c>
      <c r="G134" s="59" t="str">
        <f>IF(B134="","",IF(B134="Opción de compra",0,(E134-$C$7*F134)*IF(B134="Sucesivo",$C$11,$C$9)))</f>
        <v/>
      </c>
      <c r="H134" s="59" t="str">
        <f>IF(B134="","",F134-G134)</f>
        <v/>
      </c>
      <c r="I134" s="59" t="str">
        <f>IF(B134="","",E134-H134)</f>
        <v/>
      </c>
      <c r="J134" s="59" t="str">
        <f>IF(B134="","",IF(OR(inp_Tipo="Arrendamiento Puro",par_BaseIVAFin="Sobre renta",B134="Opción de compra"),F134,G134)*$C$14)</f>
        <v/>
      </c>
      <c r="K134" s="59" t="str">
        <f>IF(B134="","",F134+J134)</f>
        <v/>
      </c>
      <c r="L134" s="59" t="str">
        <f>IF(B134="","",F134-IF(A134=$C$38,$C$30,0))</f>
        <v/>
      </c>
      <c r="M134" s="78" t="str">
        <f>IF(B134="","",$C$37*(1+$C$13)^(-C134))</f>
        <v/>
      </c>
      <c r="N134" s="59" t="str">
        <f>IF(B134="","",L134*M134)</f>
        <v/>
      </c>
      <c r="O134" s="59" t="str">
        <f>IF(B134="","",IF(B134="Básico",F134,0)-IF(A134=$C$38,$C$30,0))</f>
        <v/>
      </c>
      <c r="P134" s="77">
        <f>IF(B134="",$C$31,D134)</f>
        <v>46295.0</v>
      </c>
      <c r="Q134" s="59">
        <f>IF(B134="",0,L134)</f>
        <v>0</v>
      </c>
      <c r="R134" s="59">
        <f>IF(B134="",0,-F134)</f>
        <v>0</v>
      </c>
      <c r="S134" s="59" t="str">
        <f>IF(B134="","",O134*M134)</f>
        <v/>
      </c>
    </row>
    <row r="135">
      <c r="A135" s="7" t="n">
        <v>90</v>
      </c>
      <c r="B135" s="7" t="str">
        <f>IF(A135&gt;$C$38,"",IF(A135&lt;=$C$5,"Básico",IF($C$6&gt;0,"Sucesivo","Opción de compra")))</f>
        <v/>
      </c>
      <c r="C135" s="7" t="str">
        <f>IF(B135="","",IF(B135="Opción de compra",$C$5,A135-$C$7))</f>
        <v/>
      </c>
      <c r="D135" s="77" t="str">
        <f>IF(B135="","",EDATE($C$33,C135))</f>
        <v/>
      </c>
      <c r="E135" s="59" t="str">
        <f>IF(B135="","",I134)</f>
        <v/>
      </c>
      <c r="F135" s="59" t="str">
        <f>IF(B135="","",IF(B135="Básico",$C$24,IF(B135="Sucesivo",$C$25,$C$26)))</f>
        <v/>
      </c>
      <c r="G135" s="59" t="str">
        <f>IF(B135="","",IF(B135="Opción de compra",0,(E135-$C$7*F135)*IF(B135="Sucesivo",$C$11,$C$9)))</f>
        <v/>
      </c>
      <c r="H135" s="59" t="str">
        <f>IF(B135="","",F135-G135)</f>
        <v/>
      </c>
      <c r="I135" s="59" t="str">
        <f>IF(B135="","",E135-H135)</f>
        <v/>
      </c>
      <c r="J135" s="59" t="str">
        <f>IF(B135="","",IF(OR(inp_Tipo="Arrendamiento Puro",par_BaseIVAFin="Sobre renta",B135="Opción de compra"),F135,G135)*$C$14)</f>
        <v/>
      </c>
      <c r="K135" s="59" t="str">
        <f>IF(B135="","",F135+J135)</f>
        <v/>
      </c>
      <c r="L135" s="59" t="str">
        <f>IF(B135="","",F135-IF(A135=$C$38,$C$30,0))</f>
        <v/>
      </c>
      <c r="M135" s="78" t="str">
        <f>IF(B135="","",$C$37*(1+$C$13)^(-C135))</f>
        <v/>
      </c>
      <c r="N135" s="59" t="str">
        <f>IF(B135="","",L135*M135)</f>
        <v/>
      </c>
      <c r="O135" s="59" t="str">
        <f>IF(B135="","",IF(B135="Básico",F135,0)-IF(A135=$C$38,$C$30,0))</f>
        <v/>
      </c>
      <c r="P135" s="77">
        <f>IF(B135="",$C$31,D135)</f>
        <v>46295.0</v>
      </c>
      <c r="Q135" s="59">
        <f>IF(B135="",0,L135)</f>
        <v>0</v>
      </c>
      <c r="R135" s="59">
        <f>IF(B135="",0,-F135)</f>
        <v>0</v>
      </c>
      <c r="S135" s="59" t="str">
        <f>IF(B135="","",O135*M135)</f>
        <v/>
      </c>
    </row>
    <row r="136">
      <c r="A136" s="7" t="n">
        <v>91</v>
      </c>
      <c r="B136" s="7" t="str">
        <f>IF(A136&gt;$C$38,"",IF(A136&lt;=$C$5,"Básico",IF($C$6&gt;0,"Sucesivo","Opción de compra")))</f>
        <v/>
      </c>
      <c r="C136" s="7" t="str">
        <f>IF(B136="","",IF(B136="Opción de compra",$C$5,A136-$C$7))</f>
        <v/>
      </c>
      <c r="D136" s="77" t="str">
        <f>IF(B136="","",EDATE($C$33,C136))</f>
        <v/>
      </c>
      <c r="E136" s="59" t="str">
        <f>IF(B136="","",I135)</f>
        <v/>
      </c>
      <c r="F136" s="59" t="str">
        <f>IF(B136="","",IF(B136="Básico",$C$24,IF(B136="Sucesivo",$C$25,$C$26)))</f>
        <v/>
      </c>
      <c r="G136" s="59" t="str">
        <f>IF(B136="","",IF(B136="Opción de compra",0,(E136-$C$7*F136)*IF(B136="Sucesivo",$C$11,$C$9)))</f>
        <v/>
      </c>
      <c r="H136" s="59" t="str">
        <f>IF(B136="","",F136-G136)</f>
        <v/>
      </c>
      <c r="I136" s="59" t="str">
        <f>IF(B136="","",E136-H136)</f>
        <v/>
      </c>
      <c r="J136" s="59" t="str">
        <f>IF(B136="","",IF(OR(inp_Tipo="Arrendamiento Puro",par_BaseIVAFin="Sobre renta",B136="Opción de compra"),F136,G136)*$C$14)</f>
        <v/>
      </c>
      <c r="K136" s="59" t="str">
        <f>IF(B136="","",F136+J136)</f>
        <v/>
      </c>
      <c r="L136" s="59" t="str">
        <f>IF(B136="","",F136-IF(A136=$C$38,$C$30,0))</f>
        <v/>
      </c>
      <c r="M136" s="78" t="str">
        <f>IF(B136="","",$C$37*(1+$C$13)^(-C136))</f>
        <v/>
      </c>
      <c r="N136" s="59" t="str">
        <f>IF(B136="","",L136*M136)</f>
        <v/>
      </c>
      <c r="O136" s="59" t="str">
        <f>IF(B136="","",IF(B136="Básico",F136,0)-IF(A136=$C$38,$C$30,0))</f>
        <v/>
      </c>
      <c r="P136" s="77">
        <f>IF(B136="",$C$31,D136)</f>
        <v>46295.0</v>
      </c>
      <c r="Q136" s="59">
        <f>IF(B136="",0,L136)</f>
        <v>0</v>
      </c>
      <c r="R136" s="59">
        <f>IF(B136="",0,-F136)</f>
        <v>0</v>
      </c>
      <c r="S136" s="59" t="str">
        <f>IF(B136="","",O136*M136)</f>
        <v/>
      </c>
    </row>
    <row r="137">
      <c r="A137" s="7" t="n">
        <v>92</v>
      </c>
      <c r="B137" s="7" t="str">
        <f>IF(A137&gt;$C$38,"",IF(A137&lt;=$C$5,"Básico",IF($C$6&gt;0,"Sucesivo","Opción de compra")))</f>
        <v/>
      </c>
      <c r="C137" s="7" t="str">
        <f>IF(B137="","",IF(B137="Opción de compra",$C$5,A137-$C$7))</f>
        <v/>
      </c>
      <c r="D137" s="77" t="str">
        <f>IF(B137="","",EDATE($C$33,C137))</f>
        <v/>
      </c>
      <c r="E137" s="59" t="str">
        <f>IF(B137="","",I136)</f>
        <v/>
      </c>
      <c r="F137" s="59" t="str">
        <f>IF(B137="","",IF(B137="Básico",$C$24,IF(B137="Sucesivo",$C$25,$C$26)))</f>
        <v/>
      </c>
      <c r="G137" s="59" t="str">
        <f>IF(B137="","",IF(B137="Opción de compra",0,(E137-$C$7*F137)*IF(B137="Sucesivo",$C$11,$C$9)))</f>
        <v/>
      </c>
      <c r="H137" s="59" t="str">
        <f>IF(B137="","",F137-G137)</f>
        <v/>
      </c>
      <c r="I137" s="59" t="str">
        <f>IF(B137="","",E137-H137)</f>
        <v/>
      </c>
      <c r="J137" s="59" t="str">
        <f>IF(B137="","",IF(OR(inp_Tipo="Arrendamiento Puro",par_BaseIVAFin="Sobre renta",B137="Opción de compra"),F137,G137)*$C$14)</f>
        <v/>
      </c>
      <c r="K137" s="59" t="str">
        <f>IF(B137="","",F137+J137)</f>
        <v/>
      </c>
      <c r="L137" s="59" t="str">
        <f>IF(B137="","",F137-IF(A137=$C$38,$C$30,0))</f>
        <v/>
      </c>
      <c r="M137" s="78" t="str">
        <f>IF(B137="","",$C$37*(1+$C$13)^(-C137))</f>
        <v/>
      </c>
      <c r="N137" s="59" t="str">
        <f>IF(B137="","",L137*M137)</f>
        <v/>
      </c>
      <c r="O137" s="59" t="str">
        <f>IF(B137="","",IF(B137="Básico",F137,0)-IF(A137=$C$38,$C$30,0))</f>
        <v/>
      </c>
      <c r="P137" s="77">
        <f>IF(B137="",$C$31,D137)</f>
        <v>46295.0</v>
      </c>
      <c r="Q137" s="59">
        <f>IF(B137="",0,L137)</f>
        <v>0</v>
      </c>
      <c r="R137" s="59">
        <f>IF(B137="",0,-F137)</f>
        <v>0</v>
      </c>
      <c r="S137" s="59" t="str">
        <f>IF(B137="","",O137*M137)</f>
        <v/>
      </c>
    </row>
    <row r="138">
      <c r="A138" s="7" t="n">
        <v>93</v>
      </c>
      <c r="B138" s="7" t="str">
        <f>IF(A138&gt;$C$38,"",IF(A138&lt;=$C$5,"Básico",IF($C$6&gt;0,"Sucesivo","Opción de compra")))</f>
        <v/>
      </c>
      <c r="C138" s="7" t="str">
        <f>IF(B138="","",IF(B138="Opción de compra",$C$5,A138-$C$7))</f>
        <v/>
      </c>
      <c r="D138" s="77" t="str">
        <f>IF(B138="","",EDATE($C$33,C138))</f>
        <v/>
      </c>
      <c r="E138" s="59" t="str">
        <f>IF(B138="","",I137)</f>
        <v/>
      </c>
      <c r="F138" s="59" t="str">
        <f>IF(B138="","",IF(B138="Básico",$C$24,IF(B138="Sucesivo",$C$25,$C$26)))</f>
        <v/>
      </c>
      <c r="G138" s="59" t="str">
        <f>IF(B138="","",IF(B138="Opción de compra",0,(E138-$C$7*F138)*IF(B138="Sucesivo",$C$11,$C$9)))</f>
        <v/>
      </c>
      <c r="H138" s="59" t="str">
        <f>IF(B138="","",F138-G138)</f>
        <v/>
      </c>
      <c r="I138" s="59" t="str">
        <f>IF(B138="","",E138-H138)</f>
        <v/>
      </c>
      <c r="J138" s="59" t="str">
        <f>IF(B138="","",IF(OR(inp_Tipo="Arrendamiento Puro",par_BaseIVAFin="Sobre renta",B138="Opción de compra"),F138,G138)*$C$14)</f>
        <v/>
      </c>
      <c r="K138" s="59" t="str">
        <f>IF(B138="","",F138+J138)</f>
        <v/>
      </c>
      <c r="L138" s="59" t="str">
        <f>IF(B138="","",F138-IF(A138=$C$38,$C$30,0))</f>
        <v/>
      </c>
      <c r="M138" s="78" t="str">
        <f>IF(B138="","",$C$37*(1+$C$13)^(-C138))</f>
        <v/>
      </c>
      <c r="N138" s="59" t="str">
        <f>IF(B138="","",L138*M138)</f>
        <v/>
      </c>
      <c r="O138" s="59" t="str">
        <f>IF(B138="","",IF(B138="Básico",F138,0)-IF(A138=$C$38,$C$30,0))</f>
        <v/>
      </c>
      <c r="P138" s="77">
        <f>IF(B138="",$C$31,D138)</f>
        <v>46295.0</v>
      </c>
      <c r="Q138" s="59">
        <f>IF(B138="",0,L138)</f>
        <v>0</v>
      </c>
      <c r="R138" s="59">
        <f>IF(B138="",0,-F138)</f>
        <v>0</v>
      </c>
      <c r="S138" s="59" t="str">
        <f>IF(B138="","",O138*M138)</f>
        <v/>
      </c>
    </row>
    <row r="139">
      <c r="A139" s="7" t="n">
        <v>94</v>
      </c>
      <c r="B139" s="7" t="str">
        <f>IF(A139&gt;$C$38,"",IF(A139&lt;=$C$5,"Básico",IF($C$6&gt;0,"Sucesivo","Opción de compra")))</f>
        <v/>
      </c>
      <c r="C139" s="7" t="str">
        <f>IF(B139="","",IF(B139="Opción de compra",$C$5,A139-$C$7))</f>
        <v/>
      </c>
      <c r="D139" s="77" t="str">
        <f>IF(B139="","",EDATE($C$33,C139))</f>
        <v/>
      </c>
      <c r="E139" s="59" t="str">
        <f>IF(B139="","",I138)</f>
        <v/>
      </c>
      <c r="F139" s="59" t="str">
        <f>IF(B139="","",IF(B139="Básico",$C$24,IF(B139="Sucesivo",$C$25,$C$26)))</f>
        <v/>
      </c>
      <c r="G139" s="59" t="str">
        <f>IF(B139="","",IF(B139="Opción de compra",0,(E139-$C$7*F139)*IF(B139="Sucesivo",$C$11,$C$9)))</f>
        <v/>
      </c>
      <c r="H139" s="59" t="str">
        <f>IF(B139="","",F139-G139)</f>
        <v/>
      </c>
      <c r="I139" s="59" t="str">
        <f>IF(B139="","",E139-H139)</f>
        <v/>
      </c>
      <c r="J139" s="59" t="str">
        <f>IF(B139="","",IF(OR(inp_Tipo="Arrendamiento Puro",par_BaseIVAFin="Sobre renta",B139="Opción de compra"),F139,G139)*$C$14)</f>
        <v/>
      </c>
      <c r="K139" s="59" t="str">
        <f>IF(B139="","",F139+J139)</f>
        <v/>
      </c>
      <c r="L139" s="59" t="str">
        <f>IF(B139="","",F139-IF(A139=$C$38,$C$30,0))</f>
        <v/>
      </c>
      <c r="M139" s="78" t="str">
        <f>IF(B139="","",$C$37*(1+$C$13)^(-C139))</f>
        <v/>
      </c>
      <c r="N139" s="59" t="str">
        <f>IF(B139="","",L139*M139)</f>
        <v/>
      </c>
      <c r="O139" s="59" t="str">
        <f>IF(B139="","",IF(B139="Básico",F139,0)-IF(A139=$C$38,$C$30,0))</f>
        <v/>
      </c>
      <c r="P139" s="77">
        <f>IF(B139="",$C$31,D139)</f>
        <v>46295.0</v>
      </c>
      <c r="Q139" s="59">
        <f>IF(B139="",0,L139)</f>
        <v>0</v>
      </c>
      <c r="R139" s="59">
        <f>IF(B139="",0,-F139)</f>
        <v>0</v>
      </c>
      <c r="S139" s="59" t="str">
        <f>IF(B139="","",O139*M139)</f>
        <v/>
      </c>
    </row>
    <row r="140">
      <c r="A140" s="7" t="n">
        <v>95</v>
      </c>
      <c r="B140" s="7" t="str">
        <f>IF(A140&gt;$C$38,"",IF(A140&lt;=$C$5,"Básico",IF($C$6&gt;0,"Sucesivo","Opción de compra")))</f>
        <v/>
      </c>
      <c r="C140" s="7" t="str">
        <f>IF(B140="","",IF(B140="Opción de compra",$C$5,A140-$C$7))</f>
        <v/>
      </c>
      <c r="D140" s="77" t="str">
        <f>IF(B140="","",EDATE($C$33,C140))</f>
        <v/>
      </c>
      <c r="E140" s="59" t="str">
        <f>IF(B140="","",I139)</f>
        <v/>
      </c>
      <c r="F140" s="59" t="str">
        <f>IF(B140="","",IF(B140="Básico",$C$24,IF(B140="Sucesivo",$C$25,$C$26)))</f>
        <v/>
      </c>
      <c r="G140" s="59" t="str">
        <f>IF(B140="","",IF(B140="Opción de compra",0,(E140-$C$7*F140)*IF(B140="Sucesivo",$C$11,$C$9)))</f>
        <v/>
      </c>
      <c r="H140" s="59" t="str">
        <f>IF(B140="","",F140-G140)</f>
        <v/>
      </c>
      <c r="I140" s="59" t="str">
        <f>IF(B140="","",E140-H140)</f>
        <v/>
      </c>
      <c r="J140" s="59" t="str">
        <f>IF(B140="","",IF(OR(inp_Tipo="Arrendamiento Puro",par_BaseIVAFin="Sobre renta",B140="Opción de compra"),F140,G140)*$C$14)</f>
        <v/>
      </c>
      <c r="K140" s="59" t="str">
        <f>IF(B140="","",F140+J140)</f>
        <v/>
      </c>
      <c r="L140" s="59" t="str">
        <f>IF(B140="","",F140-IF(A140=$C$38,$C$30,0))</f>
        <v/>
      </c>
      <c r="M140" s="78" t="str">
        <f>IF(B140="","",$C$37*(1+$C$13)^(-C140))</f>
        <v/>
      </c>
      <c r="N140" s="59" t="str">
        <f>IF(B140="","",L140*M140)</f>
        <v/>
      </c>
      <c r="O140" s="59" t="str">
        <f>IF(B140="","",IF(B140="Básico",F140,0)-IF(A140=$C$38,$C$30,0))</f>
        <v/>
      </c>
      <c r="P140" s="77">
        <f>IF(B140="",$C$31,D140)</f>
        <v>46295.0</v>
      </c>
      <c r="Q140" s="59">
        <f>IF(B140="",0,L140)</f>
        <v>0</v>
      </c>
      <c r="R140" s="59">
        <f>IF(B140="",0,-F140)</f>
        <v>0</v>
      </c>
      <c r="S140" s="59" t="str">
        <f>IF(B140="","",O140*M140)</f>
        <v/>
      </c>
    </row>
    <row r="141">
      <c r="A141" s="7" t="n">
        <v>96</v>
      </c>
      <c r="B141" s="7" t="str">
        <f>IF(A141&gt;$C$38,"",IF(A141&lt;=$C$5,"Básico",IF($C$6&gt;0,"Sucesivo","Opción de compra")))</f>
        <v/>
      </c>
      <c r="C141" s="7" t="str">
        <f>IF(B141="","",IF(B141="Opción de compra",$C$5,A141-$C$7))</f>
        <v/>
      </c>
      <c r="D141" s="77" t="str">
        <f>IF(B141="","",EDATE($C$33,C141))</f>
        <v/>
      </c>
      <c r="E141" s="59" t="str">
        <f>IF(B141="","",I140)</f>
        <v/>
      </c>
      <c r="F141" s="59" t="str">
        <f>IF(B141="","",IF(B141="Básico",$C$24,IF(B141="Sucesivo",$C$25,$C$26)))</f>
        <v/>
      </c>
      <c r="G141" s="59" t="str">
        <f>IF(B141="","",IF(B141="Opción de compra",0,(E141-$C$7*F141)*IF(B141="Sucesivo",$C$11,$C$9)))</f>
        <v/>
      </c>
      <c r="H141" s="59" t="str">
        <f>IF(B141="","",F141-G141)</f>
        <v/>
      </c>
      <c r="I141" s="59" t="str">
        <f>IF(B141="","",E141-H141)</f>
        <v/>
      </c>
      <c r="J141" s="59" t="str">
        <f>IF(B141="","",IF(OR(inp_Tipo="Arrendamiento Puro",par_BaseIVAFin="Sobre renta",B141="Opción de compra"),F141,G141)*$C$14)</f>
        <v/>
      </c>
      <c r="K141" s="59" t="str">
        <f>IF(B141="","",F141+J141)</f>
        <v/>
      </c>
      <c r="L141" s="59" t="str">
        <f>IF(B141="","",F141-IF(A141=$C$38,$C$30,0))</f>
        <v/>
      </c>
      <c r="M141" s="78" t="str">
        <f>IF(B141="","",$C$37*(1+$C$13)^(-C141))</f>
        <v/>
      </c>
      <c r="N141" s="59" t="str">
        <f>IF(B141="","",L141*M141)</f>
        <v/>
      </c>
      <c r="O141" s="59" t="str">
        <f>IF(B141="","",IF(B141="Básico",F141,0)-IF(A141=$C$38,$C$30,0))</f>
        <v/>
      </c>
      <c r="P141" s="77">
        <f>IF(B141="",$C$31,D141)</f>
        <v>46295.0</v>
      </c>
      <c r="Q141" s="59">
        <f>IF(B141="",0,L141)</f>
        <v>0</v>
      </c>
      <c r="R141" s="59">
        <f>IF(B141="",0,-F141)</f>
        <v>0</v>
      </c>
      <c r="S141" s="59" t="str">
        <f>IF(B141="","",O141*M141)</f>
        <v/>
      </c>
    </row>
    <row r="142">
      <c r="A142" s="7" t="n">
        <v>97</v>
      </c>
      <c r="B142" s="7" t="str">
        <f>IF(A142&gt;$C$38,"",IF(A142&lt;=$C$5,"Básico",IF($C$6&gt;0,"Sucesivo","Opción de compra")))</f>
        <v/>
      </c>
      <c r="C142" s="7" t="str">
        <f>IF(B142="","",IF(B142="Opción de compra",$C$5,A142-$C$7))</f>
        <v/>
      </c>
      <c r="D142" s="77" t="str">
        <f>IF(B142="","",EDATE($C$33,C142))</f>
        <v/>
      </c>
      <c r="E142" s="59" t="str">
        <f>IF(B142="","",I141)</f>
        <v/>
      </c>
      <c r="F142" s="59" t="str">
        <f>IF(B142="","",IF(B142="Básico",$C$24,IF(B142="Sucesivo",$C$25,$C$26)))</f>
        <v/>
      </c>
      <c r="G142" s="59" t="str">
        <f>IF(B142="","",IF(B142="Opción de compra",0,(E142-$C$7*F142)*IF(B142="Sucesivo",$C$11,$C$9)))</f>
        <v/>
      </c>
      <c r="H142" s="59" t="str">
        <f>IF(B142="","",F142-G142)</f>
        <v/>
      </c>
      <c r="I142" s="59" t="str">
        <f>IF(B142="","",E142-H142)</f>
        <v/>
      </c>
      <c r="J142" s="59" t="str">
        <f>IF(B142="","",IF(OR(inp_Tipo="Arrendamiento Puro",par_BaseIVAFin="Sobre renta",B142="Opción de compra"),F142,G142)*$C$14)</f>
        <v/>
      </c>
      <c r="K142" s="59" t="str">
        <f>IF(B142="","",F142+J142)</f>
        <v/>
      </c>
      <c r="L142" s="59" t="str">
        <f>IF(B142="","",F142-IF(A142=$C$38,$C$30,0))</f>
        <v/>
      </c>
      <c r="M142" s="78" t="str">
        <f>IF(B142="","",$C$37*(1+$C$13)^(-C142))</f>
        <v/>
      </c>
      <c r="N142" s="59" t="str">
        <f>IF(B142="","",L142*M142)</f>
        <v/>
      </c>
      <c r="O142" s="59" t="str">
        <f>IF(B142="","",IF(B142="Básico",F142,0)-IF(A142=$C$38,$C$30,0))</f>
        <v/>
      </c>
      <c r="P142" s="77">
        <f>IF(B142="",$C$31,D142)</f>
        <v>46295.0</v>
      </c>
      <c r="Q142" s="59">
        <f>IF(B142="",0,L142)</f>
        <v>0</v>
      </c>
      <c r="R142" s="59">
        <f>IF(B142="",0,-F142)</f>
        <v>0</v>
      </c>
      <c r="S142" s="59" t="str">
        <f>IF(B142="","",O142*M142)</f>
        <v/>
      </c>
    </row>
    <row r="143">
      <c r="A143" s="7" t="n">
        <v>98</v>
      </c>
      <c r="B143" s="7" t="str">
        <f>IF(A143&gt;$C$38,"",IF(A143&lt;=$C$5,"Básico",IF($C$6&gt;0,"Sucesivo","Opción de compra")))</f>
        <v/>
      </c>
      <c r="C143" s="7" t="str">
        <f>IF(B143="","",IF(B143="Opción de compra",$C$5,A143-$C$7))</f>
        <v/>
      </c>
      <c r="D143" s="77" t="str">
        <f>IF(B143="","",EDATE($C$33,C143))</f>
        <v/>
      </c>
      <c r="E143" s="59" t="str">
        <f>IF(B143="","",I142)</f>
        <v/>
      </c>
      <c r="F143" s="59" t="str">
        <f>IF(B143="","",IF(B143="Básico",$C$24,IF(B143="Sucesivo",$C$25,$C$26)))</f>
        <v/>
      </c>
      <c r="G143" s="59" t="str">
        <f>IF(B143="","",IF(B143="Opción de compra",0,(E143-$C$7*F143)*IF(B143="Sucesivo",$C$11,$C$9)))</f>
        <v/>
      </c>
      <c r="H143" s="59" t="str">
        <f>IF(B143="","",F143-G143)</f>
        <v/>
      </c>
      <c r="I143" s="59" t="str">
        <f>IF(B143="","",E143-H143)</f>
        <v/>
      </c>
      <c r="J143" s="59" t="str">
        <f>IF(B143="","",IF(OR(inp_Tipo="Arrendamiento Puro",par_BaseIVAFin="Sobre renta",B143="Opción de compra"),F143,G143)*$C$14)</f>
        <v/>
      </c>
      <c r="K143" s="59" t="str">
        <f>IF(B143="","",F143+J143)</f>
        <v/>
      </c>
      <c r="L143" s="59" t="str">
        <f>IF(B143="","",F143-IF(A143=$C$38,$C$30,0))</f>
        <v/>
      </c>
      <c r="M143" s="78" t="str">
        <f>IF(B143="","",$C$37*(1+$C$13)^(-C143))</f>
        <v/>
      </c>
      <c r="N143" s="59" t="str">
        <f>IF(B143="","",L143*M143)</f>
        <v/>
      </c>
      <c r="O143" s="59" t="str">
        <f>IF(B143="","",IF(B143="Básico",F143,0)-IF(A143=$C$38,$C$30,0))</f>
        <v/>
      </c>
      <c r="P143" s="77">
        <f>IF(B143="",$C$31,D143)</f>
        <v>46295.0</v>
      </c>
      <c r="Q143" s="59">
        <f>IF(B143="",0,L143)</f>
        <v>0</v>
      </c>
      <c r="R143" s="59">
        <f>IF(B143="",0,-F143)</f>
        <v>0</v>
      </c>
      <c r="S143" s="59" t="str">
        <f>IF(B143="","",O143*M143)</f>
        <v/>
      </c>
    </row>
  </sheetData>
  <sheetProtection selectLockedCells="0" selectUnlockedCells="0" sheet="1" objects="0" insertRows="1" insertHyperlinks="1" autoFilter="1" scenarios="0" formatColumns="0" deleteColumns="1" insertColumns="1" pivotTables="1" deleteRows="1" formatCells="1" formatRows="0" sort="1"/>
  <mergeCells count="21">
    <mergeCell ref="E26:I32"/>
    <mergeCell ref="E16:H16"/>
    <mergeCell ref="E7:H7"/>
    <mergeCell ref="E22:H22"/>
    <mergeCell ref="E18:H18"/>
    <mergeCell ref="E12:H12"/>
    <mergeCell ref="E21:H21"/>
    <mergeCell ref="E5:H5"/>
    <mergeCell ref="E14:H14"/>
    <mergeCell ref="E17:H17"/>
    <mergeCell ref="E23:H23"/>
    <mergeCell ref="E8:H8"/>
    <mergeCell ref="E4:H4"/>
    <mergeCell ref="E20:H20"/>
    <mergeCell ref="E19:H19"/>
    <mergeCell ref="E10:H10"/>
    <mergeCell ref="E13:H13"/>
    <mergeCell ref="E9:H9"/>
    <mergeCell ref="E6:H6"/>
    <mergeCell ref="E15:H15"/>
    <mergeCell ref="E11:H11"/>
  </mergeCells>
  <conditionalFormatting sqref="A46:S143">
    <cfRule type="expression" priority="1" dxfId="5">
      <formula>$B46="Sucesivo"</formula>
    </cfRule>
    <cfRule type="expression" priority="2" dxfId="5">
      <formula>$B46="Opción de compra"</formula>
    </cfRule>
  </conditionalFormatting>
  <pageMargins left="0.75" right="0.75" top="1" bottom="1" header="0.5" footer="0.5"/>
  <pageSetup orientation="landscape" fitToHeight="0" fitToWidth="1"/>
</worksheet>
</file>

<file path=xl/worksheets/sheet10.xml><?xml version="1.0" encoding="utf-8"?>
<worksheet xmlns="http://schemas.openxmlformats.org/spreadsheetml/2006/main">
  <sheetPr codeName="Hoja10">
    <tabColor rgb="00808080"/>
    <outlinePr summaryBelow="1" summaryRight="1"/>
    <pageSetUpPr fitToPage="1"/>
  </sheetPr>
  <dimension ref="A1:S143"/>
  <sheetViews>
    <sheetView showGridLines="0" workbookViewId="0">
      <pane xSplit="2" ySplit="44" topLeftCell="C45" activePane="bottomRight" state="frozen"/>
      <selection pane="topRight"/>
      <selection pane="bottomLeft"/>
      <selection pane="bottomRight" activeCell="A1" sqref="A1"/>
    </sheetView>
  </sheetViews>
  <sheetFormatPr baseColWidth="8" defaultRowHeight="15"/>
  <cols>
    <col width="7" customWidth="1" min="1" max="1"/>
    <col width="44" customWidth="1" min="2" max="2"/>
    <col width="7" customWidth="1" min="3" max="3"/>
    <col width="12" customWidth="1" min="4" max="4"/>
    <col width="16" customWidth="1" min="5" max="5"/>
    <col width="15" customWidth="1" min="6" max="6"/>
    <col width="14" customWidth="1" min="7" max="7"/>
    <col width="15" customWidth="1" min="8" max="8"/>
    <col width="16" customWidth="1" min="9" max="9"/>
    <col width="13" customWidth="1" min="10" max="10"/>
    <col width="16" customWidth="1" min="11" max="11"/>
    <col width="16" customWidth="1" min="12" max="12"/>
    <col width="11" customWidth="1" min="13" max="13"/>
    <col width="16" customWidth="1" min="14" max="14"/>
    <col width="16" customWidth="1" min="15" max="15"/>
    <col width="12" customWidth="1" min="16" max="16"/>
    <col width="16" customWidth="1" min="17" max="17"/>
    <col width="16" customWidth="1" min="18" max="18"/>
    <col width="16" customWidth="1" min="19" max="19"/>
  </cols>
  <sheetData>
    <row r="1">
      <c r="A1" s="11" t="str">
        <f>"CORRIDA FINANCIERA – ESCENARIO "&amp;$C$3&amp;IF($C$4="Sí",""," (no incluido en la carta)")</f>
        <v>CORRIDA FINANCIERA – ESCENARIO 4</v>
      </c>
    </row>
    <row r="2">
      <c r="A2" s="2" t="inlineStr">
        <is>
          <t>Hoja de cálculo interna (protegida). Todos los datos vienen de la hoja Cotizador.</t>
        </is>
      </c>
    </row>
    <row r="3">
      <c r="B3" s="7" t="inlineStr">
        <is>
          <t>Escenario</t>
        </is>
      </c>
      <c r="C3" s="64" t="n">
        <v>4</v>
      </c>
      <c r="E3" s="65" t="inlineStr">
        <is>
          <t>RESULTADOS DEL ESCENARIO</t>
        </is>
      </c>
      <c r="F3" s="65" t="n"/>
      <c r="G3" s="65" t="n"/>
      <c r="H3" s="65" t="n"/>
      <c r="I3" s="65" t="n"/>
    </row>
    <row r="4">
      <c r="B4" s="7" t="inlineStr">
        <is>
          <t>Incluido en la carta</t>
        </is>
      </c>
      <c r="C4" s="66" t="str">
        <f>INDEX(esc_Incluir,1,$C$3)</f>
        <v>Sí</v>
      </c>
      <c r="E4" s="7" t="inlineStr">
        <is>
          <t>Cash margin C/R ($) = VP al fondeo de todos los flujos</t>
        </is>
      </c>
      <c r="I4" s="67">
        <f>C41+SUM(N46:N143)</f>
        <v>-32171.6428554226</v>
      </c>
    </row>
    <row r="5">
      <c r="B5" s="7" t="inlineStr">
        <is>
          <t>Plazo básico (n, meses)</t>
        </is>
      </c>
      <c r="C5" s="68">
        <f>INDEX(esc_Plazo,1,$C$3)</f>
        <v>60</v>
      </c>
      <c r="E5" s="7" t="inlineStr">
        <is>
          <t>Cash margin C/R (% del monto financiado)</t>
        </is>
      </c>
      <c r="I5" s="69">
        <f>IFERROR(I4/C19,0)</f>
        <v>-0.0446501248813162</v>
      </c>
    </row>
    <row r="6">
      <c r="B6" s="7" t="inlineStr">
        <is>
          <t>Plazo sucesivo (m, meses)</t>
        </is>
      </c>
      <c r="C6" s="68">
        <f>INDEX(esc_Sucesivo,1,$C$3)</f>
        <v>1</v>
      </c>
      <c r="E6" s="7" t="inlineStr">
        <is>
          <t>Cash margin S/R ($) = sin pago final / residual</t>
        </is>
      </c>
      <c r="I6" s="21">
        <f>C41+SUM(S46:S143)</f>
        <v>-45888.5898832082</v>
      </c>
    </row>
    <row r="7">
      <c r="B7" s="7" t="inlineStr">
        <is>
          <t>Tipo de pago (1 = anticipado, 0 = vencido)</t>
        </is>
      </c>
      <c r="C7" s="68">
        <f>IF(inp_Modalidad="Anticipado",1,0)</f>
        <v>1</v>
      </c>
      <c r="E7" s="7" t="inlineStr">
        <is>
          <t>Cash margin S/R (%)</t>
        </is>
      </c>
      <c r="I7" s="70">
        <f>IFERROR(I6/C19,0)</f>
        <v>-0.0636874926816925</v>
      </c>
    </row>
    <row r="8">
      <c r="B8" s="7" t="inlineStr">
        <is>
          <t>Tasa anual plazo básico</t>
        </is>
      </c>
      <c r="C8" s="71">
        <f>INDEX(esc_Tasa,1,$C$3)</f>
        <v>0.17</v>
      </c>
      <c r="E8" s="7" t="inlineStr">
        <is>
          <t>TIR anual efectiva del arrendador (XIRR)</t>
        </is>
      </c>
      <c r="I8" s="69">
        <f>IFERROR(XIRR(Q45:Q143,P45:P143),"n/d")</f>
        <v>0.197811540582949</v>
      </c>
    </row>
    <row r="9">
      <c r="B9" s="7" t="inlineStr">
        <is>
          <t>Tasa mensual plazo básico (i)</t>
        </is>
      </c>
      <c r="C9" s="71">
        <f>C8/12</f>
        <v>0.0141666666666667</v>
      </c>
      <c r="E9" s="7" t="inlineStr">
        <is>
          <t>TIR nominal anual (capitalizable mensual)</t>
        </is>
      </c>
      <c r="I9" s="70">
        <f>IFERROR(12*((1+I8)^(1/12)-1),"n/d")</f>
        <v>0.181860460154001</v>
      </c>
    </row>
    <row r="10">
      <c r="B10" s="7" t="inlineStr">
        <is>
          <t>Tasa anual plazo sucesivo</t>
        </is>
      </c>
      <c r="C10" s="71">
        <f>INDEX(esc_TasaSuc,1,$C$3)</f>
        <v>0.17</v>
      </c>
      <c r="E10" s="7" t="inlineStr">
        <is>
          <t>CAT informativo sin IVA (flujos del cliente)</t>
        </is>
      </c>
      <c r="I10" s="70">
        <f>IFERROR(XIRR(R45:R143,P45:P143),"n/d")</f>
        <v>0.188535490302134</v>
      </c>
    </row>
    <row r="11">
      <c r="B11" s="7" t="inlineStr">
        <is>
          <t>Tasa mensual plazo sucesivo (i2)</t>
        </is>
      </c>
      <c r="C11" s="71">
        <f>C10/12</f>
        <v>0.0141666666666667</v>
      </c>
      <c r="E11" s="7" t="inlineStr">
        <is>
          <t>Σ factores de descuento de rentas básicas</t>
        </is>
      </c>
      <c r="I11" s="72">
        <f>SUMIF(B46:B143,"Básico",M46:M143)</f>
        <v>37.9677242922603</v>
      </c>
    </row>
    <row r="12">
      <c r="B12" s="7" t="inlineStr">
        <is>
          <t>Tasa de fondeo anual</t>
        </is>
      </c>
      <c r="C12" s="71">
        <f>inp_Fondeo</f>
        <v>0.205</v>
      </c>
      <c r="E12" s="7" t="inlineStr">
        <is>
          <t>Factor de descuento del último pago</t>
        </is>
      </c>
      <c r="I12" s="72">
        <f>IFERROR(INDEX(M46:M143,C38),0)</f>
        <v>0.361709988207148</v>
      </c>
    </row>
    <row r="13">
      <c r="B13" s="7" t="inlineStr">
        <is>
          <t>Tasa de fondeo mensual (f)</t>
        </is>
      </c>
      <c r="C13" s="71">
        <f>C12/12</f>
        <v>0.0170833333333333</v>
      </c>
      <c r="E13" s="7" t="inlineStr">
        <is>
          <t>Sensibilidad del CM a la renta (∂CM/∂R)</t>
        </is>
      </c>
      <c r="I13" s="72">
        <f>I11+C29*(1+C14)*(1-I12)+C34/30</f>
        <v>38.7414740392733</v>
      </c>
    </row>
    <row r="14">
      <c r="B14" s="7" t="inlineStr">
        <is>
          <t>Tasa de IVA</t>
        </is>
      </c>
      <c r="C14" s="70">
        <f>par_IVA</f>
        <v>0.16</v>
      </c>
      <c r="E14" s="7" t="inlineStr">
        <is>
          <t>Renta mínima para el CM objetivo</t>
        </is>
      </c>
      <c r="I14" s="21">
        <f>IFERROR((inp_CMobj*C19-(I4-C24*I13))/I13,0)</f>
        <v>19575.5368575656</v>
      </c>
    </row>
    <row r="15">
      <c r="B15" s="7" t="inlineStr">
        <is>
          <t>Valor del equipo sin IVA (V)</t>
        </is>
      </c>
      <c r="C15" s="21">
        <f>inp_Valor</f>
        <v>758450</v>
      </c>
      <c r="E15" s="7" t="inlineStr">
        <is>
          <t>Tasa anual mínima para el CM objetivo</t>
        </is>
      </c>
      <c r="I15" s="70">
        <f>IFERROR(RATE(C5,I14,-C19,C21,C7)*12,"n/d")</f>
        <v>0.229531888925224</v>
      </c>
    </row>
    <row r="16">
      <c r="B16" s="7" t="inlineStr">
        <is>
          <t>Enganche</t>
        </is>
      </c>
      <c r="C16" s="21">
        <f>C15*INDEX(esc_Enganche,1,$C$3)</f>
        <v>37922.5</v>
      </c>
      <c r="E16" s="7" t="inlineStr">
        <is>
          <t>Saldo final de la tabla (debe ser 0)</t>
        </is>
      </c>
      <c r="I16" s="21">
        <f>IFERROR(INDEX(I46:I143,C38),0)</f>
        <v>-7.20319803804159e-10</v>
      </c>
    </row>
    <row r="17">
      <c r="B17" s="7" t="inlineStr">
        <is>
          <t>Seguro financiado</t>
        </is>
      </c>
      <c r="C17" s="21">
        <f>IF(INDEX(esc_SeguroForma,1,$C$3)="Financiado",INDEX(esc_Seguro,1,$C$3),0)</f>
        <v>0</v>
      </c>
      <c r="E17" s="7" t="inlineStr">
        <is>
          <t>Pago inicial: base sin IVA (enganche+comisión+renta prop.+contado)</t>
        </is>
      </c>
      <c r="I17" s="21">
        <f>C16+C28+C35+IF(INDEX(esc_SeguroForma,1,$C$3)="Contado",INDEX(esc_Seguro,1,$C$3),0)+IF(INDEX(esc_GPSForma,1,$C$3)="Contado",INDEX(esc_GPS,1,$C$3),0)</f>
        <v>44565.3416729068</v>
      </c>
    </row>
    <row r="18">
      <c r="B18" s="7" t="inlineStr">
        <is>
          <t>GPS financiado</t>
        </is>
      </c>
      <c r="C18" s="21">
        <f>IF(INDEX(esc_GPSForma,1,$C$3)="Financiado",INDEX(esc_GPS,1,$C$3),0)</f>
        <v>0</v>
      </c>
      <c r="E18" s="7" t="inlineStr">
        <is>
          <t>Pago inicial: IVA</t>
        </is>
      </c>
      <c r="I18" s="21">
        <f>I17*C14</f>
        <v>7130.45466766509</v>
      </c>
    </row>
    <row r="19">
      <c r="B19" s="7" t="inlineStr">
        <is>
          <t>Monto a financiar (M = V − enganche + financiados)</t>
        </is>
      </c>
      <c r="C19" s="67">
        <f>C15-C16+C17+C18</f>
        <v>720527.5</v>
      </c>
      <c r="E19" s="7" t="inlineStr">
        <is>
          <t>Pago inicial: depósito en garantía</t>
        </is>
      </c>
      <c r="I19" s="21">
        <f>C30</f>
        <v>20018.4102171562</v>
      </c>
    </row>
    <row r="20">
      <c r="B20" s="7" t="inlineStr">
        <is>
          <t>Valor residual (% del valor)</t>
        </is>
      </c>
      <c r="C20" s="70">
        <f>INDEX(esc_Residual,1,$C$3)</f>
        <v>0.05</v>
      </c>
      <c r="E20" s="7" t="inlineStr">
        <is>
          <t>PAGO INICIAL TOTAL (con IVA)</t>
        </is>
      </c>
      <c r="I20" s="67">
        <f>I17+I18+I19</f>
        <v>71714.206557728</v>
      </c>
    </row>
    <row r="21">
      <c r="B21" s="7" t="inlineStr">
        <is>
          <t>Valor residual (VR)</t>
        </is>
      </c>
      <c r="C21" s="21">
        <f>C15*C20</f>
        <v>37922.5</v>
      </c>
      <c r="E21" s="7" t="inlineStr">
        <is>
          <t>IVA de la primera renta</t>
        </is>
      </c>
      <c r="I21" s="21">
        <f>IFERROR(J46,0)</f>
        <v>2761.16002995257</v>
      </c>
    </row>
    <row r="22">
      <c r="B22" s="7" t="inlineStr">
        <is>
          <t>Pago final (% del valor)</t>
        </is>
      </c>
      <c r="C22" s="70">
        <f>IF(INDEX(esc_PagoFinal,1,$C$3)="",C20,INDEX(esc_PagoFinal,1,$C$3))</f>
        <v>0.05</v>
      </c>
      <c r="E22" s="7" t="inlineStr">
        <is>
          <t>Total de pagos con IVA (rentas + pago final)</t>
        </is>
      </c>
      <c r="I22" s="21">
        <f>SUM(K46:K143)</f>
        <v>1245094.71302937</v>
      </c>
    </row>
    <row r="23">
      <c r="B23" s="7" t="inlineStr">
        <is>
          <t>Pago final ($)</t>
        </is>
      </c>
      <c r="C23" s="21">
        <f>C15*C22</f>
        <v>37922.5</v>
      </c>
      <c r="E23" s="7" t="inlineStr">
        <is>
          <t>Spread (tasa cliente − tasa fondeo)</t>
        </is>
      </c>
      <c r="I23" s="70">
        <f>C8-C12</f>
        <v>-0.035</v>
      </c>
    </row>
    <row r="24">
      <c r="B24" s="7" t="inlineStr">
        <is>
          <t>RENTA BÁSICA  R = PMT(i, n, −M, VR, tipo)</t>
        </is>
      </c>
      <c r="C24" s="67">
        <f>PMT(C9,C5,-C19,C21,C7)</f>
        <v>17257.2501872036</v>
      </c>
    </row>
    <row r="25">
      <c r="B25" s="7" t="inlineStr">
        <is>
          <t>Renta plazo sucesivo  Rs = PMT(i2, m, −PF, 0, tipo)</t>
        </is>
      </c>
      <c r="C25" s="21">
        <f>IF(C6&gt;0,PMT(C11,C6,-C23,0,C7),0)</f>
        <v>37922.5</v>
      </c>
    </row>
    <row r="26">
      <c r="B26" s="7" t="inlineStr">
        <is>
          <t>Opción de compra (si m = 0)</t>
        </is>
      </c>
      <c r="C26" s="21">
        <f>IF(C6=0,C23,0)</f>
        <v>0</v>
      </c>
      <c r="E26" s="12" t="inlineStr">
        <is>
          <t>Método: CM = flujo en firma + Σ flujo_t × (1+fa/base)^(−días) × (1+f)^(−t). Como el CM es lineal en la renta, la renta mínima se despeja en forma cerrada y la tasa mínima se obtiene con RATE. La tabla usa interés = (saldo − tipo × pago) × i, de modo que el saldo al término del plazo básico es exactamente el valor residual.</t>
        </is>
      </c>
    </row>
    <row r="27">
      <c r="B27" s="7" t="inlineStr">
        <is>
          <t>Comisión por apertura (%)</t>
        </is>
      </c>
      <c r="C27" s="70">
        <f>INDEX(esc_Comision,1,$C$3)</f>
        <v>0.008</v>
      </c>
    </row>
    <row r="28">
      <c r="B28" s="7" t="inlineStr">
        <is>
          <t>Comisión por apertura ($, sobre el valor)</t>
        </is>
      </c>
      <c r="C28" s="21">
        <f>C15*C27</f>
        <v>6067.6</v>
      </c>
    </row>
    <row r="29">
      <c r="B29" s="7" t="inlineStr">
        <is>
          <t>Depósito en garantía (# rentas con IVA)</t>
        </is>
      </c>
      <c r="C29" s="73">
        <f>INDEX(esc_Deposito,1,$C$3)</f>
        <v>1</v>
      </c>
    </row>
    <row r="30">
      <c r="B30" s="7" t="inlineStr">
        <is>
          <t>Depósito en garantía ($)</t>
        </is>
      </c>
      <c r="C30" s="21">
        <f>C29*C24*(1+C14)</f>
        <v>20018.4102171562</v>
      </c>
    </row>
    <row r="31">
      <c r="B31" s="7" t="inlineStr">
        <is>
          <t>Fecha de firma / desembolso</t>
        </is>
      </c>
      <c r="C31" s="74">
        <f>inp_FechaFirma</f>
        <v>46295.0</v>
      </c>
    </row>
    <row r="32">
      <c r="B32" s="7" t="inlineStr">
        <is>
          <t>Fecha de la primera renta</t>
        </is>
      </c>
      <c r="C32" s="74">
        <f>inp_FechaPrimera</f>
        <v>46296.0</v>
      </c>
    </row>
    <row r="33">
      <c r="B33" s="7" t="inlineStr">
        <is>
          <t>Inicio del plazo (t = 0)</t>
        </is>
      </c>
      <c r="C33" s="74">
        <f>IF(C7=1,C32,EDATE(C32,-1))</f>
        <v>46296.0</v>
      </c>
    </row>
    <row r="34">
      <c r="B34" s="7" t="inlineStr">
        <is>
          <t>Días entre firma e inicio del plazo</t>
        </is>
      </c>
      <c r="C34" s="68">
        <f>MAX(0,C33-C31)</f>
        <v>1</v>
      </c>
    </row>
    <row r="35">
      <c r="B35" s="7" t="inlineStr">
        <is>
          <t>Renta proporcional (R/30 × días)</t>
        </is>
      </c>
      <c r="C35" s="21">
        <f>C24/30*C34</f>
        <v>575.241672906786</v>
      </c>
    </row>
    <row r="36">
      <c r="B36" s="7" t="inlineStr">
        <is>
          <t>Comisión banco / alianza</t>
        </is>
      </c>
      <c r="C36" s="21">
        <f>inp_ComBanco</f>
        <v>0</v>
      </c>
    </row>
    <row r="37">
      <c r="B37" s="7" t="inlineStr">
        <is>
          <t>Factor de fondeo por días  (1+fa/base)^(−días)</t>
        </is>
      </c>
      <c r="C37" s="72">
        <f>(1+C12/par_BaseDias)^(-C34)</f>
        <v>0.999430879637984</v>
      </c>
    </row>
    <row r="38">
      <c r="B38" s="7" t="inlineStr">
        <is>
          <t>Número de pagos en la tabla</t>
        </is>
      </c>
      <c r="C38" s="68">
        <f>C5+IF(C6&gt;0,C6,IF(C23&gt;0,1,0))</f>
        <v>61</v>
      </c>
    </row>
    <row r="39">
      <c r="B39" s="7" t="inlineStr">
        <is>
          <t>Desembolso del arrendador en la firma</t>
        </is>
      </c>
      <c r="C39" s="21">
        <f>-(C15+C17+C18)</f>
        <v>-758450</v>
      </c>
    </row>
    <row r="40">
      <c r="B40" s="7" t="inlineStr">
        <is>
          <t>Cobros en la firma (enganche+comisión+renta prop.+depósito−com. banco)</t>
        </is>
      </c>
      <c r="C40" s="21">
        <f>C16+C28+C35+C30-C36</f>
        <v>64583.7518900629</v>
      </c>
    </row>
    <row r="41">
      <c r="B41" s="7" t="inlineStr">
        <is>
          <t>Flujo neto del arrendador en la firma</t>
        </is>
      </c>
      <c r="C41" s="21">
        <f>C39+C40</f>
        <v>-693866.248109937</v>
      </c>
    </row>
    <row r="44" ht="30" customHeight="1">
      <c r="A44" s="30" t="inlineStr">
        <is>
          <t>#</t>
        </is>
      </c>
      <c r="B44" s="30" t="inlineStr">
        <is>
          <t>Concepto</t>
        </is>
      </c>
      <c r="C44" s="30" t="inlineStr">
        <is>
          <t>t</t>
        </is>
      </c>
      <c r="D44" s="30" t="inlineStr">
        <is>
          <t>Fecha</t>
        </is>
      </c>
      <c r="E44" s="30" t="inlineStr">
        <is>
          <t>Saldo inicial</t>
        </is>
      </c>
      <c r="F44" s="30" t="inlineStr">
        <is>
          <t>Pago s/IVA</t>
        </is>
      </c>
      <c r="G44" s="30" t="inlineStr">
        <is>
          <t>Interés</t>
        </is>
      </c>
      <c r="H44" s="30" t="inlineStr">
        <is>
          <t>Capital</t>
        </is>
      </c>
      <c r="I44" s="30" t="inlineStr">
        <is>
          <t>Saldo final</t>
        </is>
      </c>
      <c r="J44" s="30" t="inlineStr">
        <is>
          <t>IVA</t>
        </is>
      </c>
      <c r="K44" s="30" t="inlineStr">
        <is>
          <t>Total c/IVA</t>
        </is>
      </c>
      <c r="L44" s="30" t="inlineStr">
        <is>
          <t>Flujo arrendador</t>
        </is>
      </c>
      <c r="M44" s="30" t="inlineStr">
        <is>
          <t>Factor desc.</t>
        </is>
      </c>
      <c r="N44" s="30" t="inlineStr">
        <is>
          <t>VP flujo</t>
        </is>
      </c>
      <c r="O44" s="30" t="inlineStr">
        <is>
          <t>Flujo S/R</t>
        </is>
      </c>
      <c r="P44" s="30" t="inlineStr">
        <is>
          <t>Fecha (XIRR)</t>
        </is>
      </c>
      <c r="Q44" s="30" t="inlineStr">
        <is>
          <t>Flujo XIRR</t>
        </is>
      </c>
      <c r="R44" s="30" t="inlineStr">
        <is>
          <t>Flujo cliente (CAT)</t>
        </is>
      </c>
      <c r="S44" s="30" t="inlineStr">
        <is>
          <t>VP flujo S/R</t>
        </is>
      </c>
    </row>
    <row r="45">
      <c r="A45" s="75" t="n">
        <v>0</v>
      </c>
      <c r="B45" s="75" t="inlineStr">
        <is>
          <t>Firma / desembolso</t>
        </is>
      </c>
      <c r="C45" s="75" t="n">
        <v>0</v>
      </c>
      <c r="D45" s="75">
        <f>C31</f>
        <v>46295.0</v>
      </c>
      <c r="E45" s="76" t="n"/>
      <c r="F45" s="76" t="n"/>
      <c r="G45" s="76" t="n"/>
      <c r="H45" s="76" t="n"/>
      <c r="I45" s="76" t="n"/>
      <c r="J45" s="76" t="n"/>
      <c r="K45" s="76" t="n"/>
      <c r="L45" s="75">
        <f>C41</f>
        <v>-693866.248109937</v>
      </c>
      <c r="M45" s="76" t="n"/>
      <c r="N45" s="76" t="n"/>
      <c r="O45" s="76" t="n"/>
      <c r="P45" s="75">
        <f>C31</f>
        <v>46295.0</v>
      </c>
      <c r="Q45" s="75">
        <f>C41</f>
        <v>-693866.248109937</v>
      </c>
      <c r="R45" s="75">
        <f>C19-C28-C35</f>
        <v>713884.658327093</v>
      </c>
      <c r="S45" s="76" t="n"/>
    </row>
    <row r="46">
      <c r="A46" s="7" t="n">
        <v>1</v>
      </c>
      <c r="B46" s="7" t="str">
        <f>IF(A46&gt;$C$38,"",IF(A46&lt;=$C$5,"Básico",IF($C$6&gt;0,"Sucesivo","Opción de compra")))</f>
        <v>Básico</v>
      </c>
      <c r="C46" s="7">
        <f>IF(B46="","",IF(B46="Opción de compra",$C$5,A46-$C$7))</f>
        <v>0</v>
      </c>
      <c r="D46" s="77">
        <f>IF(B46="","",EDATE($C$33,C46))</f>
        <v>46296.0</v>
      </c>
      <c r="E46" s="59">
        <f>IF(B46="","",$C$19)</f>
        <v>720527.5</v>
      </c>
      <c r="F46" s="59">
        <f>IF(B46="","",IF(B46="Básico",$C$24,IF(B46="Sucesivo",$C$25,$C$26)))</f>
        <v>17257.2501872036</v>
      </c>
      <c r="G46" s="59">
        <f>IF(B46="","",IF(B46="Opción de compra",0,(E46-$C$7*F46)*IF(B46="Sucesivo",$C$11,$C$9)))</f>
        <v>9962.99520568128</v>
      </c>
      <c r="H46" s="59">
        <f>IF(B46="","",F46-G46)</f>
        <v>7294.25498152231</v>
      </c>
      <c r="I46" s="59">
        <f>IF(B46="","",E46-H46)</f>
        <v>713233.245018478</v>
      </c>
      <c r="J46" s="59">
        <f>IF(B46="","",IF(OR(inp_Tipo="Arrendamiento Puro",par_BaseIVAFin="Sobre renta",B46="Opción de compra"),F46,G46)*$C$14)</f>
        <v>2761.16002995257</v>
      </c>
      <c r="K46" s="59">
        <f>IF(B46="","",F46+J46)</f>
        <v>20018.4102171562</v>
      </c>
      <c r="L46" s="59">
        <f>IF(B46="","",F46-IF(A46=$C$38,$C$30,0))</f>
        <v>17257.2501872036</v>
      </c>
      <c r="M46" s="78">
        <f>IF(B46="","",$C$37*(1+$C$13)^(-C46))</f>
        <v>0.999430879637984</v>
      </c>
      <c r="N46" s="59">
        <f>IF(B46="","",L46*M46)</f>
        <v>17247.4287347296</v>
      </c>
      <c r="O46" s="59">
        <f>IF(B46="","",IF(B46="Básico",F46,0)-IF(A46=$C$38,$C$30,0))</f>
        <v>17257.2501872036</v>
      </c>
      <c r="P46" s="77">
        <f>IF(B46="",$C$31,D46)</f>
        <v>46296.0</v>
      </c>
      <c r="Q46" s="59">
        <f>IF(B46="",0,L46)</f>
        <v>17257.2501872036</v>
      </c>
      <c r="R46" s="59">
        <f>IF(B46="",0,-F46)</f>
        <v>-17257.2501872036</v>
      </c>
      <c r="S46" s="59">
        <f>IF(B46="","",O46*M46)</f>
        <v>17247.4287347296</v>
      </c>
    </row>
    <row r="47">
      <c r="A47" s="7" t="n">
        <v>2</v>
      </c>
      <c r="B47" s="7" t="str">
        <f>IF(A47&gt;$C$38,"",IF(A47&lt;=$C$5,"Básico",IF($C$6&gt;0,"Sucesivo","Opción de compra")))</f>
        <v>Básico</v>
      </c>
      <c r="C47" s="7">
        <f>IF(B47="","",IF(B47="Opción de compra",$C$5,A47-$C$7))</f>
        <v>1</v>
      </c>
      <c r="D47" s="77">
        <f>IF(B47="","",EDATE($C$33,C47))</f>
        <v>46327.0</v>
      </c>
      <c r="E47" s="59">
        <f>IF(B47="","",I46)</f>
        <v>713233.245018478</v>
      </c>
      <c r="F47" s="59">
        <f>IF(B47="","",IF(B47="Básico",$C$24,IF(B47="Sucesivo",$C$25,$C$26)))</f>
        <v>17257.2501872036</v>
      </c>
      <c r="G47" s="59">
        <f>IF(B47="","",IF(B47="Opción de compra",0,(E47-$C$7*F47)*IF(B47="Sucesivo",$C$11,$C$9)))</f>
        <v>9859.65992677638</v>
      </c>
      <c r="H47" s="59">
        <f>IF(B47="","",F47-G47)</f>
        <v>7397.5902604272</v>
      </c>
      <c r="I47" s="59">
        <f>IF(B47="","",E47-H47)</f>
        <v>705835.654758051</v>
      </c>
      <c r="J47" s="59">
        <f>IF(B47="","",IF(OR(inp_Tipo="Arrendamiento Puro",par_BaseIVAFin="Sobre renta",B47="Opción de compra"),F47,G47)*$C$14)</f>
        <v>2761.16002995257</v>
      </c>
      <c r="K47" s="59">
        <f>IF(B47="","",F47+J47)</f>
        <v>20018.4102171562</v>
      </c>
      <c r="L47" s="59">
        <f>IF(B47="","",F47-IF(A47=$C$38,$C$30,0))</f>
        <v>17257.2501872036</v>
      </c>
      <c r="M47" s="78">
        <f>IF(B47="","",$C$37*(1+$C$13)^(-C47))</f>
        <v>0.982644043888227</v>
      </c>
      <c r="N47" s="59">
        <f>IF(B47="","",L47*M47)</f>
        <v>16957.7341103446</v>
      </c>
      <c r="O47" s="59">
        <f>IF(B47="","",IF(B47="Básico",F47,0)-IF(A47=$C$38,$C$30,0))</f>
        <v>17257.2501872036</v>
      </c>
      <c r="P47" s="77">
        <f>IF(B47="",$C$31,D47)</f>
        <v>46327.0</v>
      </c>
      <c r="Q47" s="59">
        <f>IF(B47="",0,L47)</f>
        <v>17257.2501872036</v>
      </c>
      <c r="R47" s="59">
        <f>IF(B47="",0,-F47)</f>
        <v>-17257.2501872036</v>
      </c>
      <c r="S47" s="59">
        <f>IF(B47="","",O47*M47)</f>
        <v>16957.7341103446</v>
      </c>
    </row>
    <row r="48">
      <c r="A48" s="7" t="n">
        <v>3</v>
      </c>
      <c r="B48" s="7" t="str">
        <f>IF(A48&gt;$C$38,"",IF(A48&lt;=$C$5,"Básico",IF($C$6&gt;0,"Sucesivo","Opción de compra")))</f>
        <v>Básico</v>
      </c>
      <c r="C48" s="7">
        <f>IF(B48="","",IF(B48="Opción de compra",$C$5,A48-$C$7))</f>
        <v>2</v>
      </c>
      <c r="D48" s="77">
        <f>IF(B48="","",EDATE($C$33,C48))</f>
        <v>46357.0</v>
      </c>
      <c r="E48" s="59">
        <f>IF(B48="","",I47)</f>
        <v>705835.654758051</v>
      </c>
      <c r="F48" s="59">
        <f>IF(B48="","",IF(B48="Básico",$C$24,IF(B48="Sucesivo",$C$25,$C$26)))</f>
        <v>17257.2501872036</v>
      </c>
      <c r="G48" s="59">
        <f>IF(B48="","",IF(B48="Opción de compra",0,(E48-$C$7*F48)*IF(B48="Sucesivo",$C$11,$C$9)))</f>
        <v>9754.86073142033</v>
      </c>
      <c r="H48" s="59">
        <f>IF(B48="","",F48-G48)</f>
        <v>7502.38945578326</v>
      </c>
      <c r="I48" s="59">
        <f>IF(B48="","",E48-H48)</f>
        <v>698333.265302267</v>
      </c>
      <c r="J48" s="59">
        <f>IF(B48="","",IF(OR(inp_Tipo="Arrendamiento Puro",par_BaseIVAFin="Sobre renta",B48="Opción de compra"),F48,G48)*$C$14)</f>
        <v>2761.16002995257</v>
      </c>
      <c r="K48" s="59">
        <f>IF(B48="","",F48+J48)</f>
        <v>20018.4102171562</v>
      </c>
      <c r="L48" s="59">
        <f>IF(B48="","",F48-IF(A48=$C$38,$C$30,0))</f>
        <v>17257.2501872036</v>
      </c>
      <c r="M48" s="78">
        <f>IF(B48="","",$C$37*(1+$C$13)^(-C48))</f>
        <v>0.966139166461182</v>
      </c>
      <c r="N48" s="59">
        <f>IF(B48="","",L48*M48)</f>
        <v>16672.9053112769</v>
      </c>
      <c r="O48" s="59">
        <f>IF(B48="","",IF(B48="Básico",F48,0)-IF(A48=$C$38,$C$30,0))</f>
        <v>17257.2501872036</v>
      </c>
      <c r="P48" s="77">
        <f>IF(B48="",$C$31,D48)</f>
        <v>46357.0</v>
      </c>
      <c r="Q48" s="59">
        <f>IF(B48="",0,L48)</f>
        <v>17257.2501872036</v>
      </c>
      <c r="R48" s="59">
        <f>IF(B48="",0,-F48)</f>
        <v>-17257.2501872036</v>
      </c>
      <c r="S48" s="59">
        <f>IF(B48="","",O48*M48)</f>
        <v>16672.9053112769</v>
      </c>
    </row>
    <row r="49">
      <c r="A49" s="7" t="n">
        <v>4</v>
      </c>
      <c r="B49" s="7" t="str">
        <f>IF(A49&gt;$C$38,"",IF(A49&lt;=$C$5,"Básico",IF($C$6&gt;0,"Sucesivo","Opción de compra")))</f>
        <v>Básico</v>
      </c>
      <c r="C49" s="7">
        <f>IF(B49="","",IF(B49="Opción de compra",$C$5,A49-$C$7))</f>
        <v>3</v>
      </c>
      <c r="D49" s="77">
        <f>IF(B49="","",EDATE($C$33,C49))</f>
        <v>46388.0</v>
      </c>
      <c r="E49" s="59">
        <f>IF(B49="","",I48)</f>
        <v>698333.265302267</v>
      </c>
      <c r="F49" s="59">
        <f>IF(B49="","",IF(B49="Básico",$C$24,IF(B49="Sucesivo",$C$25,$C$26)))</f>
        <v>17257.2501872036</v>
      </c>
      <c r="G49" s="59">
        <f>IF(B49="","",IF(B49="Opción de compra",0,(E49-$C$7*F49)*IF(B49="Sucesivo",$C$11,$C$9)))</f>
        <v>9648.57688079673</v>
      </c>
      <c r="H49" s="59">
        <f>IF(B49="","",F49-G49)</f>
        <v>7608.67330640685</v>
      </c>
      <c r="I49" s="59">
        <f>IF(B49="","",E49-H49)</f>
        <v>690724.59199586</v>
      </c>
      <c r="J49" s="59">
        <f>IF(B49="","",IF(OR(inp_Tipo="Arrendamiento Puro",par_BaseIVAFin="Sobre renta",B49="Opción de compra"),F49,G49)*$C$14)</f>
        <v>2761.16002995257</v>
      </c>
      <c r="K49" s="59">
        <f>IF(B49="","",F49+J49)</f>
        <v>20018.4102171562</v>
      </c>
      <c r="L49" s="59">
        <f>IF(B49="","",F49-IF(A49=$C$38,$C$30,0))</f>
        <v>17257.2501872036</v>
      </c>
      <c r="M49" s="78">
        <f>IF(B49="","",$C$37*(1+$C$13)^(-C49))</f>
        <v>0.949911511473509</v>
      </c>
      <c r="N49" s="59">
        <f>IF(B49="","",L49*M49)</f>
        <v>16392.8606092031</v>
      </c>
      <c r="O49" s="59">
        <f>IF(B49="","",IF(B49="Básico",F49,0)-IF(A49=$C$38,$C$30,0))</f>
        <v>17257.2501872036</v>
      </c>
      <c r="P49" s="77">
        <f>IF(B49="",$C$31,D49)</f>
        <v>46388.0</v>
      </c>
      <c r="Q49" s="59">
        <f>IF(B49="",0,L49)</f>
        <v>17257.2501872036</v>
      </c>
      <c r="R49" s="59">
        <f>IF(B49="",0,-F49)</f>
        <v>-17257.2501872036</v>
      </c>
      <c r="S49" s="59">
        <f>IF(B49="","",O49*M49)</f>
        <v>16392.8606092031</v>
      </c>
    </row>
    <row r="50">
      <c r="A50" s="7" t="n">
        <v>5</v>
      </c>
      <c r="B50" s="7" t="str">
        <f>IF(A50&gt;$C$38,"",IF(A50&lt;=$C$5,"Básico",IF($C$6&gt;0,"Sucesivo","Opción de compra")))</f>
        <v>Básico</v>
      </c>
      <c r="C50" s="7">
        <f>IF(B50="","",IF(B50="Opción de compra",$C$5,A50-$C$7))</f>
        <v>4</v>
      </c>
      <c r="D50" s="77">
        <f>IF(B50="","",EDATE($C$33,C50))</f>
        <v>46419.0</v>
      </c>
      <c r="E50" s="59">
        <f>IF(B50="","",I49)</f>
        <v>690724.59199586</v>
      </c>
      <c r="F50" s="59">
        <f>IF(B50="","",IF(B50="Básico",$C$24,IF(B50="Sucesivo",$C$25,$C$26)))</f>
        <v>17257.2501872036</v>
      </c>
      <c r="G50" s="59">
        <f>IF(B50="","",IF(B50="Opción de compra",0,(E50-$C$7*F50)*IF(B50="Sucesivo",$C$11,$C$9)))</f>
        <v>9540.7873422893</v>
      </c>
      <c r="H50" s="59">
        <f>IF(B50="","",F50-G50)</f>
        <v>7716.46284491428</v>
      </c>
      <c r="I50" s="59">
        <f>IF(B50="","",E50-H50)</f>
        <v>683008.129150946</v>
      </c>
      <c r="J50" s="59">
        <f>IF(B50="","",IF(OR(inp_Tipo="Arrendamiento Puro",par_BaseIVAFin="Sobre renta",B50="Opción de compra"),F50,G50)*$C$14)</f>
        <v>2761.16002995257</v>
      </c>
      <c r="K50" s="59">
        <f>IF(B50="","",F50+J50)</f>
        <v>20018.4102171562</v>
      </c>
      <c r="L50" s="59">
        <f>IF(B50="","",F50-IF(A50=$C$38,$C$30,0))</f>
        <v>17257.2501872036</v>
      </c>
      <c r="M50" s="78">
        <f>IF(B50="","",$C$37*(1+$C$13)^(-C50))</f>
        <v>0.933956422587637</v>
      </c>
      <c r="N50" s="59">
        <f>IF(B50="","",L50*M50)</f>
        <v>16117.5196485405</v>
      </c>
      <c r="O50" s="59">
        <f>IF(B50="","",IF(B50="Básico",F50,0)-IF(A50=$C$38,$C$30,0))</f>
        <v>17257.2501872036</v>
      </c>
      <c r="P50" s="77">
        <f>IF(B50="",$C$31,D50)</f>
        <v>46419.0</v>
      </c>
      <c r="Q50" s="59">
        <f>IF(B50="",0,L50)</f>
        <v>17257.2501872036</v>
      </c>
      <c r="R50" s="59">
        <f>IF(B50="",0,-F50)</f>
        <v>-17257.2501872036</v>
      </c>
      <c r="S50" s="59">
        <f>IF(B50="","",O50*M50)</f>
        <v>16117.5196485405</v>
      </c>
    </row>
    <row r="51">
      <c r="A51" s="7" t="n">
        <v>6</v>
      </c>
      <c r="B51" s="7" t="str">
        <f>IF(A51&gt;$C$38,"",IF(A51&lt;=$C$5,"Básico",IF($C$6&gt;0,"Sucesivo","Opción de compra")))</f>
        <v>Básico</v>
      </c>
      <c r="C51" s="7">
        <f>IF(B51="","",IF(B51="Opción de compra",$C$5,A51-$C$7))</f>
        <v>5</v>
      </c>
      <c r="D51" s="77">
        <f>IF(B51="","",EDATE($C$33,C51))</f>
        <v>46447.0</v>
      </c>
      <c r="E51" s="59">
        <f>IF(B51="","",I50)</f>
        <v>683008.129150946</v>
      </c>
      <c r="F51" s="59">
        <f>IF(B51="","",IF(B51="Básico",$C$24,IF(B51="Sucesivo",$C$25,$C$26)))</f>
        <v>17257.2501872036</v>
      </c>
      <c r="G51" s="59">
        <f>IF(B51="","",IF(B51="Opción de compra",0,(E51-$C$7*F51)*IF(B51="Sucesivo",$C$11,$C$9)))</f>
        <v>9431.47078531969</v>
      </c>
      <c r="H51" s="59">
        <f>IF(B51="","",F51-G51)</f>
        <v>7825.7794018839</v>
      </c>
      <c r="I51" s="59">
        <f>IF(B51="","",E51-H51)</f>
        <v>675182.349749062</v>
      </c>
      <c r="J51" s="59">
        <f>IF(B51="","",IF(OR(inp_Tipo="Arrendamiento Puro",par_BaseIVAFin="Sobre renta",B51="Opción de compra"),F51,G51)*$C$14)</f>
        <v>2761.16002995257</v>
      </c>
      <c r="K51" s="59">
        <f>IF(B51="","",F51+J51)</f>
        <v>20018.4102171562</v>
      </c>
      <c r="L51" s="59">
        <f>IF(B51="","",F51-IF(A51=$C$38,$C$30,0))</f>
        <v>17257.2501872036</v>
      </c>
      <c r="M51" s="78">
        <f>IF(B51="","",$C$37*(1+$C$13)^(-C51))</f>
        <v>0.918269321675677</v>
      </c>
      <c r="N51" s="59">
        <f>IF(B51="","",L51*M51)</f>
        <v>15846.8034233909</v>
      </c>
      <c r="O51" s="59">
        <f>IF(B51="","",IF(B51="Básico",F51,0)-IF(A51=$C$38,$C$30,0))</f>
        <v>17257.2501872036</v>
      </c>
      <c r="P51" s="77">
        <f>IF(B51="",$C$31,D51)</f>
        <v>46447.0</v>
      </c>
      <c r="Q51" s="59">
        <f>IF(B51="",0,L51)</f>
        <v>17257.2501872036</v>
      </c>
      <c r="R51" s="59">
        <f>IF(B51="",0,-F51)</f>
        <v>-17257.2501872036</v>
      </c>
      <c r="S51" s="59">
        <f>IF(B51="","",O51*M51)</f>
        <v>15846.8034233909</v>
      </c>
    </row>
    <row r="52">
      <c r="A52" s="7" t="n">
        <v>7</v>
      </c>
      <c r="B52" s="7" t="str">
        <f>IF(A52&gt;$C$38,"",IF(A52&lt;=$C$5,"Básico",IF($C$6&gt;0,"Sucesivo","Opción de compra")))</f>
        <v>Básico</v>
      </c>
      <c r="C52" s="7">
        <f>IF(B52="","",IF(B52="Opción de compra",$C$5,A52-$C$7))</f>
        <v>6</v>
      </c>
      <c r="D52" s="77">
        <f>IF(B52="","",EDATE($C$33,C52))</f>
        <v>46478.0</v>
      </c>
      <c r="E52" s="59">
        <f>IF(B52="","",I51)</f>
        <v>675182.349749062</v>
      </c>
      <c r="F52" s="59">
        <f>IF(B52="","",IF(B52="Básico",$C$24,IF(B52="Sucesivo",$C$25,$C$26)))</f>
        <v>17257.2501872036</v>
      </c>
      <c r="G52" s="59">
        <f>IF(B52="","",IF(B52="Opción de compra",0,(E52-$C$7*F52)*IF(B52="Sucesivo",$C$11,$C$9)))</f>
        <v>9320.60557712633</v>
      </c>
      <c r="H52" s="59">
        <f>IF(B52="","",F52-G52)</f>
        <v>7936.64461007726</v>
      </c>
      <c r="I52" s="59">
        <f>IF(B52="","",E52-H52)</f>
        <v>667245.705138985</v>
      </c>
      <c r="J52" s="59">
        <f>IF(B52="","",IF(OR(inp_Tipo="Arrendamiento Puro",par_BaseIVAFin="Sobre renta",B52="Opción de compra"),F52,G52)*$C$14)</f>
        <v>2761.16002995257</v>
      </c>
      <c r="K52" s="59">
        <f>IF(B52="","",F52+J52)</f>
        <v>20018.4102171562</v>
      </c>
      <c r="L52" s="59">
        <f>IF(B52="","",F52-IF(A52=$C$38,$C$30,0))</f>
        <v>17257.2501872036</v>
      </c>
      <c r="M52" s="78">
        <f>IF(B52="","",$C$37*(1+$C$13)^(-C52))</f>
        <v>0.902845707505787</v>
      </c>
      <c r="N52" s="59">
        <f>IF(B52="","",L52*M52)</f>
        <v>15580.6342548702</v>
      </c>
      <c r="O52" s="59">
        <f>IF(B52="","",IF(B52="Básico",F52,0)-IF(A52=$C$38,$C$30,0))</f>
        <v>17257.2501872036</v>
      </c>
      <c r="P52" s="77">
        <f>IF(B52="",$C$31,D52)</f>
        <v>46478.0</v>
      </c>
      <c r="Q52" s="59">
        <f>IF(B52="",0,L52)</f>
        <v>17257.2501872036</v>
      </c>
      <c r="R52" s="59">
        <f>IF(B52="",0,-F52)</f>
        <v>-17257.2501872036</v>
      </c>
      <c r="S52" s="59">
        <f>IF(B52="","",O52*M52)</f>
        <v>15580.6342548702</v>
      </c>
    </row>
    <row r="53">
      <c r="A53" s="7" t="n">
        <v>8</v>
      </c>
      <c r="B53" s="7" t="str">
        <f>IF(A53&gt;$C$38,"",IF(A53&lt;=$C$5,"Básico",IF($C$6&gt;0,"Sucesivo","Opción de compra")))</f>
        <v>Básico</v>
      </c>
      <c r="C53" s="7">
        <f>IF(B53="","",IF(B53="Opción de compra",$C$5,A53-$C$7))</f>
        <v>7</v>
      </c>
      <c r="D53" s="77">
        <f>IF(B53="","",EDATE($C$33,C53))</f>
        <v>46508.0</v>
      </c>
      <c r="E53" s="59">
        <f>IF(B53="","",I52)</f>
        <v>667245.705138985</v>
      </c>
      <c r="F53" s="59">
        <f>IF(B53="","",IF(B53="Básico",$C$24,IF(B53="Sucesivo",$C$25,$C$26)))</f>
        <v>17257.2501872036</v>
      </c>
      <c r="G53" s="59">
        <f>IF(B53="","",IF(B53="Opción de compra",0,(E53-$C$7*F53)*IF(B53="Sucesivo",$C$11,$C$9)))</f>
        <v>9208.16977848357</v>
      </c>
      <c r="H53" s="59">
        <f>IF(B53="","",F53-G53)</f>
        <v>8049.08040872002</v>
      </c>
      <c r="I53" s="59">
        <f>IF(B53="","",E53-H53)</f>
        <v>659196.624730265</v>
      </c>
      <c r="J53" s="59">
        <f>IF(B53="","",IF(OR(inp_Tipo="Arrendamiento Puro",par_BaseIVAFin="Sobre renta",B53="Opción de compra"),F53,G53)*$C$14)</f>
        <v>2761.16002995257</v>
      </c>
      <c r="K53" s="59">
        <f>IF(B53="","",F53+J53)</f>
        <v>20018.4102171562</v>
      </c>
      <c r="L53" s="59">
        <f>IF(B53="","",F53-IF(A53=$C$38,$C$30,0))</f>
        <v>17257.2501872036</v>
      </c>
      <c r="M53" s="78">
        <f>IF(B53="","",$C$37*(1+$C$13)^(-C53))</f>
        <v>0.887681154450589</v>
      </c>
      <c r="N53" s="59">
        <f>IF(B53="","",L53*M53)</f>
        <v>15318.9357688195</v>
      </c>
      <c r="O53" s="59">
        <f>IF(B53="","",IF(B53="Básico",F53,0)-IF(A53=$C$38,$C$30,0))</f>
        <v>17257.2501872036</v>
      </c>
      <c r="P53" s="77">
        <f>IF(B53="",$C$31,D53)</f>
        <v>46508.0</v>
      </c>
      <c r="Q53" s="59">
        <f>IF(B53="",0,L53)</f>
        <v>17257.2501872036</v>
      </c>
      <c r="R53" s="59">
        <f>IF(B53="",0,-F53)</f>
        <v>-17257.2501872036</v>
      </c>
      <c r="S53" s="59">
        <f>IF(B53="","",O53*M53)</f>
        <v>15318.9357688195</v>
      </c>
    </row>
    <row r="54">
      <c r="A54" s="7" t="n">
        <v>9</v>
      </c>
      <c r="B54" s="7" t="str">
        <f>IF(A54&gt;$C$38,"",IF(A54&lt;=$C$5,"Básico",IF($C$6&gt;0,"Sucesivo","Opción de compra")))</f>
        <v>Básico</v>
      </c>
      <c r="C54" s="7">
        <f>IF(B54="","",IF(B54="Opción de compra",$C$5,A54-$C$7))</f>
        <v>8</v>
      </c>
      <c r="D54" s="77">
        <f>IF(B54="","",EDATE($C$33,C54))</f>
        <v>46539.0</v>
      </c>
      <c r="E54" s="59">
        <f>IF(B54="","",I53)</f>
        <v>659196.624730265</v>
      </c>
      <c r="F54" s="59">
        <f>IF(B54="","",IF(B54="Básico",$C$24,IF(B54="Sucesivo",$C$25,$C$26)))</f>
        <v>17257.2501872036</v>
      </c>
      <c r="G54" s="59">
        <f>IF(B54="","",IF(B54="Opción de compra",0,(E54-$C$7*F54)*IF(B54="Sucesivo",$C$11,$C$9)))</f>
        <v>9094.14113936003</v>
      </c>
      <c r="H54" s="59">
        <f>IF(B54="","",F54-G54)</f>
        <v>8163.10904784355</v>
      </c>
      <c r="I54" s="59">
        <f>IF(B54="","",E54-H54)</f>
        <v>651033.515682421</v>
      </c>
      <c r="J54" s="59">
        <f>IF(B54="","",IF(OR(inp_Tipo="Arrendamiento Puro",par_BaseIVAFin="Sobre renta",B54="Opción de compra"),F54,G54)*$C$14)</f>
        <v>2761.16002995257</v>
      </c>
      <c r="K54" s="59">
        <f>IF(B54="","",F54+J54)</f>
        <v>20018.4102171562</v>
      </c>
      <c r="L54" s="59">
        <f>IF(B54="","",F54-IF(A54=$C$38,$C$30,0))</f>
        <v>17257.2501872036</v>
      </c>
      <c r="M54" s="78">
        <f>IF(B54="","",$C$37*(1+$C$13)^(-C54))</f>
        <v>0.872771311217294</v>
      </c>
      <c r="N54" s="59">
        <f>IF(B54="","",L54*M54)</f>
        <v>15061.6328738906</v>
      </c>
      <c r="O54" s="59">
        <f>IF(B54="","",IF(B54="Básico",F54,0)-IF(A54=$C$38,$C$30,0))</f>
        <v>17257.2501872036</v>
      </c>
      <c r="P54" s="77">
        <f>IF(B54="",$C$31,D54)</f>
        <v>46539.0</v>
      </c>
      <c r="Q54" s="59">
        <f>IF(B54="",0,L54)</f>
        <v>17257.2501872036</v>
      </c>
      <c r="R54" s="59">
        <f>IF(B54="",0,-F54)</f>
        <v>-17257.2501872036</v>
      </c>
      <c r="S54" s="59">
        <f>IF(B54="","",O54*M54)</f>
        <v>15061.6328738906</v>
      </c>
    </row>
    <row r="55">
      <c r="A55" s="7" t="n">
        <v>10</v>
      </c>
      <c r="B55" s="7" t="str">
        <f>IF(A55&gt;$C$38,"",IF(A55&lt;=$C$5,"Básico",IF($C$6&gt;0,"Sucesivo","Opción de compra")))</f>
        <v>Básico</v>
      </c>
      <c r="C55" s="7">
        <f>IF(B55="","",IF(B55="Opción de compra",$C$5,A55-$C$7))</f>
        <v>9</v>
      </c>
      <c r="D55" s="77">
        <f>IF(B55="","",EDATE($C$33,C55))</f>
        <v>46569.0</v>
      </c>
      <c r="E55" s="59">
        <f>IF(B55="","",I54)</f>
        <v>651033.515682421</v>
      </c>
      <c r="F55" s="59">
        <f>IF(B55="","",IF(B55="Básico",$C$24,IF(B55="Sucesivo",$C$25,$C$26)))</f>
        <v>17257.2501872036</v>
      </c>
      <c r="G55" s="59">
        <f>IF(B55="","",IF(B55="Opción de compra",0,(E55-$C$7*F55)*IF(B55="Sucesivo",$C$11,$C$9)))</f>
        <v>8978.49709451558</v>
      </c>
      <c r="H55" s="59">
        <f>IF(B55="","",F55-G55)</f>
        <v>8278.753092688</v>
      </c>
      <c r="I55" s="59">
        <f>IF(B55="","",E55-H55)</f>
        <v>642754.762589733</v>
      </c>
      <c r="J55" s="59">
        <f>IF(B55="","",IF(OR(inp_Tipo="Arrendamiento Puro",par_BaseIVAFin="Sobre renta",B55="Opción de compra"),F55,G55)*$C$14)</f>
        <v>2761.16002995257</v>
      </c>
      <c r="K55" s="59">
        <f>IF(B55="","",F55+J55)</f>
        <v>20018.4102171562</v>
      </c>
      <c r="L55" s="59">
        <f>IF(B55="","",F55-IF(A55=$C$38,$C$30,0))</f>
        <v>17257.2501872036</v>
      </c>
      <c r="M55" s="78">
        <f>IF(B55="","",$C$37*(1+$C$13)^(-C55))</f>
        <v>0.858111899599142</v>
      </c>
      <c r="N55" s="59">
        <f>IF(B55="","",L55*M55)</f>
        <v>14808.6517399989</v>
      </c>
      <c r="O55" s="59">
        <f>IF(B55="","",IF(B55="Básico",F55,0)-IF(A55=$C$38,$C$30,0))</f>
        <v>17257.2501872036</v>
      </c>
      <c r="P55" s="77">
        <f>IF(B55="",$C$31,D55)</f>
        <v>46569.0</v>
      </c>
      <c r="Q55" s="59">
        <f>IF(B55="",0,L55)</f>
        <v>17257.2501872036</v>
      </c>
      <c r="R55" s="59">
        <f>IF(B55="",0,-F55)</f>
        <v>-17257.2501872036</v>
      </c>
      <c r="S55" s="59">
        <f>IF(B55="","",O55*M55)</f>
        <v>14808.6517399989</v>
      </c>
    </row>
    <row r="56">
      <c r="A56" s="7" t="n">
        <v>11</v>
      </c>
      <c r="B56" s="7" t="str">
        <f>IF(A56&gt;$C$38,"",IF(A56&lt;=$C$5,"Básico",IF($C$6&gt;0,"Sucesivo","Opción de compra")))</f>
        <v>Básico</v>
      </c>
      <c r="C56" s="7">
        <f>IF(B56="","",IF(B56="Opción de compra",$C$5,A56-$C$7))</f>
        <v>10</v>
      </c>
      <c r="D56" s="77">
        <f>IF(B56="","",EDATE($C$33,C56))</f>
        <v>46600.0</v>
      </c>
      <c r="E56" s="59">
        <f>IF(B56="","",I55)</f>
        <v>642754.762589733</v>
      </c>
      <c r="F56" s="59">
        <f>IF(B56="","",IF(B56="Básico",$C$24,IF(B56="Sucesivo",$C$25,$C$26)))</f>
        <v>17257.2501872036</v>
      </c>
      <c r="G56" s="59">
        <f>IF(B56="","",IF(B56="Opción de compra",0,(E56-$C$7*F56)*IF(B56="Sucesivo",$C$11,$C$9)))</f>
        <v>8861.21475903584</v>
      </c>
      <c r="H56" s="59">
        <f>IF(B56="","",F56-G56)</f>
        <v>8396.03542816775</v>
      </c>
      <c r="I56" s="59">
        <f>IF(B56="","",E56-H56)</f>
        <v>634358.727161565</v>
      </c>
      <c r="J56" s="59">
        <f>IF(B56="","",IF(OR(inp_Tipo="Arrendamiento Puro",par_BaseIVAFin="Sobre renta",B56="Opción de compra"),F56,G56)*$C$14)</f>
        <v>2761.16002995257</v>
      </c>
      <c r="K56" s="59">
        <f>IF(B56="","",F56+J56)</f>
        <v>20018.4102171562</v>
      </c>
      <c r="L56" s="59">
        <f>IF(B56="","",F56-IF(A56=$C$38,$C$30,0))</f>
        <v>17257.2501872036</v>
      </c>
      <c r="M56" s="78">
        <f>IF(B56="","",$C$37*(1+$C$13)^(-C56))</f>
        <v>0.843698713247825</v>
      </c>
      <c r="N56" s="59">
        <f>IF(B56="","",L56*M56)</f>
        <v>14559.9197771395</v>
      </c>
      <c r="O56" s="59">
        <f>IF(B56="","",IF(B56="Básico",F56,0)-IF(A56=$C$38,$C$30,0))</f>
        <v>17257.2501872036</v>
      </c>
      <c r="P56" s="77">
        <f>IF(B56="",$C$31,D56)</f>
        <v>46600.0</v>
      </c>
      <c r="Q56" s="59">
        <f>IF(B56="",0,L56)</f>
        <v>17257.2501872036</v>
      </c>
      <c r="R56" s="59">
        <f>IF(B56="",0,-F56)</f>
        <v>-17257.2501872036</v>
      </c>
      <c r="S56" s="59">
        <f>IF(B56="","",O56*M56)</f>
        <v>14559.9197771395</v>
      </c>
    </row>
    <row r="57">
      <c r="A57" s="7" t="n">
        <v>12</v>
      </c>
      <c r="B57" s="7" t="str">
        <f>IF(A57&gt;$C$38,"",IF(A57&lt;=$C$5,"Básico",IF($C$6&gt;0,"Sucesivo","Opción de compra")))</f>
        <v>Básico</v>
      </c>
      <c r="C57" s="7">
        <f>IF(B57="","",IF(B57="Opción de compra",$C$5,A57-$C$7))</f>
        <v>11</v>
      </c>
      <c r="D57" s="77">
        <f>IF(B57="","",EDATE($C$33,C57))</f>
        <v>46631.0</v>
      </c>
      <c r="E57" s="59">
        <f>IF(B57="","",I56)</f>
        <v>634358.727161565</v>
      </c>
      <c r="F57" s="59">
        <f>IF(B57="","",IF(B57="Básico",$C$24,IF(B57="Sucesivo",$C$25,$C$26)))</f>
        <v>17257.2501872036</v>
      </c>
      <c r="G57" s="59">
        <f>IF(B57="","",IF(B57="Opción de compra",0,(E57-$C$7*F57)*IF(B57="Sucesivo",$C$11,$C$9)))</f>
        <v>8742.27092380346</v>
      </c>
      <c r="H57" s="59">
        <f>IF(B57="","",F57-G57)</f>
        <v>8514.97926340013</v>
      </c>
      <c r="I57" s="59">
        <f>IF(B57="","",E57-H57)</f>
        <v>625843.747898165</v>
      </c>
      <c r="J57" s="59">
        <f>IF(B57="","",IF(OR(inp_Tipo="Arrendamiento Puro",par_BaseIVAFin="Sobre renta",B57="Opción de compra"),F57,G57)*$C$14)</f>
        <v>2761.16002995257</v>
      </c>
      <c r="K57" s="59">
        <f>IF(B57="","",F57+J57)</f>
        <v>20018.4102171562</v>
      </c>
      <c r="L57" s="59">
        <f>IF(B57="","",F57-IF(A57=$C$38,$C$30,0))</f>
        <v>17257.2501872036</v>
      </c>
      <c r="M57" s="78">
        <f>IF(B57="","",$C$37*(1+$C$13)^(-C57))</f>
        <v>0.829527616466522</v>
      </c>
      <c r="N57" s="59">
        <f>IF(B57="","",L57*M57)</f>
        <v>14315.3656145574</v>
      </c>
      <c r="O57" s="59">
        <f>IF(B57="","",IF(B57="Básico",F57,0)-IF(A57=$C$38,$C$30,0))</f>
        <v>17257.2501872036</v>
      </c>
      <c r="P57" s="77">
        <f>IF(B57="",$C$31,D57)</f>
        <v>46631.0</v>
      </c>
      <c r="Q57" s="59">
        <f>IF(B57="",0,L57)</f>
        <v>17257.2501872036</v>
      </c>
      <c r="R57" s="59">
        <f>IF(B57="",0,-F57)</f>
        <v>-17257.2501872036</v>
      </c>
      <c r="S57" s="59">
        <f>IF(B57="","",O57*M57)</f>
        <v>14315.3656145574</v>
      </c>
    </row>
    <row r="58">
      <c r="A58" s="7" t="n">
        <v>13</v>
      </c>
      <c r="B58" s="7" t="str">
        <f>IF(A58&gt;$C$38,"",IF(A58&lt;=$C$5,"Básico",IF($C$6&gt;0,"Sucesivo","Opción de compra")))</f>
        <v>Básico</v>
      </c>
      <c r="C58" s="7">
        <f>IF(B58="","",IF(B58="Opción de compra",$C$5,A58-$C$7))</f>
        <v>12</v>
      </c>
      <c r="D58" s="77">
        <f>IF(B58="","",EDATE($C$33,C58))</f>
        <v>46661.0</v>
      </c>
      <c r="E58" s="59">
        <f>IF(B58="","",I57)</f>
        <v>625843.747898165</v>
      </c>
      <c r="F58" s="59">
        <f>IF(B58="","",IF(B58="Básico",$C$24,IF(B58="Sucesivo",$C$25,$C$26)))</f>
        <v>17257.2501872036</v>
      </c>
      <c r="G58" s="59">
        <f>IF(B58="","",IF(B58="Opción de compra",0,(E58-$C$7*F58)*IF(B58="Sucesivo",$C$11,$C$9)))</f>
        <v>8621.64205090529</v>
      </c>
      <c r="H58" s="59">
        <f>IF(B58="","",F58-G58)</f>
        <v>8635.6081362983</v>
      </c>
      <c r="I58" s="59">
        <f>IF(B58="","",E58-H58)</f>
        <v>617208.139761867</v>
      </c>
      <c r="J58" s="59">
        <f>IF(B58="","",IF(OR(inp_Tipo="Arrendamiento Puro",par_BaseIVAFin="Sobre renta",B58="Opción de compra"),F58,G58)*$C$14)</f>
        <v>2761.16002995257</v>
      </c>
      <c r="K58" s="59">
        <f>IF(B58="","",F58+J58)</f>
        <v>20018.4102171562</v>
      </c>
      <c r="L58" s="59">
        <f>IF(B58="","",F58-IF(A58=$C$38,$C$30,0))</f>
        <v>17257.2501872036</v>
      </c>
      <c r="M58" s="78">
        <f>IF(B58="","",$C$37*(1+$C$13)^(-C58))</f>
        <v>0.815594543023209</v>
      </c>
      <c r="N58" s="59">
        <f>IF(B58="","",L58*M58)</f>
        <v>14074.9190802695</v>
      </c>
      <c r="O58" s="59">
        <f>IF(B58="","",IF(B58="Básico",F58,0)-IF(A58=$C$38,$C$30,0))</f>
        <v>17257.2501872036</v>
      </c>
      <c r="P58" s="77">
        <f>IF(B58="",$C$31,D58)</f>
        <v>46661.0</v>
      </c>
      <c r="Q58" s="59">
        <f>IF(B58="",0,L58)</f>
        <v>17257.2501872036</v>
      </c>
      <c r="R58" s="59">
        <f>IF(B58="",0,-F58)</f>
        <v>-17257.2501872036</v>
      </c>
      <c r="S58" s="59">
        <f>IF(B58="","",O58*M58)</f>
        <v>14074.9190802695</v>
      </c>
    </row>
    <row r="59">
      <c r="A59" s="7" t="n">
        <v>14</v>
      </c>
      <c r="B59" s="7" t="str">
        <f>IF(A59&gt;$C$38,"",IF(A59&lt;=$C$5,"Básico",IF($C$6&gt;0,"Sucesivo","Opción de compra")))</f>
        <v>Básico</v>
      </c>
      <c r="C59" s="7">
        <f>IF(B59="","",IF(B59="Opción de compra",$C$5,A59-$C$7))</f>
        <v>13</v>
      </c>
      <c r="D59" s="77">
        <f>IF(B59="","",EDATE($C$33,C59))</f>
        <v>46692.0</v>
      </c>
      <c r="E59" s="59">
        <f>IF(B59="","",I58)</f>
        <v>617208.139761867</v>
      </c>
      <c r="F59" s="59">
        <f>IF(B59="","",IF(B59="Básico",$C$24,IF(B59="Sucesivo",$C$25,$C$26)))</f>
        <v>17257.2501872036</v>
      </c>
      <c r="G59" s="59">
        <f>IF(B59="","",IF(B59="Opción de compra",0,(E59-$C$7*F59)*IF(B59="Sucesivo",$C$11,$C$9)))</f>
        <v>8499.3042689744</v>
      </c>
      <c r="H59" s="59">
        <f>IF(B59="","",F59-G59)</f>
        <v>8757.94591822919</v>
      </c>
      <c r="I59" s="59">
        <f>IF(B59="","",E59-H59)</f>
        <v>608450.193843638</v>
      </c>
      <c r="J59" s="59">
        <f>IF(B59="","",IF(OR(inp_Tipo="Arrendamiento Puro",par_BaseIVAFin="Sobre renta",B59="Opción de compra"),F59,G59)*$C$14)</f>
        <v>2761.16002995257</v>
      </c>
      <c r="K59" s="59">
        <f>IF(B59="","",F59+J59)</f>
        <v>20018.4102171562</v>
      </c>
      <c r="L59" s="59">
        <f>IF(B59="","",F59-IF(A59=$C$38,$C$30,0))</f>
        <v>17257.2501872036</v>
      </c>
      <c r="M59" s="78">
        <f>IF(B59="","",$C$37*(1+$C$13)^(-C59))</f>
        <v>0.8018954949839</v>
      </c>
      <c r="N59" s="59">
        <f>IF(B59="","",L59*M59)</f>
        <v>13838.5111809286</v>
      </c>
      <c r="O59" s="59">
        <f>IF(B59="","",IF(B59="Básico",F59,0)-IF(A59=$C$38,$C$30,0))</f>
        <v>17257.2501872036</v>
      </c>
      <c r="P59" s="77">
        <f>IF(B59="",$C$31,D59)</f>
        <v>46692.0</v>
      </c>
      <c r="Q59" s="59">
        <f>IF(B59="",0,L59)</f>
        <v>17257.2501872036</v>
      </c>
      <c r="R59" s="59">
        <f>IF(B59="",0,-F59)</f>
        <v>-17257.2501872036</v>
      </c>
      <c r="S59" s="59">
        <f>IF(B59="","",O59*M59)</f>
        <v>13838.5111809286</v>
      </c>
    </row>
    <row r="60">
      <c r="A60" s="7" t="n">
        <v>15</v>
      </c>
      <c r="B60" s="7" t="str">
        <f>IF(A60&gt;$C$38,"",IF(A60&lt;=$C$5,"Básico",IF($C$6&gt;0,"Sucesivo","Opción de compra")))</f>
        <v>Básico</v>
      </c>
      <c r="C60" s="7">
        <f>IF(B60="","",IF(B60="Opción de compra",$C$5,A60-$C$7))</f>
        <v>14</v>
      </c>
      <c r="D60" s="77">
        <f>IF(B60="","",EDATE($C$33,C60))</f>
        <v>46722.0</v>
      </c>
      <c r="E60" s="59">
        <f>IF(B60="","",I59)</f>
        <v>608450.193843638</v>
      </c>
      <c r="F60" s="59">
        <f>IF(B60="","",IF(B60="Básico",$C$24,IF(B60="Sucesivo",$C$25,$C$26)))</f>
        <v>17257.2501872036</v>
      </c>
      <c r="G60" s="59">
        <f>IF(B60="","",IF(B60="Opción de compra",0,(E60-$C$7*F60)*IF(B60="Sucesivo",$C$11,$C$9)))</f>
        <v>8375.23336846615</v>
      </c>
      <c r="H60" s="59">
        <f>IF(B60="","",F60-G60)</f>
        <v>8882.01681873744</v>
      </c>
      <c r="I60" s="59">
        <f>IF(B60="","",E60-H60)</f>
        <v>599568.1770249</v>
      </c>
      <c r="J60" s="59">
        <f>IF(B60="","",IF(OR(inp_Tipo="Arrendamiento Puro",par_BaseIVAFin="Sobre renta",B60="Opción de compra"),F60,G60)*$C$14)</f>
        <v>2761.16002995257</v>
      </c>
      <c r="K60" s="59">
        <f>IF(B60="","",F60+J60)</f>
        <v>20018.4102171562</v>
      </c>
      <c r="L60" s="59">
        <f>IF(B60="","",F60-IF(A60=$C$38,$C$30,0))</f>
        <v>17257.2501872036</v>
      </c>
      <c r="M60" s="78">
        <f>IF(B60="","",$C$37*(1+$C$13)^(-C60))</f>
        <v>0.78842654156549</v>
      </c>
      <c r="N60" s="59">
        <f>IF(B60="","",L60*M60)</f>
        <v>13606.0740820273</v>
      </c>
      <c r="O60" s="59">
        <f>IF(B60="","",IF(B60="Básico",F60,0)-IF(A60=$C$38,$C$30,0))</f>
        <v>17257.2501872036</v>
      </c>
      <c r="P60" s="77">
        <f>IF(B60="",$C$31,D60)</f>
        <v>46722.0</v>
      </c>
      <c r="Q60" s="59">
        <f>IF(B60="",0,L60)</f>
        <v>17257.2501872036</v>
      </c>
      <c r="R60" s="59">
        <f>IF(B60="",0,-F60)</f>
        <v>-17257.2501872036</v>
      </c>
      <c r="S60" s="59">
        <f>IF(B60="","",O60*M60)</f>
        <v>13606.0740820273</v>
      </c>
    </row>
    <row r="61">
      <c r="A61" s="7" t="n">
        <v>16</v>
      </c>
      <c r="B61" s="7" t="str">
        <f>IF(A61&gt;$C$38,"",IF(A61&lt;=$C$5,"Básico",IF($C$6&gt;0,"Sucesivo","Opción de compra")))</f>
        <v>Básico</v>
      </c>
      <c r="C61" s="7">
        <f>IF(B61="","",IF(B61="Opción de compra",$C$5,A61-$C$7))</f>
        <v>15</v>
      </c>
      <c r="D61" s="77">
        <f>IF(B61="","",EDATE($C$33,C61))</f>
        <v>46753.0</v>
      </c>
      <c r="E61" s="59">
        <f>IF(B61="","",I60)</f>
        <v>599568.1770249</v>
      </c>
      <c r="F61" s="59">
        <f>IF(B61="","",IF(B61="Básico",$C$24,IF(B61="Sucesivo",$C$25,$C$26)))</f>
        <v>17257.2501872036</v>
      </c>
      <c r="G61" s="59">
        <f>IF(B61="","",IF(B61="Opción de compra",0,(E61-$C$7*F61)*IF(B61="Sucesivo",$C$11,$C$9)))</f>
        <v>8249.40479686737</v>
      </c>
      <c r="H61" s="59">
        <f>IF(B61="","",F61-G61)</f>
        <v>9007.84539033622</v>
      </c>
      <c r="I61" s="59">
        <f>IF(B61="","",E61-H61)</f>
        <v>590560.331634564</v>
      </c>
      <c r="J61" s="59">
        <f>IF(B61="","",IF(OR(inp_Tipo="Arrendamiento Puro",par_BaseIVAFin="Sobre renta",B61="Opción de compra"),F61,G61)*$C$14)</f>
        <v>2761.16002995257</v>
      </c>
      <c r="K61" s="59">
        <f>IF(B61="","",F61+J61)</f>
        <v>20018.4102171562</v>
      </c>
      <c r="L61" s="59">
        <f>IF(B61="","",F61-IF(A61=$C$38,$C$30,0))</f>
        <v>17257.2501872036</v>
      </c>
      <c r="M61" s="78">
        <f>IF(B61="","",$C$37*(1+$C$13)^(-C61))</f>
        <v>0.775183818007856</v>
      </c>
      <c r="N61" s="59">
        <f>IF(B61="","",L61*M61)</f>
        <v>13377.5410884333</v>
      </c>
      <c r="O61" s="59">
        <f>IF(B61="","",IF(B61="Básico",F61,0)-IF(A61=$C$38,$C$30,0))</f>
        <v>17257.2501872036</v>
      </c>
      <c r="P61" s="77">
        <f>IF(B61="",$C$31,D61)</f>
        <v>46753.0</v>
      </c>
      <c r="Q61" s="59">
        <f>IF(B61="",0,L61)</f>
        <v>17257.2501872036</v>
      </c>
      <c r="R61" s="59">
        <f>IF(B61="",0,-F61)</f>
        <v>-17257.2501872036</v>
      </c>
      <c r="S61" s="59">
        <f>IF(B61="","",O61*M61)</f>
        <v>13377.5410884333</v>
      </c>
    </row>
    <row r="62">
      <c r="A62" s="7" t="n">
        <v>17</v>
      </c>
      <c r="B62" s="7" t="str">
        <f>IF(A62&gt;$C$38,"",IF(A62&lt;=$C$5,"Básico",IF($C$6&gt;0,"Sucesivo","Opción de compra")))</f>
        <v>Básico</v>
      </c>
      <c r="C62" s="7">
        <f>IF(B62="","",IF(B62="Opción de compra",$C$5,A62-$C$7))</f>
        <v>16</v>
      </c>
      <c r="D62" s="77">
        <f>IF(B62="","",EDATE($C$33,C62))</f>
        <v>46784.0</v>
      </c>
      <c r="E62" s="59">
        <f>IF(B62="","",I61)</f>
        <v>590560.331634564</v>
      </c>
      <c r="F62" s="59">
        <f>IF(B62="","",IF(B62="Básico",$C$24,IF(B62="Sucesivo",$C$25,$C$26)))</f>
        <v>17257.2501872036</v>
      </c>
      <c r="G62" s="59">
        <f>IF(B62="","",IF(B62="Opción de compra",0,(E62-$C$7*F62)*IF(B62="Sucesivo",$C$11,$C$9)))</f>
        <v>8121.79365383761</v>
      </c>
      <c r="H62" s="59">
        <f>IF(B62="","",F62-G62)</f>
        <v>9135.45653336598</v>
      </c>
      <c r="I62" s="59">
        <f>IF(B62="","",E62-H62)</f>
        <v>581424.875101198</v>
      </c>
      <c r="J62" s="59">
        <f>IF(B62="","",IF(OR(inp_Tipo="Arrendamiento Puro",par_BaseIVAFin="Sobre renta",B62="Opción de compra"),F62,G62)*$C$14)</f>
        <v>2761.16002995257</v>
      </c>
      <c r="K62" s="59">
        <f>IF(B62="","",F62+J62)</f>
        <v>20018.4102171562</v>
      </c>
      <c r="L62" s="59">
        <f>IF(B62="","",F62-IF(A62=$C$38,$C$30,0))</f>
        <v>17257.2501872036</v>
      </c>
      <c r="M62" s="78">
        <f>IF(B62="","",$C$37*(1+$C$13)^(-C62))</f>
        <v>0.762163524464913</v>
      </c>
      <c r="N62" s="59">
        <f>IF(B62="","",L62*M62)</f>
        <v>13152.8466252519</v>
      </c>
      <c r="O62" s="59">
        <f>IF(B62="","",IF(B62="Básico",F62,0)-IF(A62=$C$38,$C$30,0))</f>
        <v>17257.2501872036</v>
      </c>
      <c r="P62" s="77">
        <f>IF(B62="",$C$31,D62)</f>
        <v>46784.0</v>
      </c>
      <c r="Q62" s="59">
        <f>IF(B62="",0,L62)</f>
        <v>17257.2501872036</v>
      </c>
      <c r="R62" s="59">
        <f>IF(B62="",0,-F62)</f>
        <v>-17257.2501872036</v>
      </c>
      <c r="S62" s="59">
        <f>IF(B62="","",O62*M62)</f>
        <v>13152.8466252519</v>
      </c>
    </row>
    <row r="63">
      <c r="A63" s="7" t="n">
        <v>18</v>
      </c>
      <c r="B63" s="7" t="str">
        <f>IF(A63&gt;$C$38,"",IF(A63&lt;=$C$5,"Básico",IF($C$6&gt;0,"Sucesivo","Opción de compra")))</f>
        <v>Básico</v>
      </c>
      <c r="C63" s="7">
        <f>IF(B63="","",IF(B63="Opción de compra",$C$5,A63-$C$7))</f>
        <v>17</v>
      </c>
      <c r="D63" s="77">
        <f>IF(B63="","",EDATE($C$33,C63))</f>
        <v>46813.0</v>
      </c>
      <c r="E63" s="59">
        <f>IF(B63="","",I62)</f>
        <v>581424.875101198</v>
      </c>
      <c r="F63" s="59">
        <f>IF(B63="","",IF(B63="Básico",$C$24,IF(B63="Sucesivo",$C$25,$C$26)))</f>
        <v>17257.2501872036</v>
      </c>
      <c r="G63" s="59">
        <f>IF(B63="","",IF(B63="Opción de compra",0,(E63-$C$7*F63)*IF(B63="Sucesivo",$C$11,$C$9)))</f>
        <v>7992.37468628159</v>
      </c>
      <c r="H63" s="59">
        <f>IF(B63="","",F63-G63)</f>
        <v>9264.875500922</v>
      </c>
      <c r="I63" s="59">
        <f>IF(B63="","",E63-H63)</f>
        <v>572159.999600276</v>
      </c>
      <c r="J63" s="59">
        <f>IF(B63="","",IF(OR(inp_Tipo="Arrendamiento Puro",par_BaseIVAFin="Sobre renta",B63="Opción de compra"),F63,G63)*$C$14)</f>
        <v>2761.16002995257</v>
      </c>
      <c r="K63" s="59">
        <f>IF(B63="","",F63+J63)</f>
        <v>20018.4102171562</v>
      </c>
      <c r="L63" s="59">
        <f>IF(B63="","",F63-IF(A63=$C$38,$C$30,0))</f>
        <v>17257.2501872036</v>
      </c>
      <c r="M63" s="78">
        <f>IF(B63="","",$C$37*(1+$C$13)^(-C63))</f>
        <v>0.749361924914294</v>
      </c>
      <c r="N63" s="59">
        <f>IF(B63="","",L63*M63)</f>
        <v>12931.9262190104</v>
      </c>
      <c r="O63" s="59">
        <f>IF(B63="","",IF(B63="Básico",F63,0)-IF(A63=$C$38,$C$30,0))</f>
        <v>17257.2501872036</v>
      </c>
      <c r="P63" s="77">
        <f>IF(B63="",$C$31,D63)</f>
        <v>46813.0</v>
      </c>
      <c r="Q63" s="59">
        <f>IF(B63="",0,L63)</f>
        <v>17257.2501872036</v>
      </c>
      <c r="R63" s="59">
        <f>IF(B63="",0,-F63)</f>
        <v>-17257.2501872036</v>
      </c>
      <c r="S63" s="59">
        <f>IF(B63="","",O63*M63)</f>
        <v>12931.9262190104</v>
      </c>
    </row>
    <row r="64">
      <c r="A64" s="7" t="n">
        <v>19</v>
      </c>
      <c r="B64" s="7" t="str">
        <f>IF(A64&gt;$C$38,"",IF(A64&lt;=$C$5,"Básico",IF($C$6&gt;0,"Sucesivo","Opción de compra")))</f>
        <v>Básico</v>
      </c>
      <c r="C64" s="7">
        <f>IF(B64="","",IF(B64="Opción de compra",$C$5,A64-$C$7))</f>
        <v>18</v>
      </c>
      <c r="D64" s="77">
        <f>IF(B64="","",EDATE($C$33,C64))</f>
        <v>46844.0</v>
      </c>
      <c r="E64" s="59">
        <f>IF(B64="","",I63)</f>
        <v>572159.999600276</v>
      </c>
      <c r="F64" s="59">
        <f>IF(B64="","",IF(B64="Básico",$C$24,IF(B64="Sucesivo",$C$25,$C$26)))</f>
        <v>17257.2501872036</v>
      </c>
      <c r="G64" s="59">
        <f>IF(B64="","",IF(B64="Opción de compra",0,(E64-$C$7*F64)*IF(B64="Sucesivo",$C$11,$C$9)))</f>
        <v>7861.12228335186</v>
      </c>
      <c r="H64" s="59">
        <f>IF(B64="","",F64-G64)</f>
        <v>9396.12790385172</v>
      </c>
      <c r="I64" s="59">
        <f>IF(B64="","",E64-H64)</f>
        <v>562763.871696425</v>
      </c>
      <c r="J64" s="59">
        <f>IF(B64="","",IF(OR(inp_Tipo="Arrendamiento Puro",par_BaseIVAFin="Sobre renta",B64="Opción de compra"),F64,G64)*$C$14)</f>
        <v>2761.16002995257</v>
      </c>
      <c r="K64" s="59">
        <f>IF(B64="","",F64+J64)</f>
        <v>20018.4102171562</v>
      </c>
      <c r="L64" s="59">
        <f>IF(B64="","",F64-IF(A64=$C$38,$C$30,0))</f>
        <v>17257.2501872036</v>
      </c>
      <c r="M64" s="78">
        <f>IF(B64="","",$C$37*(1+$C$13)^(-C64))</f>
        <v>0.736775346085336</v>
      </c>
      <c r="N64" s="59">
        <f>IF(B64="","",L64*M64)</f>
        <v>12714.7164791582</v>
      </c>
      <c r="O64" s="59">
        <f>IF(B64="","",IF(B64="Básico",F64,0)-IF(A64=$C$38,$C$30,0))</f>
        <v>17257.2501872036</v>
      </c>
      <c r="P64" s="77">
        <f>IF(B64="",$C$31,D64)</f>
        <v>46844.0</v>
      </c>
      <c r="Q64" s="59">
        <f>IF(B64="",0,L64)</f>
        <v>17257.2501872036</v>
      </c>
      <c r="R64" s="59">
        <f>IF(B64="",0,-F64)</f>
        <v>-17257.2501872036</v>
      </c>
      <c r="S64" s="59">
        <f>IF(B64="","",O64*M64)</f>
        <v>12714.7164791582</v>
      </c>
    </row>
    <row r="65">
      <c r="A65" s="7" t="n">
        <v>20</v>
      </c>
      <c r="B65" s="7" t="str">
        <f>IF(A65&gt;$C$38,"",IF(A65&lt;=$C$5,"Básico",IF($C$6&gt;0,"Sucesivo","Opción de compra")))</f>
        <v>Básico</v>
      </c>
      <c r="C65" s="7">
        <f>IF(B65="","",IF(B65="Opción de compra",$C$5,A65-$C$7))</f>
        <v>19</v>
      </c>
      <c r="D65" s="77">
        <f>IF(B65="","",EDATE($C$33,C65))</f>
        <v>46874.0</v>
      </c>
      <c r="E65" s="59">
        <f>IF(B65="","",I64)</f>
        <v>562763.871696425</v>
      </c>
      <c r="F65" s="59">
        <f>IF(B65="","",IF(B65="Básico",$C$24,IF(B65="Sucesivo",$C$25,$C$26)))</f>
        <v>17257.2501872036</v>
      </c>
      <c r="G65" s="59">
        <f>IF(B65="","",IF(B65="Opción de compra",0,(E65-$C$7*F65)*IF(B65="Sucesivo",$C$11,$C$9)))</f>
        <v>7728.01047138063</v>
      </c>
      <c r="H65" s="59">
        <f>IF(B65="","",F65-G65)</f>
        <v>9529.23971582296</v>
      </c>
      <c r="I65" s="59">
        <f>IF(B65="","",E65-H65)</f>
        <v>553234.631980602</v>
      </c>
      <c r="J65" s="59">
        <f>IF(B65="","",IF(OR(inp_Tipo="Arrendamiento Puro",par_BaseIVAFin="Sobre renta",B65="Opción de compra"),F65,G65)*$C$14)</f>
        <v>2761.16002995257</v>
      </c>
      <c r="K65" s="59">
        <f>IF(B65="","",F65+J65)</f>
        <v>20018.4102171562</v>
      </c>
      <c r="L65" s="59">
        <f>IF(B65="","",F65-IF(A65=$C$38,$C$30,0))</f>
        <v>17257.2501872036</v>
      </c>
      <c r="M65" s="78">
        <f>IF(B65="","",$C$37*(1+$C$13)^(-C65))</f>
        <v>0.724400176405083</v>
      </c>
      <c r="N65" s="59">
        <f>IF(B65="","",L65*M65)</f>
        <v>12501.1550798769</v>
      </c>
      <c r="O65" s="59">
        <f>IF(B65="","",IF(B65="Básico",F65,0)-IF(A65=$C$38,$C$30,0))</f>
        <v>17257.2501872036</v>
      </c>
      <c r="P65" s="77">
        <f>IF(B65="",$C$31,D65)</f>
        <v>46874.0</v>
      </c>
      <c r="Q65" s="59">
        <f>IF(B65="",0,L65)</f>
        <v>17257.2501872036</v>
      </c>
      <c r="R65" s="59">
        <f>IF(B65="",0,-F65)</f>
        <v>-17257.2501872036</v>
      </c>
      <c r="S65" s="59">
        <f>IF(B65="","",O65*M65)</f>
        <v>12501.1550798769</v>
      </c>
    </row>
    <row r="66">
      <c r="A66" s="7" t="n">
        <v>21</v>
      </c>
      <c r="B66" s="7" t="str">
        <f>IF(A66&gt;$C$38,"",IF(A66&lt;=$C$5,"Básico",IF($C$6&gt;0,"Sucesivo","Opción de compra")))</f>
        <v>Básico</v>
      </c>
      <c r="C66" s="7">
        <f>IF(B66="","",IF(B66="Opción de compra",$C$5,A66-$C$7))</f>
        <v>20</v>
      </c>
      <c r="D66" s="77">
        <f>IF(B66="","",EDATE($C$33,C66))</f>
        <v>46905.0</v>
      </c>
      <c r="E66" s="59">
        <f>IF(B66="","",I65)</f>
        <v>553234.631980602</v>
      </c>
      <c r="F66" s="59">
        <f>IF(B66="","",IF(B66="Básico",$C$24,IF(B66="Sucesivo",$C$25,$C$26)))</f>
        <v>17257.2501872036</v>
      </c>
      <c r="G66" s="59">
        <f>IF(B66="","",IF(B66="Opción de compra",0,(E66-$C$7*F66)*IF(B66="Sucesivo",$C$11,$C$9)))</f>
        <v>7593.0129087398</v>
      </c>
      <c r="H66" s="59">
        <f>IF(B66="","",F66-G66)</f>
        <v>9664.23727846378</v>
      </c>
      <c r="I66" s="59">
        <f>IF(B66="","",E66-H66)</f>
        <v>543570.394702138</v>
      </c>
      <c r="J66" s="59">
        <f>IF(B66="","",IF(OR(inp_Tipo="Arrendamiento Puro",par_BaseIVAFin="Sobre renta",B66="Opción de compra"),F66,G66)*$C$14)</f>
        <v>2761.16002995257</v>
      </c>
      <c r="K66" s="59">
        <f>IF(B66="","",F66+J66)</f>
        <v>20018.4102171562</v>
      </c>
      <c r="L66" s="59">
        <f>IF(B66="","",F66-IF(A66=$C$38,$C$30,0))</f>
        <v>17257.2501872036</v>
      </c>
      <c r="M66" s="78">
        <f>IF(B66="","",$C$37*(1+$C$13)^(-C66))</f>
        <v>0.712232864961982</v>
      </c>
      <c r="N66" s="59">
        <f>IF(B66="","",L66*M66)</f>
        <v>12291.1807421977</v>
      </c>
      <c r="O66" s="59">
        <f>IF(B66="","",IF(B66="Básico",F66,0)-IF(A66=$C$38,$C$30,0))</f>
        <v>17257.2501872036</v>
      </c>
      <c r="P66" s="77">
        <f>IF(B66="",$C$31,D66)</f>
        <v>46905.0</v>
      </c>
      <c r="Q66" s="59">
        <f>IF(B66="",0,L66)</f>
        <v>17257.2501872036</v>
      </c>
      <c r="R66" s="59">
        <f>IF(B66="",0,-F66)</f>
        <v>-17257.2501872036</v>
      </c>
      <c r="S66" s="59">
        <f>IF(B66="","",O66*M66)</f>
        <v>12291.1807421977</v>
      </c>
    </row>
    <row r="67">
      <c r="A67" s="7" t="n">
        <v>22</v>
      </c>
      <c r="B67" s="7" t="str">
        <f>IF(A67&gt;$C$38,"",IF(A67&lt;=$C$5,"Básico",IF($C$6&gt;0,"Sucesivo","Opción de compra")))</f>
        <v>Básico</v>
      </c>
      <c r="C67" s="7">
        <f>IF(B67="","",IF(B67="Opción de compra",$C$5,A67-$C$7))</f>
        <v>21</v>
      </c>
      <c r="D67" s="77">
        <f>IF(B67="","",EDATE($C$33,C67))</f>
        <v>46935.0</v>
      </c>
      <c r="E67" s="59">
        <f>IF(B67="","",I66)</f>
        <v>543570.394702138</v>
      </c>
      <c r="F67" s="59">
        <f>IF(B67="","",IF(B67="Básico",$C$24,IF(B67="Sucesivo",$C$25,$C$26)))</f>
        <v>17257.2501872036</v>
      </c>
      <c r="G67" s="59">
        <f>IF(B67="","",IF(B67="Opción de compra",0,(E67-$C$7*F67)*IF(B67="Sucesivo",$C$11,$C$9)))</f>
        <v>7456.10288062824</v>
      </c>
      <c r="H67" s="59">
        <f>IF(B67="","",F67-G67)</f>
        <v>9801.14730657535</v>
      </c>
      <c r="I67" s="59">
        <f>IF(B67="","",E67-H67)</f>
        <v>533769.247395563</v>
      </c>
      <c r="J67" s="59">
        <f>IF(B67="","",IF(OR(inp_Tipo="Arrendamiento Puro",par_BaseIVAFin="Sobre renta",B67="Opción de compra"),F67,G67)*$C$14)</f>
        <v>2761.16002995257</v>
      </c>
      <c r="K67" s="59">
        <f>IF(B67="","",F67+J67)</f>
        <v>20018.4102171562</v>
      </c>
      <c r="L67" s="59">
        <f>IF(B67="","",F67-IF(A67=$C$38,$C$30,0))</f>
        <v>17257.2501872036</v>
      </c>
      <c r="M67" s="78">
        <f>IF(B67="","",$C$37*(1+$C$13)^(-C67))</f>
        <v>0.700269920486996</v>
      </c>
      <c r="N67" s="59">
        <f>IF(B67="","",L67*M67)</f>
        <v>12084.7332164173</v>
      </c>
      <c r="O67" s="59">
        <f>IF(B67="","",IF(B67="Básico",F67,0)-IF(A67=$C$38,$C$30,0))</f>
        <v>17257.2501872036</v>
      </c>
      <c r="P67" s="77">
        <f>IF(B67="",$C$31,D67)</f>
        <v>46935.0</v>
      </c>
      <c r="Q67" s="59">
        <f>IF(B67="",0,L67)</f>
        <v>17257.2501872036</v>
      </c>
      <c r="R67" s="59">
        <f>IF(B67="",0,-F67)</f>
        <v>-17257.2501872036</v>
      </c>
      <c r="S67" s="59">
        <f>IF(B67="","",O67*M67)</f>
        <v>12084.7332164173</v>
      </c>
    </row>
    <row r="68">
      <c r="A68" s="7" t="n">
        <v>23</v>
      </c>
      <c r="B68" s="7" t="str">
        <f>IF(A68&gt;$C$38,"",IF(A68&lt;=$C$5,"Básico",IF($C$6&gt;0,"Sucesivo","Opción de compra")))</f>
        <v>Básico</v>
      </c>
      <c r="C68" s="7">
        <f>IF(B68="","",IF(B68="Opción de compra",$C$5,A68-$C$7))</f>
        <v>22</v>
      </c>
      <c r="D68" s="77">
        <f>IF(B68="","",EDATE($C$33,C68))</f>
        <v>46966.0</v>
      </c>
      <c r="E68" s="59">
        <f>IF(B68="","",I67)</f>
        <v>533769.247395563</v>
      </c>
      <c r="F68" s="59">
        <f>IF(B68="","",IF(B68="Básico",$C$24,IF(B68="Sucesivo",$C$25,$C$26)))</f>
        <v>17257.2501872036</v>
      </c>
      <c r="G68" s="59">
        <f>IF(B68="","",IF(B68="Opción de compra",0,(E68-$C$7*F68)*IF(B68="Sucesivo",$C$11,$C$9)))</f>
        <v>7317.25329378509</v>
      </c>
      <c r="H68" s="59">
        <f>IF(B68="","",F68-G68)</f>
        <v>9939.9968934185</v>
      </c>
      <c r="I68" s="59">
        <f>IF(B68="","",E68-H68)</f>
        <v>523829.250502144</v>
      </c>
      <c r="J68" s="59">
        <f>IF(B68="","",IF(OR(inp_Tipo="Arrendamiento Puro",par_BaseIVAFin="Sobre renta",B68="Opción de compra"),F68,G68)*$C$14)</f>
        <v>2761.16002995257</v>
      </c>
      <c r="K68" s="59">
        <f>IF(B68="","",F68+J68)</f>
        <v>20018.4102171562</v>
      </c>
      <c r="L68" s="59">
        <f>IF(B68="","",F68-IF(A68=$C$38,$C$30,0))</f>
        <v>17257.2501872036</v>
      </c>
      <c r="M68" s="78">
        <f>IF(B68="","",$C$37*(1+$C$13)^(-C68))</f>
        <v>0.688507910351819</v>
      </c>
      <c r="N68" s="59">
        <f>IF(B68="","",L68*M68)</f>
        <v>11881.7532648101</v>
      </c>
      <c r="O68" s="59">
        <f>IF(B68="","",IF(B68="Básico",F68,0)-IF(A68=$C$38,$C$30,0))</f>
        <v>17257.2501872036</v>
      </c>
      <c r="P68" s="77">
        <f>IF(B68="",$C$31,D68)</f>
        <v>46966.0</v>
      </c>
      <c r="Q68" s="59">
        <f>IF(B68="",0,L68)</f>
        <v>17257.2501872036</v>
      </c>
      <c r="R68" s="59">
        <f>IF(B68="",0,-F68)</f>
        <v>-17257.2501872036</v>
      </c>
      <c r="S68" s="59">
        <f>IF(B68="","",O68*M68)</f>
        <v>11881.7532648101</v>
      </c>
    </row>
    <row r="69">
      <c r="A69" s="7" t="n">
        <v>24</v>
      </c>
      <c r="B69" s="7" t="str">
        <f>IF(A69&gt;$C$38,"",IF(A69&lt;=$C$5,"Básico",IF($C$6&gt;0,"Sucesivo","Opción de compra")))</f>
        <v>Básico</v>
      </c>
      <c r="C69" s="7">
        <f>IF(B69="","",IF(B69="Opción de compra",$C$5,A69-$C$7))</f>
        <v>23</v>
      </c>
      <c r="D69" s="77">
        <f>IF(B69="","",EDATE($C$33,C69))</f>
        <v>46997.0</v>
      </c>
      <c r="E69" s="59">
        <f>IF(B69="","",I68)</f>
        <v>523829.250502144</v>
      </c>
      <c r="F69" s="59">
        <f>IF(B69="","",IF(B69="Básico",$C$24,IF(B69="Sucesivo",$C$25,$C$26)))</f>
        <v>17257.2501872036</v>
      </c>
      <c r="G69" s="59">
        <f>IF(B69="","",IF(B69="Opción de compra",0,(E69-$C$7*F69)*IF(B69="Sucesivo",$C$11,$C$9)))</f>
        <v>7176.43667112832</v>
      </c>
      <c r="H69" s="59">
        <f>IF(B69="","",F69-G69)</f>
        <v>10080.8135160753</v>
      </c>
      <c r="I69" s="59">
        <f>IF(B69="","",E69-H69)</f>
        <v>513748.436986069</v>
      </c>
      <c r="J69" s="59">
        <f>IF(B69="","",IF(OR(inp_Tipo="Arrendamiento Puro",par_BaseIVAFin="Sobre renta",B69="Opción de compra"),F69,G69)*$C$14)</f>
        <v>2761.16002995257</v>
      </c>
      <c r="K69" s="59">
        <f>IF(B69="","",F69+J69)</f>
        <v>20018.4102171562</v>
      </c>
      <c r="L69" s="59">
        <f>IF(B69="","",F69-IF(A69=$C$38,$C$30,0))</f>
        <v>17257.2501872036</v>
      </c>
      <c r="M69" s="78">
        <f>IF(B69="","",$C$37*(1+$C$13)^(-C69))</f>
        <v>0.676943459583927</v>
      </c>
      <c r="N69" s="59">
        <f>IF(B69="","",L69*M69)</f>
        <v>11682.182644631</v>
      </c>
      <c r="O69" s="59">
        <f>IF(B69="","",IF(B69="Básico",F69,0)-IF(A69=$C$38,$C$30,0))</f>
        <v>17257.2501872036</v>
      </c>
      <c r="P69" s="77">
        <f>IF(B69="",$C$31,D69)</f>
        <v>46997.0</v>
      </c>
      <c r="Q69" s="59">
        <f>IF(B69="",0,L69)</f>
        <v>17257.2501872036</v>
      </c>
      <c r="R69" s="59">
        <f>IF(B69="",0,-F69)</f>
        <v>-17257.2501872036</v>
      </c>
      <c r="S69" s="59">
        <f>IF(B69="","",O69*M69)</f>
        <v>11682.182644631</v>
      </c>
    </row>
    <row r="70">
      <c r="A70" s="7" t="n">
        <v>25</v>
      </c>
      <c r="B70" s="7" t="str">
        <f>IF(A70&gt;$C$38,"",IF(A70&lt;=$C$5,"Básico",IF($C$6&gt;0,"Sucesivo","Opción de compra")))</f>
        <v>Básico</v>
      </c>
      <c r="C70" s="7">
        <f>IF(B70="","",IF(B70="Opción de compra",$C$5,A70-$C$7))</f>
        <v>24</v>
      </c>
      <c r="D70" s="77">
        <f>IF(B70="","",EDATE($C$33,C70))</f>
        <v>47027.0</v>
      </c>
      <c r="E70" s="59">
        <f>IF(B70="","",I69)</f>
        <v>513748.436986069</v>
      </c>
      <c r="F70" s="59">
        <f>IF(B70="","",IF(B70="Básico",$C$24,IF(B70="Sucesivo",$C$25,$C$26)))</f>
        <v>17257.2501872036</v>
      </c>
      <c r="G70" s="59">
        <f>IF(B70="","",IF(B70="Opción de compra",0,(E70-$C$7*F70)*IF(B70="Sucesivo",$C$11,$C$9)))</f>
        <v>7033.62514631726</v>
      </c>
      <c r="H70" s="59">
        <f>IF(B70="","",F70-G70)</f>
        <v>10223.6250408863</v>
      </c>
      <c r="I70" s="59">
        <f>IF(B70="","",E70-H70)</f>
        <v>503524.811945182</v>
      </c>
      <c r="J70" s="59">
        <f>IF(B70="","",IF(OR(inp_Tipo="Arrendamiento Puro",par_BaseIVAFin="Sobre renta",B70="Opción de compra"),F70,G70)*$C$14)</f>
        <v>2761.16002995257</v>
      </c>
      <c r="K70" s="59">
        <f>IF(B70="","",F70+J70)</f>
        <v>20018.4102171562</v>
      </c>
      <c r="L70" s="59">
        <f>IF(B70="","",F70-IF(A70=$C$38,$C$30,0))</f>
        <v>17257.2501872036</v>
      </c>
      <c r="M70" s="78">
        <f>IF(B70="","",$C$37*(1+$C$13)^(-C70))</f>
        <v>0.665573249898167</v>
      </c>
      <c r="N70" s="59">
        <f>IF(B70="","",L70*M70)</f>
        <v>11485.9640914028</v>
      </c>
      <c r="O70" s="59">
        <f>IF(B70="","",IF(B70="Básico",F70,0)-IF(A70=$C$38,$C$30,0))</f>
        <v>17257.2501872036</v>
      </c>
      <c r="P70" s="77">
        <f>IF(B70="",$C$31,D70)</f>
        <v>47027.0</v>
      </c>
      <c r="Q70" s="59">
        <f>IF(B70="",0,L70)</f>
        <v>17257.2501872036</v>
      </c>
      <c r="R70" s="59">
        <f>IF(B70="",0,-F70)</f>
        <v>-17257.2501872036</v>
      </c>
      <c r="S70" s="59">
        <f>IF(B70="","",O70*M70)</f>
        <v>11485.9640914028</v>
      </c>
    </row>
    <row r="71">
      <c r="A71" s="7" t="n">
        <v>26</v>
      </c>
      <c r="B71" s="7" t="str">
        <f>IF(A71&gt;$C$38,"",IF(A71&lt;=$C$5,"Básico",IF($C$6&gt;0,"Sucesivo","Opción de compra")))</f>
        <v>Básico</v>
      </c>
      <c r="C71" s="7">
        <f>IF(B71="","",IF(B71="Opción de compra",$C$5,A71-$C$7))</f>
        <v>25</v>
      </c>
      <c r="D71" s="77">
        <f>IF(B71="","",EDATE($C$33,C71))</f>
        <v>47058.0</v>
      </c>
      <c r="E71" s="59">
        <f>IF(B71="","",I70)</f>
        <v>503524.811945182</v>
      </c>
      <c r="F71" s="59">
        <f>IF(B71="","",IF(B71="Básico",$C$24,IF(B71="Sucesivo",$C$25,$C$26)))</f>
        <v>17257.2501872036</v>
      </c>
      <c r="G71" s="59">
        <f>IF(B71="","",IF(B71="Opción de compra",0,(E71-$C$7*F71)*IF(B71="Sucesivo",$C$11,$C$9)))</f>
        <v>6888.79045823803</v>
      </c>
      <c r="H71" s="59">
        <f>IF(B71="","",F71-G71)</f>
        <v>10368.4597289656</v>
      </c>
      <c r="I71" s="59">
        <f>IF(B71="","",E71-H71)</f>
        <v>493156.352216217</v>
      </c>
      <c r="J71" s="59">
        <f>IF(B71="","",IF(OR(inp_Tipo="Arrendamiento Puro",par_BaseIVAFin="Sobre renta",B71="Opción de compra"),F71,G71)*$C$14)</f>
        <v>2761.16002995257</v>
      </c>
      <c r="K71" s="59">
        <f>IF(B71="","",F71+J71)</f>
        <v>20018.4102171562</v>
      </c>
      <c r="L71" s="59">
        <f>IF(B71="","",F71-IF(A71=$C$38,$C$30,0))</f>
        <v>17257.2501872036</v>
      </c>
      <c r="M71" s="78">
        <f>IF(B71="","",$C$37*(1+$C$13)^(-C71))</f>
        <v>0.654394018744613</v>
      </c>
      <c r="N71" s="59">
        <f>IF(B71="","",L71*M71)</f>
        <v>11293.0413024854</v>
      </c>
      <c r="O71" s="59">
        <f>IF(B71="","",IF(B71="Básico",F71,0)-IF(A71=$C$38,$C$30,0))</f>
        <v>17257.2501872036</v>
      </c>
      <c r="P71" s="77">
        <f>IF(B71="",$C$31,D71)</f>
        <v>47058.0</v>
      </c>
      <c r="Q71" s="59">
        <f>IF(B71="",0,L71)</f>
        <v>17257.2501872036</v>
      </c>
      <c r="R71" s="59">
        <f>IF(B71="",0,-F71)</f>
        <v>-17257.2501872036</v>
      </c>
      <c r="S71" s="59">
        <f>IF(B71="","",O71*M71)</f>
        <v>11293.0413024854</v>
      </c>
    </row>
    <row r="72">
      <c r="A72" s="7" t="n">
        <v>27</v>
      </c>
      <c r="B72" s="7" t="str">
        <f>IF(A72&gt;$C$38,"",IF(A72&lt;=$C$5,"Básico",IF($C$6&gt;0,"Sucesivo","Opción de compra")))</f>
        <v>Básico</v>
      </c>
      <c r="C72" s="7">
        <f>IF(B72="","",IF(B72="Opción de compra",$C$5,A72-$C$7))</f>
        <v>26</v>
      </c>
      <c r="D72" s="77">
        <f>IF(B72="","",EDATE($C$33,C72))</f>
        <v>47088.0</v>
      </c>
      <c r="E72" s="59">
        <f>IF(B72="","",I71)</f>
        <v>493156.352216217</v>
      </c>
      <c r="F72" s="59">
        <f>IF(B72="","",IF(B72="Básico",$C$24,IF(B72="Sucesivo",$C$25,$C$26)))</f>
        <v>17257.2501872036</v>
      </c>
      <c r="G72" s="59">
        <f>IF(B72="","",IF(B72="Opción de compra",0,(E72-$C$7*F72)*IF(B72="Sucesivo",$C$11,$C$9)))</f>
        <v>6741.90394541102</v>
      </c>
      <c r="H72" s="59">
        <f>IF(B72="","",F72-G72)</f>
        <v>10515.3462417926</v>
      </c>
      <c r="I72" s="59">
        <f>IF(B72="","",E72-H72)</f>
        <v>482641.005974424</v>
      </c>
      <c r="J72" s="59">
        <f>IF(B72="","",IF(OR(inp_Tipo="Arrendamiento Puro",par_BaseIVAFin="Sobre renta",B72="Opción de compra"),F72,G72)*$C$14)</f>
        <v>2761.16002995257</v>
      </c>
      <c r="K72" s="59">
        <f>IF(B72="","",F72+J72)</f>
        <v>20018.4102171562</v>
      </c>
      <c r="L72" s="59">
        <f>IF(B72="","",F72-IF(A72=$C$38,$C$30,0))</f>
        <v>17257.2501872036</v>
      </c>
      <c r="M72" s="78">
        <f>IF(B72="","",$C$37*(1+$C$13)^(-C72))</f>
        <v>0.643402558372418</v>
      </c>
      <c r="N72" s="59">
        <f>IF(B72="","",L72*M72)</f>
        <v>11103.3589209197</v>
      </c>
      <c r="O72" s="59">
        <f>IF(B72="","",IF(B72="Básico",F72,0)-IF(A72=$C$38,$C$30,0))</f>
        <v>17257.2501872036</v>
      </c>
      <c r="P72" s="77">
        <f>IF(B72="",$C$31,D72)</f>
        <v>47088.0</v>
      </c>
      <c r="Q72" s="59">
        <f>IF(B72="",0,L72)</f>
        <v>17257.2501872036</v>
      </c>
      <c r="R72" s="59">
        <f>IF(B72="",0,-F72)</f>
        <v>-17257.2501872036</v>
      </c>
      <c r="S72" s="59">
        <f>IF(B72="","",O72*M72)</f>
        <v>11103.3589209197</v>
      </c>
    </row>
    <row r="73">
      <c r="A73" s="7" t="n">
        <v>28</v>
      </c>
      <c r="B73" s="7" t="str">
        <f>IF(A73&gt;$C$38,"",IF(A73&lt;=$C$5,"Básico",IF($C$6&gt;0,"Sucesivo","Opción de compra")))</f>
        <v>Básico</v>
      </c>
      <c r="C73" s="7">
        <f>IF(B73="","",IF(B73="Opción de compra",$C$5,A73-$C$7))</f>
        <v>27</v>
      </c>
      <c r="D73" s="77">
        <f>IF(B73="","",EDATE($C$33,C73))</f>
        <v>47119.0</v>
      </c>
      <c r="E73" s="59">
        <f>IF(B73="","",I72)</f>
        <v>482641.005974424</v>
      </c>
      <c r="F73" s="59">
        <f>IF(B73="","",IF(B73="Básico",$C$24,IF(B73="Sucesivo",$C$25,$C$26)))</f>
        <v>17257.2501872036</v>
      </c>
      <c r="G73" s="59">
        <f>IF(B73="","",IF(B73="Opción de compra",0,(E73-$C$7*F73)*IF(B73="Sucesivo",$C$11,$C$9)))</f>
        <v>6592.93654031896</v>
      </c>
      <c r="H73" s="59">
        <f>IF(B73="","",F73-G73)</f>
        <v>10664.3136468846</v>
      </c>
      <c r="I73" s="59">
        <f>IF(B73="","",E73-H73)</f>
        <v>471976.69232754</v>
      </c>
      <c r="J73" s="59">
        <f>IF(B73="","",IF(OR(inp_Tipo="Arrendamiento Puro",par_BaseIVAFin="Sobre renta",B73="Opción de compra"),F73,G73)*$C$14)</f>
        <v>2761.16002995257</v>
      </c>
      <c r="K73" s="59">
        <f>IF(B73="","",F73+J73)</f>
        <v>20018.4102171562</v>
      </c>
      <c r="L73" s="59">
        <f>IF(B73="","",F73-IF(A73=$C$38,$C$30,0))</f>
        <v>17257.2501872036</v>
      </c>
      <c r="M73" s="78">
        <f>IF(B73="","",$C$37*(1+$C$13)^(-C73))</f>
        <v>0.632595714909382</v>
      </c>
      <c r="N73" s="59">
        <f>IF(B73="","",L73*M73)</f>
        <v>10916.8625195441</v>
      </c>
      <c r="O73" s="59">
        <f>IF(B73="","",IF(B73="Básico",F73,0)-IF(A73=$C$38,$C$30,0))</f>
        <v>17257.2501872036</v>
      </c>
      <c r="P73" s="77">
        <f>IF(B73="",$C$31,D73)</f>
        <v>47119.0</v>
      </c>
      <c r="Q73" s="59">
        <f>IF(B73="",0,L73)</f>
        <v>17257.2501872036</v>
      </c>
      <c r="R73" s="59">
        <f>IF(B73="",0,-F73)</f>
        <v>-17257.2501872036</v>
      </c>
      <c r="S73" s="59">
        <f>IF(B73="","",O73*M73)</f>
        <v>10916.8625195441</v>
      </c>
    </row>
    <row r="74">
      <c r="A74" s="7" t="n">
        <v>29</v>
      </c>
      <c r="B74" s="7" t="str">
        <f>IF(A74&gt;$C$38,"",IF(A74&lt;=$C$5,"Básico",IF($C$6&gt;0,"Sucesivo","Opción de compra")))</f>
        <v>Básico</v>
      </c>
      <c r="C74" s="7">
        <f>IF(B74="","",IF(B74="Opción de compra",$C$5,A74-$C$7))</f>
        <v>28</v>
      </c>
      <c r="D74" s="77">
        <f>IF(B74="","",EDATE($C$33,C74))</f>
        <v>47150.0</v>
      </c>
      <c r="E74" s="59">
        <f>IF(B74="","",I73)</f>
        <v>471976.69232754</v>
      </c>
      <c r="F74" s="59">
        <f>IF(B74="","",IF(B74="Básico",$C$24,IF(B74="Sucesivo",$C$25,$C$26)))</f>
        <v>17257.2501872036</v>
      </c>
      <c r="G74" s="59">
        <f>IF(B74="","",IF(B74="Opción de compra",0,(E74-$C$7*F74)*IF(B74="Sucesivo",$C$11,$C$9)))</f>
        <v>6441.85876365476</v>
      </c>
      <c r="H74" s="59">
        <f>IF(B74="","",F74-G74)</f>
        <v>10815.3914235488</v>
      </c>
      <c r="I74" s="59">
        <f>IF(B74="","",E74-H74)</f>
        <v>461161.300903991</v>
      </c>
      <c r="J74" s="59">
        <f>IF(B74="","",IF(OR(inp_Tipo="Arrendamiento Puro",par_BaseIVAFin="Sobre renta",B74="Opción de compra"),F74,G74)*$C$14)</f>
        <v>2761.16002995257</v>
      </c>
      <c r="K74" s="59">
        <f>IF(B74="","",F74+J74)</f>
        <v>20018.4102171562</v>
      </c>
      <c r="L74" s="59">
        <f>IF(B74="","",F74-IF(A74=$C$38,$C$30,0))</f>
        <v>17257.2501872036</v>
      </c>
      <c r="M74" s="78">
        <f>IF(B74="","",$C$37*(1+$C$13)^(-C74))</f>
        <v>0.621970387456992</v>
      </c>
      <c r="N74" s="59">
        <f>IF(B74="","",L74*M74)</f>
        <v>10733.4985853773</v>
      </c>
      <c r="O74" s="59">
        <f>IF(B74="","",IF(B74="Básico",F74,0)-IF(A74=$C$38,$C$30,0))</f>
        <v>17257.2501872036</v>
      </c>
      <c r="P74" s="77">
        <f>IF(B74="",$C$31,D74)</f>
        <v>47150.0</v>
      </c>
      <c r="Q74" s="59">
        <f>IF(B74="",0,L74)</f>
        <v>17257.2501872036</v>
      </c>
      <c r="R74" s="59">
        <f>IF(B74="",0,-F74)</f>
        <v>-17257.2501872036</v>
      </c>
      <c r="S74" s="59">
        <f>IF(B74="","",O74*M74)</f>
        <v>10733.4985853773</v>
      </c>
    </row>
    <row r="75">
      <c r="A75" s="7" t="n">
        <v>30</v>
      </c>
      <c r="B75" s="7" t="str">
        <f>IF(A75&gt;$C$38,"",IF(A75&lt;=$C$5,"Básico",IF($C$6&gt;0,"Sucesivo","Opción de compra")))</f>
        <v>Básico</v>
      </c>
      <c r="C75" s="7">
        <f>IF(B75="","",IF(B75="Opción de compra",$C$5,A75-$C$7))</f>
        <v>29</v>
      </c>
      <c r="D75" s="77">
        <f>IF(B75="","",EDATE($C$33,C75))</f>
        <v>47178.0</v>
      </c>
      <c r="E75" s="59">
        <f>IF(B75="","",I74)</f>
        <v>461161.300903991</v>
      </c>
      <c r="F75" s="59">
        <f>IF(B75="","",IF(B75="Básico",$C$24,IF(B75="Sucesivo",$C$25,$C$26)))</f>
        <v>17257.2501872036</v>
      </c>
      <c r="G75" s="59">
        <f>IF(B75="","",IF(B75="Opción de compra",0,(E75-$C$7*F75)*IF(B75="Sucesivo",$C$11,$C$9)))</f>
        <v>6288.64071848782</v>
      </c>
      <c r="H75" s="59">
        <f>IF(B75="","",F75-G75)</f>
        <v>10968.6094687158</v>
      </c>
      <c r="I75" s="59">
        <f>IF(B75="","",E75-H75)</f>
        <v>450192.691435275</v>
      </c>
      <c r="J75" s="59">
        <f>IF(B75="","",IF(OR(inp_Tipo="Arrendamiento Puro",par_BaseIVAFin="Sobre renta",B75="Opción de compra"),F75,G75)*$C$14)</f>
        <v>2761.16002995257</v>
      </c>
      <c r="K75" s="59">
        <f>IF(B75="","",F75+J75)</f>
        <v>20018.4102171562</v>
      </c>
      <c r="L75" s="59">
        <f>IF(B75="","",F75-IF(A75=$C$38,$C$30,0))</f>
        <v>17257.2501872036</v>
      </c>
      <c r="M75" s="78">
        <f>IF(B75="","",$C$37*(1+$C$13)^(-C75))</f>
        <v>0.611523527200648</v>
      </c>
      <c r="N75" s="59">
        <f>IF(B75="","",L75*M75)</f>
        <v>10553.2145042628</v>
      </c>
      <c r="O75" s="59">
        <f>IF(B75="","",IF(B75="Básico",F75,0)-IF(A75=$C$38,$C$30,0))</f>
        <v>17257.2501872036</v>
      </c>
      <c r="P75" s="77">
        <f>IF(B75="",$C$31,D75)</f>
        <v>47178.0</v>
      </c>
      <c r="Q75" s="59">
        <f>IF(B75="",0,L75)</f>
        <v>17257.2501872036</v>
      </c>
      <c r="R75" s="59">
        <f>IF(B75="",0,-F75)</f>
        <v>-17257.2501872036</v>
      </c>
      <c r="S75" s="59">
        <f>IF(B75="","",O75*M75)</f>
        <v>10553.2145042628</v>
      </c>
    </row>
    <row r="76">
      <c r="A76" s="7" t="n">
        <v>31</v>
      </c>
      <c r="B76" s="7" t="str">
        <f>IF(A76&gt;$C$38,"",IF(A76&lt;=$C$5,"Básico",IF($C$6&gt;0,"Sucesivo","Opción de compra")))</f>
        <v>Básico</v>
      </c>
      <c r="C76" s="7">
        <f>IF(B76="","",IF(B76="Opción de compra",$C$5,A76-$C$7))</f>
        <v>30</v>
      </c>
      <c r="D76" s="77">
        <f>IF(B76="","",EDATE($C$33,C76))</f>
        <v>47209.0</v>
      </c>
      <c r="E76" s="59">
        <f>IF(B76="","",I75)</f>
        <v>450192.691435275</v>
      </c>
      <c r="F76" s="59">
        <f>IF(B76="","",IF(B76="Básico",$C$24,IF(B76="Sucesivo",$C$25,$C$26)))</f>
        <v>17257.2501872036</v>
      </c>
      <c r="G76" s="59">
        <f>IF(B76="","",IF(B76="Opción de compra",0,(E76-$C$7*F76)*IF(B76="Sucesivo",$C$11,$C$9)))</f>
        <v>6133.25208434768</v>
      </c>
      <c r="H76" s="59">
        <f>IF(B76="","",F76-G76)</f>
        <v>11123.9981028559</v>
      </c>
      <c r="I76" s="59">
        <f>IF(B76="","",E76-H76)</f>
        <v>439068.693332419</v>
      </c>
      <c r="J76" s="59">
        <f>IF(B76="","",IF(OR(inp_Tipo="Arrendamiento Puro",par_BaseIVAFin="Sobre renta",B76="Opción de compra"),F76,G76)*$C$14)</f>
        <v>2761.16002995257</v>
      </c>
      <c r="K76" s="59">
        <f>IF(B76="","",F76+J76)</f>
        <v>20018.4102171562</v>
      </c>
      <c r="L76" s="59">
        <f>IF(B76="","",F76-IF(A76=$C$38,$C$30,0))</f>
        <v>17257.2501872036</v>
      </c>
      <c r="M76" s="78">
        <f>IF(B76="","",$C$37*(1+$C$13)^(-C76))</f>
        <v>0.601252136534844</v>
      </c>
      <c r="N76" s="59">
        <f>IF(B76="","",L76*M76)</f>
        <v>10375.9585457725</v>
      </c>
      <c r="O76" s="59">
        <f>IF(B76="","",IF(B76="Básico",F76,0)-IF(A76=$C$38,$C$30,0))</f>
        <v>17257.2501872036</v>
      </c>
      <c r="P76" s="77">
        <f>IF(B76="",$C$31,D76)</f>
        <v>47209.0</v>
      </c>
      <c r="Q76" s="59">
        <f>IF(B76="",0,L76)</f>
        <v>17257.2501872036</v>
      </c>
      <c r="R76" s="59">
        <f>IF(B76="",0,-F76)</f>
        <v>-17257.2501872036</v>
      </c>
      <c r="S76" s="59">
        <f>IF(B76="","",O76*M76)</f>
        <v>10375.9585457725</v>
      </c>
    </row>
    <row r="77">
      <c r="A77" s="7" t="n">
        <v>32</v>
      </c>
      <c r="B77" s="7" t="str">
        <f>IF(A77&gt;$C$38,"",IF(A77&lt;=$C$5,"Básico",IF($C$6&gt;0,"Sucesivo","Opción de compra")))</f>
        <v>Básico</v>
      </c>
      <c r="C77" s="7">
        <f>IF(B77="","",IF(B77="Opción de compra",$C$5,A77-$C$7))</f>
        <v>31</v>
      </c>
      <c r="D77" s="77">
        <f>IF(B77="","",EDATE($C$33,C77))</f>
        <v>47239.0</v>
      </c>
      <c r="E77" s="59">
        <f>IF(B77="","",I76)</f>
        <v>439068.693332419</v>
      </c>
      <c r="F77" s="59">
        <f>IF(B77="","",IF(B77="Básico",$C$24,IF(B77="Sucesivo",$C$25,$C$26)))</f>
        <v>17257.2501872036</v>
      </c>
      <c r="G77" s="59">
        <f>IF(B77="","",IF(B77="Opción de compra",0,(E77-$C$7*F77)*IF(B77="Sucesivo",$C$11,$C$9)))</f>
        <v>5975.66211122389</v>
      </c>
      <c r="H77" s="59">
        <f>IF(B77="","",F77-G77)</f>
        <v>11281.5880759797</v>
      </c>
      <c r="I77" s="59">
        <f>IF(B77="","",E77-H77)</f>
        <v>427787.105256439</v>
      </c>
      <c r="J77" s="59">
        <f>IF(B77="","",IF(OR(inp_Tipo="Arrendamiento Puro",par_BaseIVAFin="Sobre renta",B77="Opción de compra"),F77,G77)*$C$14)</f>
        <v>2761.16002995257</v>
      </c>
      <c r="K77" s="59">
        <f>IF(B77="","",F77+J77)</f>
        <v>20018.4102171562</v>
      </c>
      <c r="L77" s="59">
        <f>IF(B77="","",F77-IF(A77=$C$38,$C$30,0))</f>
        <v>17257.2501872036</v>
      </c>
      <c r="M77" s="78">
        <f>IF(B77="","",$C$37*(1+$C$13)^(-C77))</f>
        <v>0.591153268203042</v>
      </c>
      <c r="N77" s="59">
        <f>IF(B77="","",L77*M77)</f>
        <v>10201.679848363</v>
      </c>
      <c r="O77" s="59">
        <f>IF(B77="","",IF(B77="Básico",F77,0)-IF(A77=$C$38,$C$30,0))</f>
        <v>17257.2501872036</v>
      </c>
      <c r="P77" s="77">
        <f>IF(B77="",$C$31,D77)</f>
        <v>47239.0</v>
      </c>
      <c r="Q77" s="59">
        <f>IF(B77="",0,L77)</f>
        <v>17257.2501872036</v>
      </c>
      <c r="R77" s="59">
        <f>IF(B77="",0,-F77)</f>
        <v>-17257.2501872036</v>
      </c>
      <c r="S77" s="59">
        <f>IF(B77="","",O77*M77)</f>
        <v>10201.679848363</v>
      </c>
    </row>
    <row r="78">
      <c r="A78" s="7" t="n">
        <v>33</v>
      </c>
      <c r="B78" s="7" t="str">
        <f>IF(A78&gt;$C$38,"",IF(A78&lt;=$C$5,"Básico",IF($C$6&gt;0,"Sucesivo","Opción de compra")))</f>
        <v>Básico</v>
      </c>
      <c r="C78" s="7">
        <f>IF(B78="","",IF(B78="Opción de compra",$C$5,A78-$C$7))</f>
        <v>32</v>
      </c>
      <c r="D78" s="77">
        <f>IF(B78="","",EDATE($C$33,C78))</f>
        <v>47270.0</v>
      </c>
      <c r="E78" s="59">
        <f>IF(B78="","",I77)</f>
        <v>427787.105256439</v>
      </c>
      <c r="F78" s="59">
        <f>IF(B78="","",IF(B78="Básico",$C$24,IF(B78="Sucesivo",$C$25,$C$26)))</f>
        <v>17257.2501872036</v>
      </c>
      <c r="G78" s="59">
        <f>IF(B78="","",IF(B78="Opción de compra",0,(E78-$C$7*F78)*IF(B78="Sucesivo",$C$11,$C$9)))</f>
        <v>5815.83961348084</v>
      </c>
      <c r="H78" s="59">
        <f>IF(B78="","",F78-G78)</f>
        <v>11441.4105737227</v>
      </c>
      <c r="I78" s="59">
        <f>IF(B78="","",E78-H78)</f>
        <v>416345.694682717</v>
      </c>
      <c r="J78" s="59">
        <f>IF(B78="","",IF(OR(inp_Tipo="Arrendamiento Puro",par_BaseIVAFin="Sobre renta",B78="Opción de compra"),F78,G78)*$C$14)</f>
        <v>2761.16002995257</v>
      </c>
      <c r="K78" s="59">
        <f>IF(B78="","",F78+J78)</f>
        <v>20018.4102171562</v>
      </c>
      <c r="L78" s="59">
        <f>IF(B78="","",F78-IF(A78=$C$38,$C$30,0))</f>
        <v>17257.2501872036</v>
      </c>
      <c r="M78" s="78">
        <f>IF(B78="","",$C$37*(1+$C$13)^(-C78))</f>
        <v>0.581224024451987</v>
      </c>
      <c r="N78" s="59">
        <f>IF(B78="","",L78*M78)</f>
        <v>10030.3284047813</v>
      </c>
      <c r="O78" s="59">
        <f>IF(B78="","",IF(B78="Básico",F78,0)-IF(A78=$C$38,$C$30,0))</f>
        <v>17257.2501872036</v>
      </c>
      <c r="P78" s="77">
        <f>IF(B78="",$C$31,D78)</f>
        <v>47270.0</v>
      </c>
      <c r="Q78" s="59">
        <f>IF(B78="",0,L78)</f>
        <v>17257.2501872036</v>
      </c>
      <c r="R78" s="59">
        <f>IF(B78="",0,-F78)</f>
        <v>-17257.2501872036</v>
      </c>
      <c r="S78" s="59">
        <f>IF(B78="","",O78*M78)</f>
        <v>10030.3284047813</v>
      </c>
    </row>
    <row r="79">
      <c r="A79" s="7" t="n">
        <v>34</v>
      </c>
      <c r="B79" s="7" t="str">
        <f>IF(A79&gt;$C$38,"",IF(A79&lt;=$C$5,"Básico",IF($C$6&gt;0,"Sucesivo","Opción de compra")))</f>
        <v>Básico</v>
      </c>
      <c r="C79" s="7">
        <f>IF(B79="","",IF(B79="Opción de compra",$C$5,A79-$C$7))</f>
        <v>33</v>
      </c>
      <c r="D79" s="77">
        <f>IF(B79="","",EDATE($C$33,C79))</f>
        <v>47300.0</v>
      </c>
      <c r="E79" s="59">
        <f>IF(B79="","",I78)</f>
        <v>416345.694682717</v>
      </c>
      <c r="F79" s="59">
        <f>IF(B79="","",IF(B79="Básico",$C$24,IF(B79="Sucesivo",$C$25,$C$26)))</f>
        <v>17257.2501872036</v>
      </c>
      <c r="G79" s="59">
        <f>IF(B79="","",IF(B79="Opción de compra",0,(E79-$C$7*F79)*IF(B79="Sucesivo",$C$11,$C$9)))</f>
        <v>5653.75296368644</v>
      </c>
      <c r="H79" s="59">
        <f>IF(B79="","",F79-G79)</f>
        <v>11603.4972235172</v>
      </c>
      <c r="I79" s="59">
        <f>IF(B79="","",E79-H79)</f>
        <v>404742.1974592</v>
      </c>
      <c r="J79" s="59">
        <f>IF(B79="","",IF(OR(inp_Tipo="Arrendamiento Puro",par_BaseIVAFin="Sobre renta",B79="Opción de compra"),F79,G79)*$C$14)</f>
        <v>2761.16002995257</v>
      </c>
      <c r="K79" s="59">
        <f>IF(B79="","",F79+J79)</f>
        <v>20018.4102171562</v>
      </c>
      <c r="L79" s="59">
        <f>IF(B79="","",F79-IF(A79=$C$38,$C$30,0))</f>
        <v>17257.2501872036</v>
      </c>
      <c r="M79" s="78">
        <f>IF(B79="","",$C$37*(1+$C$13)^(-C79))</f>
        <v>0.571461556200233</v>
      </c>
      <c r="N79" s="59">
        <f>IF(B79="","",L79*M79)</f>
        <v>9861.85504771613</v>
      </c>
      <c r="O79" s="59">
        <f>IF(B79="","",IF(B79="Básico",F79,0)-IF(A79=$C$38,$C$30,0))</f>
        <v>17257.2501872036</v>
      </c>
      <c r="P79" s="77">
        <f>IF(B79="",$C$31,D79)</f>
        <v>47300.0</v>
      </c>
      <c r="Q79" s="59">
        <f>IF(B79="",0,L79)</f>
        <v>17257.2501872036</v>
      </c>
      <c r="R79" s="59">
        <f>IF(B79="",0,-F79)</f>
        <v>-17257.2501872036</v>
      </c>
      <c r="S79" s="59">
        <f>IF(B79="","",O79*M79)</f>
        <v>9861.85504771613</v>
      </c>
    </row>
    <row r="80">
      <c r="A80" s="7" t="n">
        <v>35</v>
      </c>
      <c r="B80" s="7" t="str">
        <f>IF(A80&gt;$C$38,"",IF(A80&lt;=$C$5,"Básico",IF($C$6&gt;0,"Sucesivo","Opción de compra")))</f>
        <v>Básico</v>
      </c>
      <c r="C80" s="7">
        <f>IF(B80="","",IF(B80="Opción de compra",$C$5,A80-$C$7))</f>
        <v>34</v>
      </c>
      <c r="D80" s="77">
        <f>IF(B80="","",EDATE($C$33,C80))</f>
        <v>47331.0</v>
      </c>
      <c r="E80" s="59">
        <f>IF(B80="","",I79)</f>
        <v>404742.1974592</v>
      </c>
      <c r="F80" s="59">
        <f>IF(B80="","",IF(B80="Básico",$C$24,IF(B80="Sucesivo",$C$25,$C$26)))</f>
        <v>17257.2501872036</v>
      </c>
      <c r="G80" s="59">
        <f>IF(B80="","",IF(B80="Opción de compra",0,(E80-$C$7*F80)*IF(B80="Sucesivo",$C$11,$C$9)))</f>
        <v>5489.37008635328</v>
      </c>
      <c r="H80" s="59">
        <f>IF(B80="","",F80-G80)</f>
        <v>11767.8801008503</v>
      </c>
      <c r="I80" s="59">
        <f>IF(B80="","",E80-H80)</f>
        <v>392974.317358349</v>
      </c>
      <c r="J80" s="59">
        <f>IF(B80="","",IF(OR(inp_Tipo="Arrendamiento Puro",par_BaseIVAFin="Sobre renta",B80="Opción de compra"),F80,G80)*$C$14)</f>
        <v>2761.16002995257</v>
      </c>
      <c r="K80" s="59">
        <f>IF(B80="","",F80+J80)</f>
        <v>20018.4102171562</v>
      </c>
      <c r="L80" s="59">
        <f>IF(B80="","",F80-IF(A80=$C$38,$C$30,0))</f>
        <v>17257.2501872036</v>
      </c>
      <c r="M80" s="78">
        <f>IF(B80="","",$C$37*(1+$C$13)^(-C80))</f>
        <v>0.561863062220631</v>
      </c>
      <c r="N80" s="59">
        <f>IF(B80="","",L80*M80)</f>
        <v>9696.21143568976</v>
      </c>
      <c r="O80" s="59">
        <f>IF(B80="","",IF(B80="Básico",F80,0)-IF(A80=$C$38,$C$30,0))</f>
        <v>17257.2501872036</v>
      </c>
      <c r="P80" s="77">
        <f>IF(B80="",$C$31,D80)</f>
        <v>47331.0</v>
      </c>
      <c r="Q80" s="59">
        <f>IF(B80="",0,L80)</f>
        <v>17257.2501872036</v>
      </c>
      <c r="R80" s="59">
        <f>IF(B80="",0,-F80)</f>
        <v>-17257.2501872036</v>
      </c>
      <c r="S80" s="59">
        <f>IF(B80="","",O80*M80)</f>
        <v>9696.21143568976</v>
      </c>
    </row>
    <row r="81">
      <c r="A81" s="7" t="n">
        <v>36</v>
      </c>
      <c r="B81" s="7" t="str">
        <f>IF(A81&gt;$C$38,"",IF(A81&lt;=$C$5,"Básico",IF($C$6&gt;0,"Sucesivo","Opción de compra")))</f>
        <v>Básico</v>
      </c>
      <c r="C81" s="7">
        <f>IF(B81="","",IF(B81="Opción de compra",$C$5,A81-$C$7))</f>
        <v>35</v>
      </c>
      <c r="D81" s="77">
        <f>IF(B81="","",EDATE($C$33,C81))</f>
        <v>47362.0</v>
      </c>
      <c r="E81" s="59">
        <f>IF(B81="","",I80)</f>
        <v>392974.317358349</v>
      </c>
      <c r="F81" s="59">
        <f>IF(B81="","",IF(B81="Básico",$C$24,IF(B81="Sucesivo",$C$25,$C$26)))</f>
        <v>17257.2501872036</v>
      </c>
      <c r="G81" s="59">
        <f>IF(B81="","",IF(B81="Opción de compra",0,(E81-$C$7*F81)*IF(B81="Sucesivo",$C$11,$C$9)))</f>
        <v>5322.65845159123</v>
      </c>
      <c r="H81" s="59">
        <f>IF(B81="","",F81-G81)</f>
        <v>11934.5917356124</v>
      </c>
      <c r="I81" s="59">
        <f>IF(B81="","",E81-H81)</f>
        <v>381039.725622737</v>
      </c>
      <c r="J81" s="59">
        <f>IF(B81="","",IF(OR(inp_Tipo="Arrendamiento Puro",par_BaseIVAFin="Sobre renta",B81="Opción de compra"),F81,G81)*$C$14)</f>
        <v>2761.16002995257</v>
      </c>
      <c r="K81" s="59">
        <f>IF(B81="","",F81+J81)</f>
        <v>20018.4102171562</v>
      </c>
      <c r="L81" s="59">
        <f>IF(B81="","",F81-IF(A81=$C$38,$C$30,0))</f>
        <v>17257.2501872036</v>
      </c>
      <c r="M81" s="78">
        <f>IF(B81="","",$C$37*(1+$C$13)^(-C81))</f>
        <v>0.552425788336548</v>
      </c>
      <c r="N81" s="59">
        <f>IF(B81="","",L81*M81)</f>
        <v>9533.35003918698</v>
      </c>
      <c r="O81" s="59">
        <f>IF(B81="","",IF(B81="Básico",F81,0)-IF(A81=$C$38,$C$30,0))</f>
        <v>17257.2501872036</v>
      </c>
      <c r="P81" s="77">
        <f>IF(B81="",$C$31,D81)</f>
        <v>47362.0</v>
      </c>
      <c r="Q81" s="59">
        <f>IF(B81="",0,L81)</f>
        <v>17257.2501872036</v>
      </c>
      <c r="R81" s="59">
        <f>IF(B81="",0,-F81)</f>
        <v>-17257.2501872036</v>
      </c>
      <c r="S81" s="59">
        <f>IF(B81="","",O81*M81)</f>
        <v>9533.35003918698</v>
      </c>
    </row>
    <row r="82">
      <c r="A82" s="7" t="n">
        <v>37</v>
      </c>
      <c r="B82" s="7" t="str">
        <f>IF(A82&gt;$C$38,"",IF(A82&lt;=$C$5,"Básico",IF($C$6&gt;0,"Sucesivo","Opción de compra")))</f>
        <v>Básico</v>
      </c>
      <c r="C82" s="7">
        <f>IF(B82="","",IF(B82="Opción de compra",$C$5,A82-$C$7))</f>
        <v>36</v>
      </c>
      <c r="D82" s="77">
        <f>IF(B82="","",EDATE($C$33,C82))</f>
        <v>47392.0</v>
      </c>
      <c r="E82" s="59">
        <f>IF(B82="","",I81)</f>
        <v>381039.725622737</v>
      </c>
      <c r="F82" s="59">
        <f>IF(B82="","",IF(B82="Básico",$C$24,IF(B82="Sucesivo",$C$25,$C$26)))</f>
        <v>17257.2501872036</v>
      </c>
      <c r="G82" s="59">
        <f>IF(B82="","",IF(B82="Opción de compra",0,(E82-$C$7*F82)*IF(B82="Sucesivo",$C$11,$C$9)))</f>
        <v>5153.58506867006</v>
      </c>
      <c r="H82" s="59">
        <f>IF(B82="","",F82-G82)</f>
        <v>12103.6651185335</v>
      </c>
      <c r="I82" s="59">
        <f>IF(B82="","",E82-H82)</f>
        <v>368936.060504203</v>
      </c>
      <c r="J82" s="59">
        <f>IF(B82="","",IF(OR(inp_Tipo="Arrendamiento Puro",par_BaseIVAFin="Sobre renta",B82="Opción de compra"),F82,G82)*$C$14)</f>
        <v>2761.16002995257</v>
      </c>
      <c r="K82" s="59">
        <f>IF(B82="","",F82+J82)</f>
        <v>20018.4102171562</v>
      </c>
      <c r="L82" s="59">
        <f>IF(B82="","",F82-IF(A82=$C$38,$C$30,0))</f>
        <v>17257.2501872036</v>
      </c>
      <c r="M82" s="78">
        <f>IF(B82="","",$C$37*(1+$C$13)^(-C82))</f>
        <v>0.543147026631592</v>
      </c>
      <c r="N82" s="59">
        <f>IF(B82="","",L82*M82)</f>
        <v>9373.22412701711</v>
      </c>
      <c r="O82" s="59">
        <f>IF(B82="","",IF(B82="Básico",F82,0)-IF(A82=$C$38,$C$30,0))</f>
        <v>17257.2501872036</v>
      </c>
      <c r="P82" s="77">
        <f>IF(B82="",$C$31,D82)</f>
        <v>47392.0</v>
      </c>
      <c r="Q82" s="59">
        <f>IF(B82="",0,L82)</f>
        <v>17257.2501872036</v>
      </c>
      <c r="R82" s="59">
        <f>IF(B82="",0,-F82)</f>
        <v>-17257.2501872036</v>
      </c>
      <c r="S82" s="59">
        <f>IF(B82="","",O82*M82)</f>
        <v>9373.22412701711</v>
      </c>
    </row>
    <row r="83">
      <c r="A83" s="7" t="n">
        <v>38</v>
      </c>
      <c r="B83" s="7" t="str">
        <f>IF(A83&gt;$C$38,"",IF(A83&lt;=$C$5,"Básico",IF($C$6&gt;0,"Sucesivo","Opción de compra")))</f>
        <v>Básico</v>
      </c>
      <c r="C83" s="7">
        <f>IF(B83="","",IF(B83="Opción de compra",$C$5,A83-$C$7))</f>
        <v>37</v>
      </c>
      <c r="D83" s="77">
        <f>IF(B83="","",EDATE($C$33,C83))</f>
        <v>47423.0</v>
      </c>
      <c r="E83" s="59">
        <f>IF(B83="","",I82)</f>
        <v>368936.060504203</v>
      </c>
      <c r="F83" s="59">
        <f>IF(B83="","",IF(B83="Básico",$C$24,IF(B83="Sucesivo",$C$25,$C$26)))</f>
        <v>17257.2501872036</v>
      </c>
      <c r="G83" s="59">
        <f>IF(B83="","",IF(B83="Opción de compra",0,(E83-$C$7*F83)*IF(B83="Sucesivo",$C$11,$C$9)))</f>
        <v>4982.11647949083</v>
      </c>
      <c r="H83" s="59">
        <f>IF(B83="","",F83-G83)</f>
        <v>12275.1337077128</v>
      </c>
      <c r="I83" s="59">
        <f>IF(B83="","",E83-H83)</f>
        <v>356660.926796491</v>
      </c>
      <c r="J83" s="59">
        <f>IF(B83="","",IF(OR(inp_Tipo="Arrendamiento Puro",par_BaseIVAFin="Sobre renta",B83="Opción de compra"),F83,G83)*$C$14)</f>
        <v>2761.16002995257</v>
      </c>
      <c r="K83" s="59">
        <f>IF(B83="","",F83+J83)</f>
        <v>20018.4102171562</v>
      </c>
      <c r="L83" s="59">
        <f>IF(B83="","",F83-IF(A83=$C$38,$C$30,0))</f>
        <v>17257.2501872036</v>
      </c>
      <c r="M83" s="78">
        <f>IF(B83="","",$C$37*(1+$C$13)^(-C83))</f>
        <v>0.534024114672602</v>
      </c>
      <c r="N83" s="59">
        <f>IF(B83="","",L83*M83)</f>
        <v>9215.78775290498</v>
      </c>
      <c r="O83" s="59">
        <f>IF(B83="","",IF(B83="Básico",F83,0)-IF(A83=$C$38,$C$30,0))</f>
        <v>17257.2501872036</v>
      </c>
      <c r="P83" s="77">
        <f>IF(B83="",$C$31,D83)</f>
        <v>47423.0</v>
      </c>
      <c r="Q83" s="59">
        <f>IF(B83="",0,L83)</f>
        <v>17257.2501872036</v>
      </c>
      <c r="R83" s="59">
        <f>IF(B83="",0,-F83)</f>
        <v>-17257.2501872036</v>
      </c>
      <c r="S83" s="59">
        <f>IF(B83="","",O83*M83)</f>
        <v>9215.78775290498</v>
      </c>
    </row>
    <row r="84">
      <c r="A84" s="7" t="n">
        <v>39</v>
      </c>
      <c r="B84" s="7" t="str">
        <f>IF(A84&gt;$C$38,"",IF(A84&lt;=$C$5,"Básico",IF($C$6&gt;0,"Sucesivo","Opción de compra")))</f>
        <v>Básico</v>
      </c>
      <c r="C84" s="7">
        <f>IF(B84="","",IF(B84="Opción de compra",$C$5,A84-$C$7))</f>
        <v>38</v>
      </c>
      <c r="D84" s="77">
        <f>IF(B84="","",EDATE($C$33,C84))</f>
        <v>47453.0</v>
      </c>
      <c r="E84" s="59">
        <f>IF(B84="","",I83)</f>
        <v>356660.926796491</v>
      </c>
      <c r="F84" s="59">
        <f>IF(B84="","",IF(B84="Básico",$C$24,IF(B84="Sucesivo",$C$25,$C$26)))</f>
        <v>17257.2501872036</v>
      </c>
      <c r="G84" s="59">
        <f>IF(B84="","",IF(B84="Opción de compra",0,(E84-$C$7*F84)*IF(B84="Sucesivo",$C$11,$C$9)))</f>
        <v>4808.2187519649</v>
      </c>
      <c r="H84" s="59">
        <f>IF(B84="","",F84-G84)</f>
        <v>12449.0314352387</v>
      </c>
      <c r="I84" s="59">
        <f>IF(B84="","",E84-H84)</f>
        <v>344211.895361252</v>
      </c>
      <c r="J84" s="59">
        <f>IF(B84="","",IF(OR(inp_Tipo="Arrendamiento Puro",par_BaseIVAFin="Sobre renta",B84="Opción de compra"),F84,G84)*$C$14)</f>
        <v>2761.16002995257</v>
      </c>
      <c r="K84" s="59">
        <f>IF(B84="","",F84+J84)</f>
        <v>20018.4102171562</v>
      </c>
      <c r="L84" s="59">
        <f>IF(B84="","",F84-IF(A84=$C$38,$C$30,0))</f>
        <v>17257.2501872036</v>
      </c>
      <c r="M84" s="78">
        <f>IF(B84="","",$C$37*(1+$C$13)^(-C84))</f>
        <v>0.525054434745696</v>
      </c>
      <c r="N84" s="59">
        <f>IF(B84="","",L84*M84)</f>
        <v>9060.99574230723</v>
      </c>
      <c r="O84" s="59">
        <f>IF(B84="","",IF(B84="Básico",F84,0)-IF(A84=$C$38,$C$30,0))</f>
        <v>17257.2501872036</v>
      </c>
      <c r="P84" s="77">
        <f>IF(B84="",$C$31,D84)</f>
        <v>47453.0</v>
      </c>
      <c r="Q84" s="59">
        <f>IF(B84="",0,L84)</f>
        <v>17257.2501872036</v>
      </c>
      <c r="R84" s="59">
        <f>IF(B84="",0,-F84)</f>
        <v>-17257.2501872036</v>
      </c>
      <c r="S84" s="59">
        <f>IF(B84="","",O84*M84)</f>
        <v>9060.99574230723</v>
      </c>
    </row>
    <row r="85">
      <c r="A85" s="7" t="n">
        <v>40</v>
      </c>
      <c r="B85" s="7" t="str">
        <f>IF(A85&gt;$C$38,"",IF(A85&lt;=$C$5,"Básico",IF($C$6&gt;0,"Sucesivo","Opción de compra")))</f>
        <v>Básico</v>
      </c>
      <c r="C85" s="7">
        <f>IF(B85="","",IF(B85="Opción de compra",$C$5,A85-$C$7))</f>
        <v>39</v>
      </c>
      <c r="D85" s="77">
        <f>IF(B85="","",EDATE($C$33,C85))</f>
        <v>47484.0</v>
      </c>
      <c r="E85" s="59">
        <f>IF(B85="","",I84)</f>
        <v>344211.895361252</v>
      </c>
      <c r="F85" s="59">
        <f>IF(B85="","",IF(B85="Básico",$C$24,IF(B85="Sucesivo",$C$25,$C$26)))</f>
        <v>17257.2501872036</v>
      </c>
      <c r="G85" s="59">
        <f>IF(B85="","",IF(B85="Opción de compra",0,(E85-$C$7*F85)*IF(B85="Sucesivo",$C$11,$C$9)))</f>
        <v>4631.85747329902</v>
      </c>
      <c r="H85" s="59">
        <f>IF(B85="","",F85-G85)</f>
        <v>12625.3927139046</v>
      </c>
      <c r="I85" s="59">
        <f>IF(B85="","",E85-H85)</f>
        <v>331586.502647347</v>
      </c>
      <c r="J85" s="59">
        <f>IF(B85="","",IF(OR(inp_Tipo="Arrendamiento Puro",par_BaseIVAFin="Sobre renta",B85="Opción de compra"),F85,G85)*$C$14)</f>
        <v>2761.16002995257</v>
      </c>
      <c r="K85" s="59">
        <f>IF(B85="","",F85+J85)</f>
        <v>20018.4102171562</v>
      </c>
      <c r="L85" s="59">
        <f>IF(B85="","",F85-IF(A85=$C$38,$C$30,0))</f>
        <v>17257.2501872036</v>
      </c>
      <c r="M85" s="78">
        <f>IF(B85="","",$C$37*(1+$C$13)^(-C85))</f>
        <v>0.516235413105149</v>
      </c>
      <c r="N85" s="59">
        <f>IF(B85="","",L85*M85)</f>
        <v>8908.80367944996</v>
      </c>
      <c r="O85" s="59">
        <f>IF(B85="","",IF(B85="Básico",F85,0)-IF(A85=$C$38,$C$30,0))</f>
        <v>17257.2501872036</v>
      </c>
      <c r="P85" s="77">
        <f>IF(B85="",$C$31,D85)</f>
        <v>47484.0</v>
      </c>
      <c r="Q85" s="59">
        <f>IF(B85="",0,L85)</f>
        <v>17257.2501872036</v>
      </c>
      <c r="R85" s="59">
        <f>IF(B85="",0,-F85)</f>
        <v>-17257.2501872036</v>
      </c>
      <c r="S85" s="59">
        <f>IF(B85="","",O85*M85)</f>
        <v>8908.80367944996</v>
      </c>
    </row>
    <row r="86">
      <c r="A86" s="7" t="n">
        <v>41</v>
      </c>
      <c r="B86" s="7" t="str">
        <f>IF(A86&gt;$C$38,"",IF(A86&lt;=$C$5,"Básico",IF($C$6&gt;0,"Sucesivo","Opción de compra")))</f>
        <v>Básico</v>
      </c>
      <c r="C86" s="7">
        <f>IF(B86="","",IF(B86="Opción de compra",$C$5,A86-$C$7))</f>
        <v>40</v>
      </c>
      <c r="D86" s="77">
        <f>IF(B86="","",EDATE($C$33,C86))</f>
        <v>47515.0</v>
      </c>
      <c r="E86" s="59">
        <f>IF(B86="","",I85)</f>
        <v>331586.502647347</v>
      </c>
      <c r="F86" s="59">
        <f>IF(B86="","",IF(B86="Básico",$C$24,IF(B86="Sucesivo",$C$25,$C$26)))</f>
        <v>17257.2501872036</v>
      </c>
      <c r="G86" s="59">
        <f>IF(B86="","",IF(B86="Opción de compra",0,(E86-$C$7*F86)*IF(B86="Sucesivo",$C$11,$C$9)))</f>
        <v>4452.99774318537</v>
      </c>
      <c r="H86" s="59">
        <f>IF(B86="","",F86-G86)</f>
        <v>12804.2524440182</v>
      </c>
      <c r="I86" s="59">
        <f>IF(B86="","",E86-H86)</f>
        <v>318782.250203329</v>
      </c>
      <c r="J86" s="59">
        <f>IF(B86="","",IF(OR(inp_Tipo="Arrendamiento Puro",par_BaseIVAFin="Sobre renta",B86="Opción de compra"),F86,G86)*$C$14)</f>
        <v>2761.16002995257</v>
      </c>
      <c r="K86" s="59">
        <f>IF(B86="","",F86+J86)</f>
        <v>20018.4102171562</v>
      </c>
      <c r="L86" s="59">
        <f>IF(B86="","",F86-IF(A86=$C$38,$C$30,0))</f>
        <v>17257.2501872036</v>
      </c>
      <c r="M86" s="78">
        <f>IF(B86="","",$C$37*(1+$C$13)^(-C86))</f>
        <v>0.507564519234887</v>
      </c>
      <c r="N86" s="59">
        <f>IF(B86="","",L86*M86)</f>
        <v>8759.16789458415</v>
      </c>
      <c r="O86" s="59">
        <f>IF(B86="","",IF(B86="Básico",F86,0)-IF(A86=$C$38,$C$30,0))</f>
        <v>17257.2501872036</v>
      </c>
      <c r="P86" s="77">
        <f>IF(B86="",$C$31,D86)</f>
        <v>47515.0</v>
      </c>
      <c r="Q86" s="59">
        <f>IF(B86="",0,L86)</f>
        <v>17257.2501872036</v>
      </c>
      <c r="R86" s="59">
        <f>IF(B86="",0,-F86)</f>
        <v>-17257.2501872036</v>
      </c>
      <c r="S86" s="59">
        <f>IF(B86="","",O86*M86)</f>
        <v>8759.16789458415</v>
      </c>
    </row>
    <row r="87">
      <c r="A87" s="7" t="n">
        <v>42</v>
      </c>
      <c r="B87" s="7" t="str">
        <f>IF(A87&gt;$C$38,"",IF(A87&lt;=$C$5,"Básico",IF($C$6&gt;0,"Sucesivo","Opción de compra")))</f>
        <v>Básico</v>
      </c>
      <c r="C87" s="7">
        <f>IF(B87="","",IF(B87="Opción de compra",$C$5,A87-$C$7))</f>
        <v>41</v>
      </c>
      <c r="D87" s="77">
        <f>IF(B87="","",EDATE($C$33,C87))</f>
        <v>47543.0</v>
      </c>
      <c r="E87" s="59">
        <f>IF(B87="","",I86)</f>
        <v>318782.250203329</v>
      </c>
      <c r="F87" s="59">
        <f>IF(B87="","",IF(B87="Básico",$C$24,IF(B87="Sucesivo",$C$25,$C$26)))</f>
        <v>17257.2501872036</v>
      </c>
      <c r="G87" s="59">
        <f>IF(B87="","",IF(B87="Opción de compra",0,(E87-$C$7*F87)*IF(B87="Sucesivo",$C$11,$C$9)))</f>
        <v>4271.60416689511</v>
      </c>
      <c r="H87" s="59">
        <f>IF(B87="","",F87-G87)</f>
        <v>12985.6460203085</v>
      </c>
      <c r="I87" s="59">
        <f>IF(B87="","",E87-H87)</f>
        <v>305796.604183021</v>
      </c>
      <c r="J87" s="59">
        <f>IF(B87="","",IF(OR(inp_Tipo="Arrendamiento Puro",par_BaseIVAFin="Sobre renta",B87="Opción de compra"),F87,G87)*$C$14)</f>
        <v>2761.16002995257</v>
      </c>
      <c r="K87" s="59">
        <f>IF(B87="","",F87+J87)</f>
        <v>20018.4102171562</v>
      </c>
      <c r="L87" s="59">
        <f>IF(B87="","",F87-IF(A87=$C$38,$C$30,0))</f>
        <v>17257.2501872036</v>
      </c>
      <c r="M87" s="78">
        <f>IF(B87="","",$C$37*(1+$C$13)^(-C87))</f>
        <v>0.49903926512238</v>
      </c>
      <c r="N87" s="59">
        <f>IF(B87="","",L87*M87)</f>
        <v>8612.04545145512</v>
      </c>
      <c r="O87" s="59">
        <f>IF(B87="","",IF(B87="Básico",F87,0)-IF(A87=$C$38,$C$30,0))</f>
        <v>17257.2501872036</v>
      </c>
      <c r="P87" s="77">
        <f>IF(B87="",$C$31,D87)</f>
        <v>47543.0</v>
      </c>
      <c r="Q87" s="59">
        <f>IF(B87="",0,L87)</f>
        <v>17257.2501872036</v>
      </c>
      <c r="R87" s="59">
        <f>IF(B87="",0,-F87)</f>
        <v>-17257.2501872036</v>
      </c>
      <c r="S87" s="59">
        <f>IF(B87="","",O87*M87)</f>
        <v>8612.04545145512</v>
      </c>
    </row>
    <row r="88">
      <c r="A88" s="7" t="n">
        <v>43</v>
      </c>
      <c r="B88" s="7" t="str">
        <f>IF(A88&gt;$C$38,"",IF(A88&lt;=$C$5,"Básico",IF($C$6&gt;0,"Sucesivo","Opción de compra")))</f>
        <v>Básico</v>
      </c>
      <c r="C88" s="7">
        <f>IF(B88="","",IF(B88="Opción de compra",$C$5,A88-$C$7))</f>
        <v>42</v>
      </c>
      <c r="D88" s="77">
        <f>IF(B88="","",EDATE($C$33,C88))</f>
        <v>47574.0</v>
      </c>
      <c r="E88" s="59">
        <f>IF(B88="","",I87)</f>
        <v>305796.604183021</v>
      </c>
      <c r="F88" s="59">
        <f>IF(B88="","",IF(B88="Básico",$C$24,IF(B88="Sucesivo",$C$25,$C$26)))</f>
        <v>17257.2501872036</v>
      </c>
      <c r="G88" s="59">
        <f>IF(B88="","",IF(B88="Opción de compra",0,(E88-$C$7*F88)*IF(B88="Sucesivo",$C$11,$C$9)))</f>
        <v>4087.64084827408</v>
      </c>
      <c r="H88" s="59">
        <f>IF(B88="","",F88-G88)</f>
        <v>13169.6093389295</v>
      </c>
      <c r="I88" s="59">
        <f>IF(B88="","",E88-H88)</f>
        <v>292626.994844091</v>
      </c>
      <c r="J88" s="59">
        <f>IF(B88="","",IF(OR(inp_Tipo="Arrendamiento Puro",par_BaseIVAFin="Sobre renta",B88="Opción de compra"),F88,G88)*$C$14)</f>
        <v>2761.16002995257</v>
      </c>
      <c r="K88" s="59">
        <f>IF(B88="","",F88+J88)</f>
        <v>20018.4102171562</v>
      </c>
      <c r="L88" s="59">
        <f>IF(B88="","",F88-IF(A88=$C$38,$C$30,0))</f>
        <v>17257.2501872036</v>
      </c>
      <c r="M88" s="78">
        <f>IF(B88="","",$C$37*(1+$C$13)^(-C88))</f>
        <v>0.49065720454474</v>
      </c>
      <c r="N88" s="59">
        <f>IF(B88="","",L88*M88)</f>
        <v>8467.39413498251</v>
      </c>
      <c r="O88" s="59">
        <f>IF(B88="","",IF(B88="Básico",F88,0)-IF(A88=$C$38,$C$30,0))</f>
        <v>17257.2501872036</v>
      </c>
      <c r="P88" s="77">
        <f>IF(B88="",$C$31,D88)</f>
        <v>47574.0</v>
      </c>
      <c r="Q88" s="59">
        <f>IF(B88="",0,L88)</f>
        <v>17257.2501872036</v>
      </c>
      <c r="R88" s="59">
        <f>IF(B88="",0,-F88)</f>
        <v>-17257.2501872036</v>
      </c>
      <c r="S88" s="59">
        <f>IF(B88="","",O88*M88)</f>
        <v>8467.39413498251</v>
      </c>
    </row>
    <row r="89">
      <c r="A89" s="7" t="n">
        <v>44</v>
      </c>
      <c r="B89" s="7" t="str">
        <f>IF(A89&gt;$C$38,"",IF(A89&lt;=$C$5,"Básico",IF($C$6&gt;0,"Sucesivo","Opción de compra")))</f>
        <v>Básico</v>
      </c>
      <c r="C89" s="7">
        <f>IF(B89="","",IF(B89="Opción de compra",$C$5,A89-$C$7))</f>
        <v>43</v>
      </c>
      <c r="D89" s="77">
        <f>IF(B89="","",EDATE($C$33,C89))</f>
        <v>47604.0</v>
      </c>
      <c r="E89" s="59">
        <f>IF(B89="","",I88)</f>
        <v>292626.994844091</v>
      </c>
      <c r="F89" s="59">
        <f>IF(B89="","",IF(B89="Básico",$C$24,IF(B89="Sucesivo",$C$25,$C$26)))</f>
        <v>17257.2501872036</v>
      </c>
      <c r="G89" s="59">
        <f>IF(B89="","",IF(B89="Opción de compra",0,(E89-$C$7*F89)*IF(B89="Sucesivo",$C$11,$C$9)))</f>
        <v>3901.07138263924</v>
      </c>
      <c r="H89" s="59">
        <f>IF(B89="","",F89-G89)</f>
        <v>13356.1788045643</v>
      </c>
      <c r="I89" s="59">
        <f>IF(B89="","",E89-H89)</f>
        <v>279270.816039527</v>
      </c>
      <c r="J89" s="59">
        <f>IF(B89="","",IF(OR(inp_Tipo="Arrendamiento Puro",par_BaseIVAFin="Sobre renta",B89="Opción de compra"),F89,G89)*$C$14)</f>
        <v>2761.16002995257</v>
      </c>
      <c r="K89" s="59">
        <f>IF(B89="","",F89+J89)</f>
        <v>20018.4102171562</v>
      </c>
      <c r="L89" s="59">
        <f>IF(B89="","",F89-IF(A89=$C$38,$C$30,0))</f>
        <v>17257.2501872036</v>
      </c>
      <c r="M89" s="78">
        <f>IF(B89="","",$C$37*(1+$C$13)^(-C89))</f>
        <v>0.482415932366807</v>
      </c>
      <c r="N89" s="59">
        <f>IF(B89="","",L89*M89)</f>
        <v>8325.17243914708</v>
      </c>
      <c r="O89" s="59">
        <f>IF(B89="","",IF(B89="Básico",F89,0)-IF(A89=$C$38,$C$30,0))</f>
        <v>17257.2501872036</v>
      </c>
      <c r="P89" s="77">
        <f>IF(B89="",$C$31,D89)</f>
        <v>47604.0</v>
      </c>
      <c r="Q89" s="59">
        <f>IF(B89="",0,L89)</f>
        <v>17257.2501872036</v>
      </c>
      <c r="R89" s="59">
        <f>IF(B89="",0,-F89)</f>
        <v>-17257.2501872036</v>
      </c>
      <c r="S89" s="59">
        <f>IF(B89="","",O89*M89)</f>
        <v>8325.17243914708</v>
      </c>
    </row>
    <row r="90">
      <c r="A90" s="7" t="n">
        <v>45</v>
      </c>
      <c r="B90" s="7" t="str">
        <f>IF(A90&gt;$C$38,"",IF(A90&lt;=$C$5,"Básico",IF($C$6&gt;0,"Sucesivo","Opción de compra")))</f>
        <v>Básico</v>
      </c>
      <c r="C90" s="7">
        <f>IF(B90="","",IF(B90="Opción de compra",$C$5,A90-$C$7))</f>
        <v>44</v>
      </c>
      <c r="D90" s="77">
        <f>IF(B90="","",EDATE($C$33,C90))</f>
        <v>47635.0</v>
      </c>
      <c r="E90" s="59">
        <f>IF(B90="","",I89)</f>
        <v>279270.816039527</v>
      </c>
      <c r="F90" s="59">
        <f>IF(B90="","",IF(B90="Básico",$C$24,IF(B90="Sucesivo",$C$25,$C$26)))</f>
        <v>17257.2501872036</v>
      </c>
      <c r="G90" s="59">
        <f>IF(B90="","",IF(B90="Opción de compra",0,(E90-$C$7*F90)*IF(B90="Sucesivo",$C$11,$C$9)))</f>
        <v>3711.85884957458</v>
      </c>
      <c r="H90" s="59">
        <f>IF(B90="","",F90-G90)</f>
        <v>13545.391337629</v>
      </c>
      <c r="I90" s="59">
        <f>IF(B90="","",E90-H90)</f>
        <v>265725.424701898</v>
      </c>
      <c r="J90" s="59">
        <f>IF(B90="","",IF(OR(inp_Tipo="Arrendamiento Puro",par_BaseIVAFin="Sobre renta",B90="Opción de compra"),F90,G90)*$C$14)</f>
        <v>2761.16002995257</v>
      </c>
      <c r="K90" s="59">
        <f>IF(B90="","",F90+J90)</f>
        <v>20018.4102171562</v>
      </c>
      <c r="L90" s="59">
        <f>IF(B90="","",F90-IF(A90=$C$38,$C$30,0))</f>
        <v>17257.2501872036</v>
      </c>
      <c r="M90" s="78">
        <f>IF(B90="","",$C$37*(1+$C$13)^(-C90))</f>
        <v>0.474313083851019</v>
      </c>
      <c r="N90" s="59">
        <f>IF(B90="","",L90*M90)</f>
        <v>8185.33955508111</v>
      </c>
      <c r="O90" s="59">
        <f>IF(B90="","",IF(B90="Básico",F90,0)-IF(A90=$C$38,$C$30,0))</f>
        <v>17257.2501872036</v>
      </c>
      <c r="P90" s="77">
        <f>IF(B90="",$C$31,D90)</f>
        <v>47635.0</v>
      </c>
      <c r="Q90" s="59">
        <f>IF(B90="",0,L90)</f>
        <v>17257.2501872036</v>
      </c>
      <c r="R90" s="59">
        <f>IF(B90="",0,-F90)</f>
        <v>-17257.2501872036</v>
      </c>
      <c r="S90" s="59">
        <f>IF(B90="","",O90*M90)</f>
        <v>8185.33955508111</v>
      </c>
    </row>
    <row r="91">
      <c r="A91" s="7" t="n">
        <v>46</v>
      </c>
      <c r="B91" s="7" t="str">
        <f>IF(A91&gt;$C$38,"",IF(A91&lt;=$C$5,"Básico",IF($C$6&gt;0,"Sucesivo","Opción de compra")))</f>
        <v>Básico</v>
      </c>
      <c r="C91" s="7">
        <f>IF(B91="","",IF(B91="Opción de compra",$C$5,A91-$C$7))</f>
        <v>45</v>
      </c>
      <c r="D91" s="77">
        <f>IF(B91="","",EDATE($C$33,C91))</f>
        <v>47665.0</v>
      </c>
      <c r="E91" s="59">
        <f>IF(B91="","",I90)</f>
        <v>265725.424701898</v>
      </c>
      <c r="F91" s="59">
        <f>IF(B91="","",IF(B91="Básico",$C$24,IF(B91="Sucesivo",$C$25,$C$26)))</f>
        <v>17257.2501872036</v>
      </c>
      <c r="G91" s="59">
        <f>IF(B91="","",IF(B91="Opción de compra",0,(E91-$C$7*F91)*IF(B91="Sucesivo",$C$11,$C$9)))</f>
        <v>3519.96580562483</v>
      </c>
      <c r="H91" s="59">
        <f>IF(B91="","",F91-G91)</f>
        <v>13737.2843815788</v>
      </c>
      <c r="I91" s="59">
        <f>IF(B91="","",E91-H91)</f>
        <v>251988.140320319</v>
      </c>
      <c r="J91" s="59">
        <f>IF(B91="","",IF(OR(inp_Tipo="Arrendamiento Puro",par_BaseIVAFin="Sobre renta",B91="Opción de compra"),F91,G91)*$C$14)</f>
        <v>2761.16002995257</v>
      </c>
      <c r="K91" s="59">
        <f>IF(B91="","",F91+J91)</f>
        <v>20018.4102171562</v>
      </c>
      <c r="L91" s="59">
        <f>IF(B91="","",F91-IF(A91=$C$38,$C$30,0))</f>
        <v>17257.2501872036</v>
      </c>
      <c r="M91" s="78">
        <f>IF(B91="","",$C$37*(1+$C$13)^(-C91))</f>
        <v>0.46634633397888</v>
      </c>
      <c r="N91" s="59">
        <f>IF(B91="","",L91*M91)</f>
        <v>8047.85535935873</v>
      </c>
      <c r="O91" s="59">
        <f>IF(B91="","",IF(B91="Básico",F91,0)-IF(A91=$C$38,$C$30,0))</f>
        <v>17257.2501872036</v>
      </c>
      <c r="P91" s="77">
        <f>IF(B91="",$C$31,D91)</f>
        <v>47665.0</v>
      </c>
      <c r="Q91" s="59">
        <f>IF(B91="",0,L91)</f>
        <v>17257.2501872036</v>
      </c>
      <c r="R91" s="59">
        <f>IF(B91="",0,-F91)</f>
        <v>-17257.2501872036</v>
      </c>
      <c r="S91" s="59">
        <f>IF(B91="","",O91*M91)</f>
        <v>8047.85535935873</v>
      </c>
    </row>
    <row r="92">
      <c r="A92" s="7" t="n">
        <v>47</v>
      </c>
      <c r="B92" s="7" t="str">
        <f>IF(A92&gt;$C$38,"",IF(A92&lt;=$C$5,"Básico",IF($C$6&gt;0,"Sucesivo","Opción de compra")))</f>
        <v>Básico</v>
      </c>
      <c r="C92" s="7">
        <f>IF(B92="","",IF(B92="Opción de compra",$C$5,A92-$C$7))</f>
        <v>46</v>
      </c>
      <c r="D92" s="77">
        <f>IF(B92="","",EDATE($C$33,C92))</f>
        <v>47696.0</v>
      </c>
      <c r="E92" s="59">
        <f>IF(B92="","",I91)</f>
        <v>251988.140320319</v>
      </c>
      <c r="F92" s="59">
        <f>IF(B92="","",IF(B92="Básico",$C$24,IF(B92="Sucesivo",$C$25,$C$26)))</f>
        <v>17257.2501872036</v>
      </c>
      <c r="G92" s="59">
        <f>IF(B92="","",IF(B92="Opción de compra",0,(E92-$C$7*F92)*IF(B92="Sucesivo",$C$11,$C$9)))</f>
        <v>3325.3542768858</v>
      </c>
      <c r="H92" s="59">
        <f>IF(B92="","",F92-G92)</f>
        <v>13931.8959103178</v>
      </c>
      <c r="I92" s="59">
        <f>IF(B92="","",E92-H92)</f>
        <v>238056.244410001</v>
      </c>
      <c r="J92" s="59">
        <f>IF(B92="","",IF(OR(inp_Tipo="Arrendamiento Puro",par_BaseIVAFin="Sobre renta",B92="Opción de compra"),F92,G92)*$C$14)</f>
        <v>2761.16002995257</v>
      </c>
      <c r="K92" s="59">
        <f>IF(B92="","",F92+J92)</f>
        <v>20018.4102171562</v>
      </c>
      <c r="L92" s="59">
        <f>IF(B92="","",F92-IF(A92=$C$38,$C$30,0))</f>
        <v>17257.2501872036</v>
      </c>
      <c r="M92" s="78">
        <f>IF(B92="","",$C$37*(1+$C$13)^(-C92))</f>
        <v>0.458513396783823</v>
      </c>
      <c r="N92" s="59">
        <f>IF(B92="","",L92*M92)</f>
        <v>7912.68040248298</v>
      </c>
      <c r="O92" s="59">
        <f>IF(B92="","",IF(B92="Básico",F92,0)-IF(A92=$C$38,$C$30,0))</f>
        <v>17257.2501872036</v>
      </c>
      <c r="P92" s="77">
        <f>IF(B92="",$C$31,D92)</f>
        <v>47696.0</v>
      </c>
      <c r="Q92" s="59">
        <f>IF(B92="",0,L92)</f>
        <v>17257.2501872036</v>
      </c>
      <c r="R92" s="59">
        <f>IF(B92="",0,-F92)</f>
        <v>-17257.2501872036</v>
      </c>
      <c r="S92" s="59">
        <f>IF(B92="","",O92*M92)</f>
        <v>7912.68040248298</v>
      </c>
    </row>
    <row r="93">
      <c r="A93" s="7" t="n">
        <v>48</v>
      </c>
      <c r="B93" s="7" t="str">
        <f>IF(A93&gt;$C$38,"",IF(A93&lt;=$C$5,"Básico",IF($C$6&gt;0,"Sucesivo","Opción de compra")))</f>
        <v>Básico</v>
      </c>
      <c r="C93" s="7">
        <f>IF(B93="","",IF(B93="Opción de compra",$C$5,A93-$C$7))</f>
        <v>47</v>
      </c>
      <c r="D93" s="77">
        <f>IF(B93="","",EDATE($C$33,C93))</f>
        <v>47727.0</v>
      </c>
      <c r="E93" s="59">
        <f>IF(B93="","",I92)</f>
        <v>238056.244410001</v>
      </c>
      <c r="F93" s="59">
        <f>IF(B93="","",IF(B93="Básico",$C$24,IF(B93="Sucesivo",$C$25,$C$26)))</f>
        <v>17257.2501872036</v>
      </c>
      <c r="G93" s="59">
        <f>IF(B93="","",IF(B93="Opción de compra",0,(E93-$C$7*F93)*IF(B93="Sucesivo",$C$11,$C$9)))</f>
        <v>3127.98575148963</v>
      </c>
      <c r="H93" s="59">
        <f>IF(B93="","",F93-G93)</f>
        <v>14129.264435714</v>
      </c>
      <c r="I93" s="59">
        <f>IF(B93="","",E93-H93)</f>
        <v>223926.979974287</v>
      </c>
      <c r="J93" s="59">
        <f>IF(B93="","",IF(OR(inp_Tipo="Arrendamiento Puro",par_BaseIVAFin="Sobre renta",B93="Opción de compra"),F93,G93)*$C$14)</f>
        <v>2761.16002995257</v>
      </c>
      <c r="K93" s="59">
        <f>IF(B93="","",F93+J93)</f>
        <v>20018.4102171562</v>
      </c>
      <c r="L93" s="59">
        <f>IF(B93="","",F93-IF(A93=$C$38,$C$30,0))</f>
        <v>17257.2501872036</v>
      </c>
      <c r="M93" s="78">
        <f>IF(B93="","",$C$37*(1+$C$13)^(-C93))</f>
        <v>0.450812024695278</v>
      </c>
      <c r="N93" s="59">
        <f>IF(B93="","",L93*M93)</f>
        <v>7779.77589756622</v>
      </c>
      <c r="O93" s="59">
        <f>IF(B93="","",IF(B93="Básico",F93,0)-IF(A93=$C$38,$C$30,0))</f>
        <v>17257.2501872036</v>
      </c>
      <c r="P93" s="77">
        <f>IF(B93="",$C$31,D93)</f>
        <v>47727.0</v>
      </c>
      <c r="Q93" s="59">
        <f>IF(B93="",0,L93)</f>
        <v>17257.2501872036</v>
      </c>
      <c r="R93" s="59">
        <f>IF(B93="",0,-F93)</f>
        <v>-17257.2501872036</v>
      </c>
      <c r="S93" s="59">
        <f>IF(B93="","",O93*M93)</f>
        <v>7779.77589756622</v>
      </c>
    </row>
    <row r="94">
      <c r="A94" s="7" t="n">
        <v>49</v>
      </c>
      <c r="B94" s="7" t="str">
        <f>IF(A94&gt;$C$38,"",IF(A94&lt;=$C$5,"Básico",IF($C$6&gt;0,"Sucesivo","Opción de compra")))</f>
        <v>Básico</v>
      </c>
      <c r="C94" s="7">
        <f>IF(B94="","",IF(B94="Opción de compra",$C$5,A94-$C$7))</f>
        <v>48</v>
      </c>
      <c r="D94" s="77">
        <f>IF(B94="","",EDATE($C$33,C94))</f>
        <v>47757.0</v>
      </c>
      <c r="E94" s="59">
        <f>IF(B94="","",I93)</f>
        <v>223926.979974287</v>
      </c>
      <c r="F94" s="59">
        <f>IF(B94="","",IF(B94="Básico",$C$24,IF(B94="Sucesivo",$C$25,$C$26)))</f>
        <v>17257.2501872036</v>
      </c>
      <c r="G94" s="59">
        <f>IF(B94="","",IF(B94="Opción de compra",0,(E94-$C$7*F94)*IF(B94="Sucesivo",$C$11,$C$9)))</f>
        <v>2927.82117198369</v>
      </c>
      <c r="H94" s="59">
        <f>IF(B94="","",F94-G94)</f>
        <v>14329.4290152199</v>
      </c>
      <c r="I94" s="59">
        <f>IF(B94="","",E94-H94)</f>
        <v>209597.550959067</v>
      </c>
      <c r="J94" s="59">
        <f>IF(B94="","",IF(OR(inp_Tipo="Arrendamiento Puro",par_BaseIVAFin="Sobre renta",B94="Opción de compra"),F94,G94)*$C$14)</f>
        <v>2761.16002995257</v>
      </c>
      <c r="K94" s="59">
        <f>IF(B94="","",F94+J94)</f>
        <v>20018.4102171562</v>
      </c>
      <c r="L94" s="59">
        <f>IF(B94="","",F94-IF(A94=$C$38,$C$30,0))</f>
        <v>17257.2501872036</v>
      </c>
      <c r="M94" s="78">
        <f>IF(B94="","",$C$37*(1+$C$13)^(-C94))</f>
        <v>0.44324000789376</v>
      </c>
      <c r="N94" s="59">
        <f>IF(B94="","",L94*M94)</f>
        <v>7649.10370920071</v>
      </c>
      <c r="O94" s="59">
        <f>IF(B94="","",IF(B94="Básico",F94,0)-IF(A94=$C$38,$C$30,0))</f>
        <v>17257.2501872036</v>
      </c>
      <c r="P94" s="77">
        <f>IF(B94="",$C$31,D94)</f>
        <v>47757.0</v>
      </c>
      <c r="Q94" s="59">
        <f>IF(B94="",0,L94)</f>
        <v>17257.2501872036</v>
      </c>
      <c r="R94" s="59">
        <f>IF(B94="",0,-F94)</f>
        <v>-17257.2501872036</v>
      </c>
      <c r="S94" s="59">
        <f>IF(B94="","",O94*M94)</f>
        <v>7649.10370920071</v>
      </c>
    </row>
    <row r="95">
      <c r="A95" s="7" t="n">
        <v>50</v>
      </c>
      <c r="B95" s="7" t="str">
        <f>IF(A95&gt;$C$38,"",IF(A95&lt;=$C$5,"Básico",IF($C$6&gt;0,"Sucesivo","Opción de compra")))</f>
        <v>Básico</v>
      </c>
      <c r="C95" s="7">
        <f>IF(B95="","",IF(B95="Opción de compra",$C$5,A95-$C$7))</f>
        <v>49</v>
      </c>
      <c r="D95" s="77">
        <f>IF(B95="","",EDATE($C$33,C95))</f>
        <v>47788.0</v>
      </c>
      <c r="E95" s="59">
        <f>IF(B95="","",I94)</f>
        <v>209597.550959067</v>
      </c>
      <c r="F95" s="59">
        <f>IF(B95="","",IF(B95="Básico",$C$24,IF(B95="Sucesivo",$C$25,$C$26)))</f>
        <v>17257.2501872036</v>
      </c>
      <c r="G95" s="59">
        <f>IF(B95="","",IF(B95="Opción de compra",0,(E95-$C$7*F95)*IF(B95="Sucesivo",$C$11,$C$9)))</f>
        <v>2724.8209276014</v>
      </c>
      <c r="H95" s="59">
        <f>IF(B95="","",F95-G95)</f>
        <v>14532.4292596022</v>
      </c>
      <c r="I95" s="59">
        <f>IF(B95="","",E95-H95)</f>
        <v>195065.121699465</v>
      </c>
      <c r="J95" s="59">
        <f>IF(B95="","",IF(OR(inp_Tipo="Arrendamiento Puro",par_BaseIVAFin="Sobre renta",B95="Opción de compra"),F95,G95)*$C$14)</f>
        <v>2761.16002995257</v>
      </c>
      <c r="K95" s="59">
        <f>IF(B95="","",F95+J95)</f>
        <v>20018.4102171562</v>
      </c>
      <c r="L95" s="59">
        <f>IF(B95="","",F95-IF(A95=$C$38,$C$30,0))</f>
        <v>17257.2501872036</v>
      </c>
      <c r="M95" s="78">
        <f>IF(B95="","",$C$37*(1+$C$13)^(-C95))</f>
        <v>0.435795173676782</v>
      </c>
      <c r="N95" s="59">
        <f>IF(B95="","",L95*M95)</f>
        <v>7520.62634251606</v>
      </c>
      <c r="O95" s="59">
        <f>IF(B95="","",IF(B95="Básico",F95,0)-IF(A95=$C$38,$C$30,0))</f>
        <v>17257.2501872036</v>
      </c>
      <c r="P95" s="77">
        <f>IF(B95="",$C$31,D95)</f>
        <v>47788.0</v>
      </c>
      <c r="Q95" s="59">
        <f>IF(B95="",0,L95)</f>
        <v>17257.2501872036</v>
      </c>
      <c r="R95" s="59">
        <f>IF(B95="",0,-F95)</f>
        <v>-17257.2501872036</v>
      </c>
      <c r="S95" s="59">
        <f>IF(B95="","",O95*M95)</f>
        <v>7520.62634251606</v>
      </c>
    </row>
    <row r="96">
      <c r="A96" s="7" t="n">
        <v>51</v>
      </c>
      <c r="B96" s="7" t="str">
        <f>IF(A96&gt;$C$38,"",IF(A96&lt;=$C$5,"Básico",IF($C$6&gt;0,"Sucesivo","Opción de compra")))</f>
        <v>Básico</v>
      </c>
      <c r="C96" s="7">
        <f>IF(B96="","",IF(B96="Opción de compra",$C$5,A96-$C$7))</f>
        <v>50</v>
      </c>
      <c r="D96" s="77">
        <f>IF(B96="","",EDATE($C$33,C96))</f>
        <v>47818.0</v>
      </c>
      <c r="E96" s="59">
        <f>IF(B96="","",I95)</f>
        <v>195065.121699465</v>
      </c>
      <c r="F96" s="59">
        <f>IF(B96="","",IF(B96="Básico",$C$24,IF(B96="Sucesivo",$C$25,$C$26)))</f>
        <v>17257.2501872036</v>
      </c>
      <c r="G96" s="59">
        <f>IF(B96="","",IF(B96="Opción de compra",0,(E96-$C$7*F96)*IF(B96="Sucesivo",$C$11,$C$9)))</f>
        <v>2518.94484642371</v>
      </c>
      <c r="H96" s="59">
        <f>IF(B96="","",F96-G96)</f>
        <v>14738.3053407799</v>
      </c>
      <c r="I96" s="59">
        <f>IF(B96="","",E96-H96)</f>
        <v>180326.816358685</v>
      </c>
      <c r="J96" s="59">
        <f>IF(B96="","",IF(OR(inp_Tipo="Arrendamiento Puro",par_BaseIVAFin="Sobre renta",B96="Opción de compra"),F96,G96)*$C$14)</f>
        <v>2761.16002995257</v>
      </c>
      <c r="K96" s="59">
        <f>IF(B96="","",F96+J96)</f>
        <v>20018.4102171562</v>
      </c>
      <c r="L96" s="59">
        <f>IF(B96="","",F96-IF(A96=$C$38,$C$30,0))</f>
        <v>17257.2501872036</v>
      </c>
      <c r="M96" s="78">
        <f>IF(B96="","",$C$37*(1+$C$13)^(-C96))</f>
        <v>0.428475385835427</v>
      </c>
      <c r="N96" s="59">
        <f>IF(B96="","",L96*M96)</f>
        <v>7394.30693242054</v>
      </c>
      <c r="O96" s="59">
        <f>IF(B96="","",IF(B96="Básico",F96,0)-IF(A96=$C$38,$C$30,0))</f>
        <v>17257.2501872036</v>
      </c>
      <c r="P96" s="77">
        <f>IF(B96="",$C$31,D96)</f>
        <v>47818.0</v>
      </c>
      <c r="Q96" s="59">
        <f>IF(B96="",0,L96)</f>
        <v>17257.2501872036</v>
      </c>
      <c r="R96" s="59">
        <f>IF(B96="",0,-F96)</f>
        <v>-17257.2501872036</v>
      </c>
      <c r="S96" s="59">
        <f>IF(B96="","",O96*M96)</f>
        <v>7394.30693242054</v>
      </c>
    </row>
    <row r="97">
      <c r="A97" s="7" t="n">
        <v>52</v>
      </c>
      <c r="B97" s="7" t="str">
        <f>IF(A97&gt;$C$38,"",IF(A97&lt;=$C$5,"Básico",IF($C$6&gt;0,"Sucesivo","Opción de compra")))</f>
        <v>Básico</v>
      </c>
      <c r="C97" s="7">
        <f>IF(B97="","",IF(B97="Opción de compra",$C$5,A97-$C$7))</f>
        <v>51</v>
      </c>
      <c r="D97" s="77">
        <f>IF(B97="","",EDATE($C$33,C97))</f>
        <v>47849.0</v>
      </c>
      <c r="E97" s="59">
        <f>IF(B97="","",I96)</f>
        <v>180326.816358685</v>
      </c>
      <c r="F97" s="59">
        <f>IF(B97="","",IF(B97="Básico",$C$24,IF(B97="Sucesivo",$C$25,$C$26)))</f>
        <v>17257.2501872036</v>
      </c>
      <c r="G97" s="59">
        <f>IF(B97="","",IF(B97="Opción de compra",0,(E97-$C$7*F97)*IF(B97="Sucesivo",$C$11,$C$9)))</f>
        <v>2310.15218742932</v>
      </c>
      <c r="H97" s="59">
        <f>IF(B97="","",F97-G97)</f>
        <v>14947.0979997743</v>
      </c>
      <c r="I97" s="59">
        <f>IF(B97="","",E97-H97)</f>
        <v>165379.718358911</v>
      </c>
      <c r="J97" s="59">
        <f>IF(B97="","",IF(OR(inp_Tipo="Arrendamiento Puro",par_BaseIVAFin="Sobre renta",B97="Opción de compra"),F97,G97)*$C$14)</f>
        <v>2761.16002995257</v>
      </c>
      <c r="K97" s="59">
        <f>IF(B97="","",F97+J97)</f>
        <v>20018.4102171562</v>
      </c>
      <c r="L97" s="59">
        <f>IF(B97="","",F97-IF(A97=$C$38,$C$30,0))</f>
        <v>17257.2501872036</v>
      </c>
      <c r="M97" s="78">
        <f>IF(B97="","",$C$37*(1+$C$13)^(-C97))</f>
        <v>0.421278544041386</v>
      </c>
      <c r="N97" s="59">
        <f>IF(B97="","",L97*M97)</f>
        <v>7270.10923302307</v>
      </c>
      <c r="O97" s="59">
        <f>IF(B97="","",IF(B97="Básico",F97,0)-IF(A97=$C$38,$C$30,0))</f>
        <v>17257.2501872036</v>
      </c>
      <c r="P97" s="77">
        <f>IF(B97="",$C$31,D97)</f>
        <v>47849.0</v>
      </c>
      <c r="Q97" s="59">
        <f>IF(B97="",0,L97)</f>
        <v>17257.2501872036</v>
      </c>
      <c r="R97" s="59">
        <f>IF(B97="",0,-F97)</f>
        <v>-17257.2501872036</v>
      </c>
      <c r="S97" s="59">
        <f>IF(B97="","",O97*M97)</f>
        <v>7270.10923302307</v>
      </c>
    </row>
    <row r="98">
      <c r="A98" s="7" t="n">
        <v>53</v>
      </c>
      <c r="B98" s="7" t="str">
        <f>IF(A98&gt;$C$38,"",IF(A98&lt;=$C$5,"Básico",IF($C$6&gt;0,"Sucesivo","Opción de compra")))</f>
        <v>Básico</v>
      </c>
      <c r="C98" s="7">
        <f>IF(B98="","",IF(B98="Opción de compra",$C$5,A98-$C$7))</f>
        <v>52</v>
      </c>
      <c r="D98" s="77">
        <f>IF(B98="","",EDATE($C$33,C98))</f>
        <v>47880.0</v>
      </c>
      <c r="E98" s="59">
        <f>IF(B98="","",I97)</f>
        <v>165379.718358911</v>
      </c>
      <c r="F98" s="59">
        <f>IF(B98="","",IF(B98="Básico",$C$24,IF(B98="Sucesivo",$C$25,$C$26)))</f>
        <v>17257.2501872036</v>
      </c>
      <c r="G98" s="59">
        <f>IF(B98="","",IF(B98="Opción de compra",0,(E98-$C$7*F98)*IF(B98="Sucesivo",$C$11,$C$9)))</f>
        <v>2098.40163243252</v>
      </c>
      <c r="H98" s="59">
        <f>IF(B98="","",F98-G98)</f>
        <v>15158.8485547711</v>
      </c>
      <c r="I98" s="59">
        <f>IF(B98="","",E98-H98)</f>
        <v>150220.86980414</v>
      </c>
      <c r="J98" s="59">
        <f>IF(B98="","",IF(OR(inp_Tipo="Arrendamiento Puro",par_BaseIVAFin="Sobre renta",B98="Opción de compra"),F98,G98)*$C$14)</f>
        <v>2761.16002995257</v>
      </c>
      <c r="K98" s="59">
        <f>IF(B98="","",F98+J98)</f>
        <v>20018.4102171562</v>
      </c>
      <c r="L98" s="59">
        <f>IF(B98="","",F98-IF(A98=$C$38,$C$30,0))</f>
        <v>17257.2501872036</v>
      </c>
      <c r="M98" s="78">
        <f>IF(B98="","",$C$37*(1+$C$13)^(-C98))</f>
        <v>0.414202583244296</v>
      </c>
      <c r="N98" s="59">
        <f>IF(B98="","",L98*M98)</f>
        <v>7147.99760723284</v>
      </c>
      <c r="O98" s="59">
        <f>IF(B98="","",IF(B98="Básico",F98,0)-IF(A98=$C$38,$C$30,0))</f>
        <v>17257.2501872036</v>
      </c>
      <c r="P98" s="77">
        <f>IF(B98="",$C$31,D98)</f>
        <v>47880.0</v>
      </c>
      <c r="Q98" s="59">
        <f>IF(B98="",0,L98)</f>
        <v>17257.2501872036</v>
      </c>
      <c r="R98" s="59">
        <f>IF(B98="",0,-F98)</f>
        <v>-17257.2501872036</v>
      </c>
      <c r="S98" s="59">
        <f>IF(B98="","",O98*M98)</f>
        <v>7147.99760723284</v>
      </c>
    </row>
    <row r="99">
      <c r="A99" s="7" t="n">
        <v>54</v>
      </c>
      <c r="B99" s="7" t="str">
        <f>IF(A99&gt;$C$38,"",IF(A99&lt;=$C$5,"Básico",IF($C$6&gt;0,"Sucesivo","Opción de compra")))</f>
        <v>Básico</v>
      </c>
      <c r="C99" s="7">
        <f>IF(B99="","",IF(B99="Opción de compra",$C$5,A99-$C$7))</f>
        <v>53</v>
      </c>
      <c r="D99" s="77">
        <f>IF(B99="","",EDATE($C$33,C99))</f>
        <v>47908.0</v>
      </c>
      <c r="E99" s="59">
        <f>IF(B99="","",I98)</f>
        <v>150220.86980414</v>
      </c>
      <c r="F99" s="59">
        <f>IF(B99="","",IF(B99="Básico",$C$24,IF(B99="Sucesivo",$C$25,$C$26)))</f>
        <v>17257.2501872036</v>
      </c>
      <c r="G99" s="59">
        <f>IF(B99="","",IF(B99="Opción de compra",0,(E99-$C$7*F99)*IF(B99="Sucesivo",$C$11,$C$9)))</f>
        <v>1883.6512779066</v>
      </c>
      <c r="H99" s="59">
        <f>IF(B99="","",F99-G99)</f>
        <v>15373.598909297</v>
      </c>
      <c r="I99" s="59">
        <f>IF(B99="","",E99-H99)</f>
        <v>134847.270894843</v>
      </c>
      <c r="J99" s="59">
        <f>IF(B99="","",IF(OR(inp_Tipo="Arrendamiento Puro",par_BaseIVAFin="Sobre renta",B99="Opción de compra"),F99,G99)*$C$14)</f>
        <v>2761.16002995257</v>
      </c>
      <c r="K99" s="59">
        <f>IF(B99="","",F99+J99)</f>
        <v>20018.4102171562</v>
      </c>
      <c r="L99" s="59">
        <f>IF(B99="","",F99-IF(A99=$C$38,$C$30,0))</f>
        <v>17257.2501872036</v>
      </c>
      <c r="M99" s="78">
        <f>IF(B99="","",$C$37*(1+$C$13)^(-C99))</f>
        <v>0.407245473079193</v>
      </c>
      <c r="N99" s="59">
        <f>IF(B99="","",L99*M99)</f>
        <v>7027.93701653372</v>
      </c>
      <c r="O99" s="59">
        <f>IF(B99="","",IF(B99="Básico",F99,0)-IF(A99=$C$38,$C$30,0))</f>
        <v>17257.2501872036</v>
      </c>
      <c r="P99" s="77">
        <f>IF(B99="",$C$31,D99)</f>
        <v>47908.0</v>
      </c>
      <c r="Q99" s="59">
        <f>IF(B99="",0,L99)</f>
        <v>17257.2501872036</v>
      </c>
      <c r="R99" s="59">
        <f>IF(B99="",0,-F99)</f>
        <v>-17257.2501872036</v>
      </c>
      <c r="S99" s="59">
        <f>IF(B99="","",O99*M99)</f>
        <v>7027.93701653372</v>
      </c>
    </row>
    <row r="100">
      <c r="A100" s="7" t="n">
        <v>55</v>
      </c>
      <c r="B100" s="7" t="str">
        <f>IF(A100&gt;$C$38,"",IF(A100&lt;=$C$5,"Básico",IF($C$6&gt;0,"Sucesivo","Opción de compra")))</f>
        <v>Básico</v>
      </c>
      <c r="C100" s="7">
        <f>IF(B100="","",IF(B100="Opción de compra",$C$5,A100-$C$7))</f>
        <v>54</v>
      </c>
      <c r="D100" s="77">
        <f>IF(B100="","",EDATE($C$33,C100))</f>
        <v>47939.0</v>
      </c>
      <c r="E100" s="59">
        <f>IF(B100="","",I99)</f>
        <v>134847.270894843</v>
      </c>
      <c r="F100" s="59">
        <f>IF(B100="","",IF(B100="Básico",$C$24,IF(B100="Sucesivo",$C$25,$C$26)))</f>
        <v>17257.2501872036</v>
      </c>
      <c r="G100" s="59">
        <f>IF(B100="","",IF(B100="Opción de compra",0,(E100-$C$7*F100)*IF(B100="Sucesivo",$C$11,$C$9)))</f>
        <v>1665.85862669156</v>
      </c>
      <c r="H100" s="59">
        <f>IF(B100="","",F100-G100)</f>
        <v>15591.391560512</v>
      </c>
      <c r="I100" s="59">
        <f>IF(B100="","",E100-H100)</f>
        <v>119255.879334331</v>
      </c>
      <c r="J100" s="59">
        <f>IF(B100="","",IF(OR(inp_Tipo="Arrendamiento Puro",par_BaseIVAFin="Sobre renta",B100="Opción de compra"),F100,G100)*$C$14)</f>
        <v>2761.16002995257</v>
      </c>
      <c r="K100" s="59">
        <f>IF(B100="","",F100+J100)</f>
        <v>20018.4102171562</v>
      </c>
      <c r="L100" s="59">
        <f>IF(B100="","",F100-IF(A100=$C$38,$C$30,0))</f>
        <v>17257.2501872036</v>
      </c>
      <c r="M100" s="78">
        <f>IF(B100="","",$C$37*(1+$C$13)^(-C100))</f>
        <v>0.400405217283926</v>
      </c>
      <c r="N100" s="59">
        <f>IF(B100="","",L100*M100)</f>
        <v>6909.89301093033</v>
      </c>
      <c r="O100" s="59">
        <f>IF(B100="","",IF(B100="Básico",F100,0)-IF(A100=$C$38,$C$30,0))</f>
        <v>17257.2501872036</v>
      </c>
      <c r="P100" s="77">
        <f>IF(B100="",$C$31,D100)</f>
        <v>47939.0</v>
      </c>
      <c r="Q100" s="59">
        <f>IF(B100="",0,L100)</f>
        <v>17257.2501872036</v>
      </c>
      <c r="R100" s="59">
        <f>IF(B100="",0,-F100)</f>
        <v>-17257.2501872036</v>
      </c>
      <c r="S100" s="59">
        <f>IF(B100="","",O100*M100)</f>
        <v>6909.89301093033</v>
      </c>
    </row>
    <row r="101">
      <c r="A101" s="7" t="n">
        <v>56</v>
      </c>
      <c r="B101" s="7" t="str">
        <f>IF(A101&gt;$C$38,"",IF(A101&lt;=$C$5,"Básico",IF($C$6&gt;0,"Sucesivo","Opción de compra")))</f>
        <v>Básico</v>
      </c>
      <c r="C101" s="7">
        <f>IF(B101="","",IF(B101="Opción de compra",$C$5,A101-$C$7))</f>
        <v>55</v>
      </c>
      <c r="D101" s="77">
        <f>IF(B101="","",EDATE($C$33,C101))</f>
        <v>47969.0</v>
      </c>
      <c r="E101" s="59">
        <f>IF(B101="","",I100)</f>
        <v>119255.879334331</v>
      </c>
      <c r="F101" s="59">
        <f>IF(B101="","",IF(B101="Básico",$C$24,IF(B101="Sucesivo",$C$25,$C$26)))</f>
        <v>17257.2501872036</v>
      </c>
      <c r="G101" s="59">
        <f>IF(B101="","",IF(B101="Opción de compra",0,(E101-$C$7*F101)*IF(B101="Sucesivo",$C$11,$C$9)))</f>
        <v>1444.9805795843</v>
      </c>
      <c r="H101" s="59">
        <f>IF(B101="","",F101-G101)</f>
        <v>15812.2696076193</v>
      </c>
      <c r="I101" s="59">
        <f>IF(B101="","",E101-H101)</f>
        <v>103443.609726712</v>
      </c>
      <c r="J101" s="59">
        <f>IF(B101="","",IF(OR(inp_Tipo="Arrendamiento Puro",par_BaseIVAFin="Sobre renta",B101="Opción de compra"),F101,G101)*$C$14)</f>
        <v>2761.16002995257</v>
      </c>
      <c r="K101" s="59">
        <f>IF(B101="","",F101+J101)</f>
        <v>20018.4102171562</v>
      </c>
      <c r="L101" s="59">
        <f>IF(B101="","",F101-IF(A101=$C$38,$C$30,0))</f>
        <v>17257.2501872036</v>
      </c>
      <c r="M101" s="78">
        <f>IF(B101="","",$C$37*(1+$C$13)^(-C101))</f>
        <v>0.393679853126351</v>
      </c>
      <c r="N101" s="59">
        <f>IF(B101="","",L101*M101)</f>
        <v>6793.831719063</v>
      </c>
      <c r="O101" s="59">
        <f>IF(B101="","",IF(B101="Básico",F101,0)-IF(A101=$C$38,$C$30,0))</f>
        <v>17257.2501872036</v>
      </c>
      <c r="P101" s="77">
        <f>IF(B101="",$C$31,D101)</f>
        <v>47969.0</v>
      </c>
      <c r="Q101" s="59">
        <f>IF(B101="",0,L101)</f>
        <v>17257.2501872036</v>
      </c>
      <c r="R101" s="59">
        <f>IF(B101="",0,-F101)</f>
        <v>-17257.2501872036</v>
      </c>
      <c r="S101" s="59">
        <f>IF(B101="","",O101*M101)</f>
        <v>6793.831719063</v>
      </c>
    </row>
    <row r="102">
      <c r="A102" s="7" t="n">
        <v>57</v>
      </c>
      <c r="B102" s="7" t="str">
        <f>IF(A102&gt;$C$38,"",IF(A102&lt;=$C$5,"Básico",IF($C$6&gt;0,"Sucesivo","Opción de compra")))</f>
        <v>Básico</v>
      </c>
      <c r="C102" s="7">
        <f>IF(B102="","",IF(B102="Opción de compra",$C$5,A102-$C$7))</f>
        <v>56</v>
      </c>
      <c r="D102" s="77">
        <f>IF(B102="","",EDATE($C$33,C102))</f>
        <v>48000.0</v>
      </c>
      <c r="E102" s="59">
        <f>IF(B102="","",I101)</f>
        <v>103443.609726712</v>
      </c>
      <c r="F102" s="59">
        <f>IF(B102="","",IF(B102="Básico",$C$24,IF(B102="Sucesivo",$C$25,$C$26)))</f>
        <v>17257.2501872036</v>
      </c>
      <c r="G102" s="59">
        <f>IF(B102="","",IF(B102="Opción de compra",0,(E102-$C$7*F102)*IF(B102="Sucesivo",$C$11,$C$9)))</f>
        <v>1220.9734268097</v>
      </c>
      <c r="H102" s="59">
        <f>IF(B102="","",F102-G102)</f>
        <v>16036.2767603939</v>
      </c>
      <c r="I102" s="59">
        <f>IF(B102="","",E102-H102)</f>
        <v>87407.3329663178</v>
      </c>
      <c r="J102" s="59">
        <f>IF(B102="","",IF(OR(inp_Tipo="Arrendamiento Puro",par_BaseIVAFin="Sobre renta",B102="Opción de compra"),F102,G102)*$C$14)</f>
        <v>2761.16002995257</v>
      </c>
      <c r="K102" s="59">
        <f>IF(B102="","",F102+J102)</f>
        <v>20018.4102171562</v>
      </c>
      <c r="L102" s="59">
        <f>IF(B102="","",F102-IF(A102=$C$38,$C$30,0))</f>
        <v>17257.2501872036</v>
      </c>
      <c r="M102" s="78">
        <f>IF(B102="","",$C$37*(1+$C$13)^(-C102))</f>
        <v>0.387067450841148</v>
      </c>
      <c r="N102" s="59">
        <f>IF(B102="","",L102*M102)</f>
        <v>6679.71983848882</v>
      </c>
      <c r="O102" s="59">
        <f>IF(B102="","",IF(B102="Básico",F102,0)-IF(A102=$C$38,$C$30,0))</f>
        <v>17257.2501872036</v>
      </c>
      <c r="P102" s="77">
        <f>IF(B102="",$C$31,D102)</f>
        <v>48000.0</v>
      </c>
      <c r="Q102" s="59">
        <f>IF(B102="",0,L102)</f>
        <v>17257.2501872036</v>
      </c>
      <c r="R102" s="59">
        <f>IF(B102="",0,-F102)</f>
        <v>-17257.2501872036</v>
      </c>
      <c r="S102" s="59">
        <f>IF(B102="","",O102*M102)</f>
        <v>6679.71983848882</v>
      </c>
    </row>
    <row r="103">
      <c r="A103" s="7" t="n">
        <v>58</v>
      </c>
      <c r="B103" s="7" t="str">
        <f>IF(A103&gt;$C$38,"",IF(A103&lt;=$C$5,"Básico",IF($C$6&gt;0,"Sucesivo","Opción de compra")))</f>
        <v>Básico</v>
      </c>
      <c r="C103" s="7">
        <f>IF(B103="","",IF(B103="Opción de compra",$C$5,A103-$C$7))</f>
        <v>57</v>
      </c>
      <c r="D103" s="77">
        <f>IF(B103="","",EDATE($C$33,C103))</f>
        <v>48030.0</v>
      </c>
      <c r="E103" s="59">
        <f>IF(B103="","",I102)</f>
        <v>87407.3329663178</v>
      </c>
      <c r="F103" s="59">
        <f>IF(B103="","",IF(B103="Básico",$C$24,IF(B103="Sucesivo",$C$25,$C$26)))</f>
        <v>17257.2501872036</v>
      </c>
      <c r="G103" s="59">
        <f>IF(B103="","",IF(B103="Opción de compra",0,(E103-$C$7*F103)*IF(B103="Sucesivo",$C$11,$C$9)))</f>
        <v>993.792839370784</v>
      </c>
      <c r="H103" s="59">
        <f>IF(B103="","",F103-G103)</f>
        <v>16263.4573478328</v>
      </c>
      <c r="I103" s="59">
        <f>IF(B103="","",E103-H103)</f>
        <v>71143.875618485</v>
      </c>
      <c r="J103" s="59">
        <f>IF(B103="","",IF(OR(inp_Tipo="Arrendamiento Puro",par_BaseIVAFin="Sobre renta",B103="Opción de compra"),F103,G103)*$C$14)</f>
        <v>2761.16002995257</v>
      </c>
      <c r="K103" s="59">
        <f>IF(B103="","",F103+J103)</f>
        <v>20018.4102171562</v>
      </c>
      <c r="L103" s="59">
        <f>IF(B103="","",F103-IF(A103=$C$38,$C$30,0))</f>
        <v>17257.2501872036</v>
      </c>
      <c r="M103" s="78">
        <f>IF(B103="","",$C$37*(1+$C$13)^(-C103))</f>
        <v>0.380566113076098</v>
      </c>
      <c r="N103" s="59">
        <f>IF(B103="","",L103*M103)</f>
        <v>6567.52462612583</v>
      </c>
      <c r="O103" s="59">
        <f>IF(B103="","",IF(B103="Básico",F103,0)-IF(A103=$C$38,$C$30,0))</f>
        <v>17257.2501872036</v>
      </c>
      <c r="P103" s="77">
        <f>IF(B103="",$C$31,D103)</f>
        <v>48030.0</v>
      </c>
      <c r="Q103" s="59">
        <f>IF(B103="",0,L103)</f>
        <v>17257.2501872036</v>
      </c>
      <c r="R103" s="59">
        <f>IF(B103="",0,-F103)</f>
        <v>-17257.2501872036</v>
      </c>
      <c r="S103" s="59">
        <f>IF(B103="","",O103*M103)</f>
        <v>6567.52462612583</v>
      </c>
    </row>
    <row r="104">
      <c r="A104" s="7" t="n">
        <v>59</v>
      </c>
      <c r="B104" s="7" t="str">
        <f>IF(A104&gt;$C$38,"",IF(A104&lt;=$C$5,"Básico",IF($C$6&gt;0,"Sucesivo","Opción de compra")))</f>
        <v>Básico</v>
      </c>
      <c r="C104" s="7">
        <f>IF(B104="","",IF(B104="Opción de compra",$C$5,A104-$C$7))</f>
        <v>58</v>
      </c>
      <c r="D104" s="77">
        <f>IF(B104="","",EDATE($C$33,C104))</f>
        <v>48061.0</v>
      </c>
      <c r="E104" s="59">
        <f>IF(B104="","",I103)</f>
        <v>71143.875618485</v>
      </c>
      <c r="F104" s="59">
        <f>IF(B104="","",IF(B104="Básico",$C$24,IF(B104="Sucesivo",$C$25,$C$26)))</f>
        <v>17257.2501872036</v>
      </c>
      <c r="G104" s="59">
        <f>IF(B104="","",IF(B104="Opción de compra",0,(E104-$C$7*F104)*IF(B104="Sucesivo",$C$11,$C$9)))</f>
        <v>763.393860276486</v>
      </c>
      <c r="H104" s="59">
        <f>IF(B104="","",F104-G104)</f>
        <v>16493.8563269271</v>
      </c>
      <c r="I104" s="59">
        <f>IF(B104="","",E104-H104)</f>
        <v>54650.0192915579</v>
      </c>
      <c r="J104" s="59">
        <f>IF(B104="","",IF(OR(inp_Tipo="Arrendamiento Puro",par_BaseIVAFin="Sobre renta",B104="Opción de compra"),F104,G104)*$C$14)</f>
        <v>2761.16002995257</v>
      </c>
      <c r="K104" s="59">
        <f>IF(B104="","",F104+J104)</f>
        <v>20018.4102171562</v>
      </c>
      <c r="L104" s="59">
        <f>IF(B104="","",F104-IF(A104=$C$38,$C$30,0))</f>
        <v>17257.2501872036</v>
      </c>
      <c r="M104" s="78">
        <f>IF(B104="","",$C$37*(1+$C$13)^(-C104))</f>
        <v>0.374173974347659</v>
      </c>
      <c r="N104" s="59">
        <f>IF(B104="","",L104*M104)</f>
        <v>6457.21388885785</v>
      </c>
      <c r="O104" s="59">
        <f>IF(B104="","",IF(B104="Básico",F104,0)-IF(A104=$C$38,$C$30,0))</f>
        <v>17257.2501872036</v>
      </c>
      <c r="P104" s="77">
        <f>IF(B104="",$C$31,D104)</f>
        <v>48061.0</v>
      </c>
      <c r="Q104" s="59">
        <f>IF(B104="",0,L104)</f>
        <v>17257.2501872036</v>
      </c>
      <c r="R104" s="59">
        <f>IF(B104="",0,-F104)</f>
        <v>-17257.2501872036</v>
      </c>
      <c r="S104" s="59">
        <f>IF(B104="","",O104*M104)</f>
        <v>6457.21388885785</v>
      </c>
    </row>
    <row r="105">
      <c r="A105" s="7" t="n">
        <v>60</v>
      </c>
      <c r="B105" s="7" t="str">
        <f>IF(A105&gt;$C$38,"",IF(A105&lt;=$C$5,"Básico",IF($C$6&gt;0,"Sucesivo","Opción de compra")))</f>
        <v>Básico</v>
      </c>
      <c r="C105" s="7">
        <f>IF(B105="","",IF(B105="Opción de compra",$C$5,A105-$C$7))</f>
        <v>59</v>
      </c>
      <c r="D105" s="77">
        <f>IF(B105="","",EDATE($C$33,C105))</f>
        <v>48092.0</v>
      </c>
      <c r="E105" s="59">
        <f>IF(B105="","",I104)</f>
        <v>54650.0192915579</v>
      </c>
      <c r="F105" s="59">
        <f>IF(B105="","",IF(B105="Básico",$C$24,IF(B105="Sucesivo",$C$25,$C$26)))</f>
        <v>17257.2501872036</v>
      </c>
      <c r="G105" s="59">
        <f>IF(B105="","",IF(B105="Opción de compra",0,(E105-$C$7*F105)*IF(B105="Sucesivo",$C$11,$C$9)))</f>
        <v>529.730895645019</v>
      </c>
      <c r="H105" s="59">
        <f>IF(B105="","",F105-G105)</f>
        <v>16727.5192915586</v>
      </c>
      <c r="I105" s="59">
        <f>IF(B105="","",E105-H105)</f>
        <v>37922.4999999993</v>
      </c>
      <c r="J105" s="59">
        <f>IF(B105="","",IF(OR(inp_Tipo="Arrendamiento Puro",par_BaseIVAFin="Sobre renta",B105="Opción de compra"),F105,G105)*$C$14)</f>
        <v>2761.16002995257</v>
      </c>
      <c r="K105" s="59">
        <f>IF(B105="","",F105+J105)</f>
        <v>20018.4102171562</v>
      </c>
      <c r="L105" s="59">
        <f>IF(B105="","",F105-IF(A105=$C$38,$C$30,0))</f>
        <v>17257.2501872036</v>
      </c>
      <c r="M105" s="78">
        <f>IF(B105="","",$C$37*(1+$C$13)^(-C105))</f>
        <v>0.367889200505687</v>
      </c>
      <c r="N105" s="59">
        <f>IF(B105="","",L105*M105)</f>
        <v>6348.75597429694</v>
      </c>
      <c r="O105" s="59">
        <f>IF(B105="","",IF(B105="Básico",F105,0)-IF(A105=$C$38,$C$30,0))</f>
        <v>17257.2501872036</v>
      </c>
      <c r="P105" s="77">
        <f>IF(B105="",$C$31,D105)</f>
        <v>48092.0</v>
      </c>
      <c r="Q105" s="59">
        <f>IF(B105="",0,L105)</f>
        <v>17257.2501872036</v>
      </c>
      <c r="R105" s="59">
        <f>IF(B105="",0,-F105)</f>
        <v>-17257.2501872036</v>
      </c>
      <c r="S105" s="59">
        <f>IF(B105="","",O105*M105)</f>
        <v>6348.75597429694</v>
      </c>
    </row>
    <row r="106">
      <c r="A106" s="7" t="n">
        <v>61</v>
      </c>
      <c r="B106" s="7" t="str">
        <f>IF(A106&gt;$C$38,"",IF(A106&lt;=$C$5,"Básico",IF($C$6&gt;0,"Sucesivo","Opción de compra")))</f>
        <v>Sucesivo</v>
      </c>
      <c r="C106" s="7">
        <f>IF(B106="","",IF(B106="Opción de compra",$C$5,A106-$C$7))</f>
        <v>60</v>
      </c>
      <c r="D106" s="77">
        <f>IF(B106="","",EDATE($C$33,C106))</f>
        <v>48122.0</v>
      </c>
      <c r="E106" s="59">
        <f>IF(B106="","",I105)</f>
        <v>37922.4999999993</v>
      </c>
      <c r="F106" s="59">
        <f>IF(B106="","",IF(B106="Básico",$C$24,IF(B106="Sucesivo",$C$25,$C$26)))</f>
        <v>37922.5</v>
      </c>
      <c r="G106" s="59">
        <f>IF(B106="","",IF(B106="Opción de compra",0,(E106-$C$7*F106)*IF(B106="Sucesivo",$C$11,$C$9)))</f>
        <v>-1.01014544876913e-11</v>
      </c>
      <c r="H106" s="59">
        <f>IF(B106="","",F106-G106)</f>
        <v>37922.5</v>
      </c>
      <c r="I106" s="59">
        <f>IF(B106="","",E106-H106)</f>
        <v>-7.20319803804159e-10</v>
      </c>
      <c r="J106" s="59">
        <f>IF(B106="","",IF(OR(inp_Tipo="Arrendamiento Puro",par_BaseIVAFin="Sobre renta",B106="Opción de compra"),F106,G106)*$C$14)</f>
        <v>6067.6</v>
      </c>
      <c r="K106" s="59">
        <f>IF(B106="","",F106+J106)</f>
        <v>43990.1</v>
      </c>
      <c r="L106" s="59">
        <f>IF(B106="","",F106-IF(A106=$C$38,$C$30,0))</f>
        <v>17904.0897828438</v>
      </c>
      <c r="M106" s="78">
        <f>IF(B106="","",$C$37*(1+$C$13)^(-C106))</f>
        <v>0.361709988207148</v>
      </c>
      <c r="N106" s="59">
        <f>IF(B106="","",L106*M106)</f>
        <v>6476.08810421216</v>
      </c>
      <c r="O106" s="59">
        <f>IF(B106="","",IF(B106="Básico",F106,0)-IF(A106=$C$38,$C$30,0))</f>
        <v>-20018.4102171562</v>
      </c>
      <c r="P106" s="77">
        <f>IF(B106="",$C$31,D106)</f>
        <v>48122.0</v>
      </c>
      <c r="Q106" s="59">
        <f>IF(B106="",0,L106)</f>
        <v>17904.0897828438</v>
      </c>
      <c r="R106" s="59">
        <f>IF(B106="",0,-F106)</f>
        <v>-37922.5</v>
      </c>
      <c r="S106" s="59">
        <f>IF(B106="","",O106*M106)</f>
        <v>-7240.8589235734</v>
      </c>
    </row>
    <row r="107">
      <c r="A107" s="7" t="n">
        <v>62</v>
      </c>
      <c r="B107" s="7" t="str">
        <f>IF(A107&gt;$C$38,"",IF(A107&lt;=$C$5,"Básico",IF($C$6&gt;0,"Sucesivo","Opción de compra")))</f>
        <v/>
      </c>
      <c r="C107" s="7" t="str">
        <f>IF(B107="","",IF(B107="Opción de compra",$C$5,A107-$C$7))</f>
        <v/>
      </c>
      <c r="D107" s="77" t="str">
        <f>IF(B107="","",EDATE($C$33,C107))</f>
        <v/>
      </c>
      <c r="E107" s="59" t="str">
        <f>IF(B107="","",I106)</f>
        <v/>
      </c>
      <c r="F107" s="59" t="str">
        <f>IF(B107="","",IF(B107="Básico",$C$24,IF(B107="Sucesivo",$C$25,$C$26)))</f>
        <v/>
      </c>
      <c r="G107" s="59" t="str">
        <f>IF(B107="","",IF(B107="Opción de compra",0,(E107-$C$7*F107)*IF(B107="Sucesivo",$C$11,$C$9)))</f>
        <v/>
      </c>
      <c r="H107" s="59" t="str">
        <f>IF(B107="","",F107-G107)</f>
        <v/>
      </c>
      <c r="I107" s="59" t="str">
        <f>IF(B107="","",E107-H107)</f>
        <v/>
      </c>
      <c r="J107" s="59" t="str">
        <f>IF(B107="","",IF(OR(inp_Tipo="Arrendamiento Puro",par_BaseIVAFin="Sobre renta",B107="Opción de compra"),F107,G107)*$C$14)</f>
        <v/>
      </c>
      <c r="K107" s="59" t="str">
        <f>IF(B107="","",F107+J107)</f>
        <v/>
      </c>
      <c r="L107" s="59" t="str">
        <f>IF(B107="","",F107-IF(A107=$C$38,$C$30,0))</f>
        <v/>
      </c>
      <c r="M107" s="78" t="str">
        <f>IF(B107="","",$C$37*(1+$C$13)^(-C107))</f>
        <v/>
      </c>
      <c r="N107" s="59" t="str">
        <f>IF(B107="","",L107*M107)</f>
        <v/>
      </c>
      <c r="O107" s="59" t="str">
        <f>IF(B107="","",IF(B107="Básico",F107,0)-IF(A107=$C$38,$C$30,0))</f>
        <v/>
      </c>
      <c r="P107" s="77">
        <f>IF(B107="",$C$31,D107)</f>
        <v>46295.0</v>
      </c>
      <c r="Q107" s="59">
        <f>IF(B107="",0,L107)</f>
        <v>0</v>
      </c>
      <c r="R107" s="59">
        <f>IF(B107="",0,-F107)</f>
        <v>0</v>
      </c>
      <c r="S107" s="59" t="str">
        <f>IF(B107="","",O107*M107)</f>
        <v/>
      </c>
    </row>
    <row r="108">
      <c r="A108" s="7" t="n">
        <v>63</v>
      </c>
      <c r="B108" s="7" t="str">
        <f>IF(A108&gt;$C$38,"",IF(A108&lt;=$C$5,"Básico",IF($C$6&gt;0,"Sucesivo","Opción de compra")))</f>
        <v/>
      </c>
      <c r="C108" s="7" t="str">
        <f>IF(B108="","",IF(B108="Opción de compra",$C$5,A108-$C$7))</f>
        <v/>
      </c>
      <c r="D108" s="77" t="str">
        <f>IF(B108="","",EDATE($C$33,C108))</f>
        <v/>
      </c>
      <c r="E108" s="59" t="str">
        <f>IF(B108="","",I107)</f>
        <v/>
      </c>
      <c r="F108" s="59" t="str">
        <f>IF(B108="","",IF(B108="Básico",$C$24,IF(B108="Sucesivo",$C$25,$C$26)))</f>
        <v/>
      </c>
      <c r="G108" s="59" t="str">
        <f>IF(B108="","",IF(B108="Opción de compra",0,(E108-$C$7*F108)*IF(B108="Sucesivo",$C$11,$C$9)))</f>
        <v/>
      </c>
      <c r="H108" s="59" t="str">
        <f>IF(B108="","",F108-G108)</f>
        <v/>
      </c>
      <c r="I108" s="59" t="str">
        <f>IF(B108="","",E108-H108)</f>
        <v/>
      </c>
      <c r="J108" s="59" t="str">
        <f>IF(B108="","",IF(OR(inp_Tipo="Arrendamiento Puro",par_BaseIVAFin="Sobre renta",B108="Opción de compra"),F108,G108)*$C$14)</f>
        <v/>
      </c>
      <c r="K108" s="59" t="str">
        <f>IF(B108="","",F108+J108)</f>
        <v/>
      </c>
      <c r="L108" s="59" t="str">
        <f>IF(B108="","",F108-IF(A108=$C$38,$C$30,0))</f>
        <v/>
      </c>
      <c r="M108" s="78" t="str">
        <f>IF(B108="","",$C$37*(1+$C$13)^(-C108))</f>
        <v/>
      </c>
      <c r="N108" s="59" t="str">
        <f>IF(B108="","",L108*M108)</f>
        <v/>
      </c>
      <c r="O108" s="59" t="str">
        <f>IF(B108="","",IF(B108="Básico",F108,0)-IF(A108=$C$38,$C$30,0))</f>
        <v/>
      </c>
      <c r="P108" s="77">
        <f>IF(B108="",$C$31,D108)</f>
        <v>46295.0</v>
      </c>
      <c r="Q108" s="59">
        <f>IF(B108="",0,L108)</f>
        <v>0</v>
      </c>
      <c r="R108" s="59">
        <f>IF(B108="",0,-F108)</f>
        <v>0</v>
      </c>
      <c r="S108" s="59" t="str">
        <f>IF(B108="","",O108*M108)</f>
        <v/>
      </c>
    </row>
    <row r="109">
      <c r="A109" s="7" t="n">
        <v>64</v>
      </c>
      <c r="B109" s="7" t="str">
        <f>IF(A109&gt;$C$38,"",IF(A109&lt;=$C$5,"Básico",IF($C$6&gt;0,"Sucesivo","Opción de compra")))</f>
        <v/>
      </c>
      <c r="C109" s="7" t="str">
        <f>IF(B109="","",IF(B109="Opción de compra",$C$5,A109-$C$7))</f>
        <v/>
      </c>
      <c r="D109" s="77" t="str">
        <f>IF(B109="","",EDATE($C$33,C109))</f>
        <v/>
      </c>
      <c r="E109" s="59" t="str">
        <f>IF(B109="","",I108)</f>
        <v/>
      </c>
      <c r="F109" s="59" t="str">
        <f>IF(B109="","",IF(B109="Básico",$C$24,IF(B109="Sucesivo",$C$25,$C$26)))</f>
        <v/>
      </c>
      <c r="G109" s="59" t="str">
        <f>IF(B109="","",IF(B109="Opción de compra",0,(E109-$C$7*F109)*IF(B109="Sucesivo",$C$11,$C$9)))</f>
        <v/>
      </c>
      <c r="H109" s="59" t="str">
        <f>IF(B109="","",F109-G109)</f>
        <v/>
      </c>
      <c r="I109" s="59" t="str">
        <f>IF(B109="","",E109-H109)</f>
        <v/>
      </c>
      <c r="J109" s="59" t="str">
        <f>IF(B109="","",IF(OR(inp_Tipo="Arrendamiento Puro",par_BaseIVAFin="Sobre renta",B109="Opción de compra"),F109,G109)*$C$14)</f>
        <v/>
      </c>
      <c r="K109" s="59" t="str">
        <f>IF(B109="","",F109+J109)</f>
        <v/>
      </c>
      <c r="L109" s="59" t="str">
        <f>IF(B109="","",F109-IF(A109=$C$38,$C$30,0))</f>
        <v/>
      </c>
      <c r="M109" s="78" t="str">
        <f>IF(B109="","",$C$37*(1+$C$13)^(-C109))</f>
        <v/>
      </c>
      <c r="N109" s="59" t="str">
        <f>IF(B109="","",L109*M109)</f>
        <v/>
      </c>
      <c r="O109" s="59" t="str">
        <f>IF(B109="","",IF(B109="Básico",F109,0)-IF(A109=$C$38,$C$30,0))</f>
        <v/>
      </c>
      <c r="P109" s="77">
        <f>IF(B109="",$C$31,D109)</f>
        <v>46295.0</v>
      </c>
      <c r="Q109" s="59">
        <f>IF(B109="",0,L109)</f>
        <v>0</v>
      </c>
      <c r="R109" s="59">
        <f>IF(B109="",0,-F109)</f>
        <v>0</v>
      </c>
      <c r="S109" s="59" t="str">
        <f>IF(B109="","",O109*M109)</f>
        <v/>
      </c>
    </row>
    <row r="110">
      <c r="A110" s="7" t="n">
        <v>65</v>
      </c>
      <c r="B110" s="7" t="str">
        <f>IF(A110&gt;$C$38,"",IF(A110&lt;=$C$5,"Básico",IF($C$6&gt;0,"Sucesivo","Opción de compra")))</f>
        <v/>
      </c>
      <c r="C110" s="7" t="str">
        <f>IF(B110="","",IF(B110="Opción de compra",$C$5,A110-$C$7))</f>
        <v/>
      </c>
      <c r="D110" s="77" t="str">
        <f>IF(B110="","",EDATE($C$33,C110))</f>
        <v/>
      </c>
      <c r="E110" s="59" t="str">
        <f>IF(B110="","",I109)</f>
        <v/>
      </c>
      <c r="F110" s="59" t="str">
        <f>IF(B110="","",IF(B110="Básico",$C$24,IF(B110="Sucesivo",$C$25,$C$26)))</f>
        <v/>
      </c>
      <c r="G110" s="59" t="str">
        <f>IF(B110="","",IF(B110="Opción de compra",0,(E110-$C$7*F110)*IF(B110="Sucesivo",$C$11,$C$9)))</f>
        <v/>
      </c>
      <c r="H110" s="59" t="str">
        <f>IF(B110="","",F110-G110)</f>
        <v/>
      </c>
      <c r="I110" s="59" t="str">
        <f>IF(B110="","",E110-H110)</f>
        <v/>
      </c>
      <c r="J110" s="59" t="str">
        <f>IF(B110="","",IF(OR(inp_Tipo="Arrendamiento Puro",par_BaseIVAFin="Sobre renta",B110="Opción de compra"),F110,G110)*$C$14)</f>
        <v/>
      </c>
      <c r="K110" s="59" t="str">
        <f>IF(B110="","",F110+J110)</f>
        <v/>
      </c>
      <c r="L110" s="59" t="str">
        <f>IF(B110="","",F110-IF(A110=$C$38,$C$30,0))</f>
        <v/>
      </c>
      <c r="M110" s="78" t="str">
        <f>IF(B110="","",$C$37*(1+$C$13)^(-C110))</f>
        <v/>
      </c>
      <c r="N110" s="59" t="str">
        <f>IF(B110="","",L110*M110)</f>
        <v/>
      </c>
      <c r="O110" s="59" t="str">
        <f>IF(B110="","",IF(B110="Básico",F110,0)-IF(A110=$C$38,$C$30,0))</f>
        <v/>
      </c>
      <c r="P110" s="77">
        <f>IF(B110="",$C$31,D110)</f>
        <v>46295.0</v>
      </c>
      <c r="Q110" s="59">
        <f>IF(B110="",0,L110)</f>
        <v>0</v>
      </c>
      <c r="R110" s="59">
        <f>IF(B110="",0,-F110)</f>
        <v>0</v>
      </c>
      <c r="S110" s="59" t="str">
        <f>IF(B110="","",O110*M110)</f>
        <v/>
      </c>
    </row>
    <row r="111">
      <c r="A111" s="7" t="n">
        <v>66</v>
      </c>
      <c r="B111" s="7" t="str">
        <f>IF(A111&gt;$C$38,"",IF(A111&lt;=$C$5,"Básico",IF($C$6&gt;0,"Sucesivo","Opción de compra")))</f>
        <v/>
      </c>
      <c r="C111" s="7" t="str">
        <f>IF(B111="","",IF(B111="Opción de compra",$C$5,A111-$C$7))</f>
        <v/>
      </c>
      <c r="D111" s="77" t="str">
        <f>IF(B111="","",EDATE($C$33,C111))</f>
        <v/>
      </c>
      <c r="E111" s="59" t="str">
        <f>IF(B111="","",I110)</f>
        <v/>
      </c>
      <c r="F111" s="59" t="str">
        <f>IF(B111="","",IF(B111="Básico",$C$24,IF(B111="Sucesivo",$C$25,$C$26)))</f>
        <v/>
      </c>
      <c r="G111" s="59" t="str">
        <f>IF(B111="","",IF(B111="Opción de compra",0,(E111-$C$7*F111)*IF(B111="Sucesivo",$C$11,$C$9)))</f>
        <v/>
      </c>
      <c r="H111" s="59" t="str">
        <f>IF(B111="","",F111-G111)</f>
        <v/>
      </c>
      <c r="I111" s="59" t="str">
        <f>IF(B111="","",E111-H111)</f>
        <v/>
      </c>
      <c r="J111" s="59" t="str">
        <f>IF(B111="","",IF(OR(inp_Tipo="Arrendamiento Puro",par_BaseIVAFin="Sobre renta",B111="Opción de compra"),F111,G111)*$C$14)</f>
        <v/>
      </c>
      <c r="K111" s="59" t="str">
        <f>IF(B111="","",F111+J111)</f>
        <v/>
      </c>
      <c r="L111" s="59" t="str">
        <f>IF(B111="","",F111-IF(A111=$C$38,$C$30,0))</f>
        <v/>
      </c>
      <c r="M111" s="78" t="str">
        <f>IF(B111="","",$C$37*(1+$C$13)^(-C111))</f>
        <v/>
      </c>
      <c r="N111" s="59" t="str">
        <f>IF(B111="","",L111*M111)</f>
        <v/>
      </c>
      <c r="O111" s="59" t="str">
        <f>IF(B111="","",IF(B111="Básico",F111,0)-IF(A111=$C$38,$C$30,0))</f>
        <v/>
      </c>
      <c r="P111" s="77">
        <f>IF(B111="",$C$31,D111)</f>
        <v>46295.0</v>
      </c>
      <c r="Q111" s="59">
        <f>IF(B111="",0,L111)</f>
        <v>0</v>
      </c>
      <c r="R111" s="59">
        <f>IF(B111="",0,-F111)</f>
        <v>0</v>
      </c>
      <c r="S111" s="59" t="str">
        <f>IF(B111="","",O111*M111)</f>
        <v/>
      </c>
    </row>
    <row r="112">
      <c r="A112" s="7" t="n">
        <v>67</v>
      </c>
      <c r="B112" s="7" t="str">
        <f>IF(A112&gt;$C$38,"",IF(A112&lt;=$C$5,"Básico",IF($C$6&gt;0,"Sucesivo","Opción de compra")))</f>
        <v/>
      </c>
      <c r="C112" s="7" t="str">
        <f>IF(B112="","",IF(B112="Opción de compra",$C$5,A112-$C$7))</f>
        <v/>
      </c>
      <c r="D112" s="77" t="str">
        <f>IF(B112="","",EDATE($C$33,C112))</f>
        <v/>
      </c>
      <c r="E112" s="59" t="str">
        <f>IF(B112="","",I111)</f>
        <v/>
      </c>
      <c r="F112" s="59" t="str">
        <f>IF(B112="","",IF(B112="Básico",$C$24,IF(B112="Sucesivo",$C$25,$C$26)))</f>
        <v/>
      </c>
      <c r="G112" s="59" t="str">
        <f>IF(B112="","",IF(B112="Opción de compra",0,(E112-$C$7*F112)*IF(B112="Sucesivo",$C$11,$C$9)))</f>
        <v/>
      </c>
      <c r="H112" s="59" t="str">
        <f>IF(B112="","",F112-G112)</f>
        <v/>
      </c>
      <c r="I112" s="59" t="str">
        <f>IF(B112="","",E112-H112)</f>
        <v/>
      </c>
      <c r="J112" s="59" t="str">
        <f>IF(B112="","",IF(OR(inp_Tipo="Arrendamiento Puro",par_BaseIVAFin="Sobre renta",B112="Opción de compra"),F112,G112)*$C$14)</f>
        <v/>
      </c>
      <c r="K112" s="59" t="str">
        <f>IF(B112="","",F112+J112)</f>
        <v/>
      </c>
      <c r="L112" s="59" t="str">
        <f>IF(B112="","",F112-IF(A112=$C$38,$C$30,0))</f>
        <v/>
      </c>
      <c r="M112" s="78" t="str">
        <f>IF(B112="","",$C$37*(1+$C$13)^(-C112))</f>
        <v/>
      </c>
      <c r="N112" s="59" t="str">
        <f>IF(B112="","",L112*M112)</f>
        <v/>
      </c>
      <c r="O112" s="59" t="str">
        <f>IF(B112="","",IF(B112="Básico",F112,0)-IF(A112=$C$38,$C$30,0))</f>
        <v/>
      </c>
      <c r="P112" s="77">
        <f>IF(B112="",$C$31,D112)</f>
        <v>46295.0</v>
      </c>
      <c r="Q112" s="59">
        <f>IF(B112="",0,L112)</f>
        <v>0</v>
      </c>
      <c r="R112" s="59">
        <f>IF(B112="",0,-F112)</f>
        <v>0</v>
      </c>
      <c r="S112" s="59" t="str">
        <f>IF(B112="","",O112*M112)</f>
        <v/>
      </c>
    </row>
    <row r="113">
      <c r="A113" s="7" t="n">
        <v>68</v>
      </c>
      <c r="B113" s="7" t="str">
        <f>IF(A113&gt;$C$38,"",IF(A113&lt;=$C$5,"Básico",IF($C$6&gt;0,"Sucesivo","Opción de compra")))</f>
        <v/>
      </c>
      <c r="C113" s="7" t="str">
        <f>IF(B113="","",IF(B113="Opción de compra",$C$5,A113-$C$7))</f>
        <v/>
      </c>
      <c r="D113" s="77" t="str">
        <f>IF(B113="","",EDATE($C$33,C113))</f>
        <v/>
      </c>
      <c r="E113" s="59" t="str">
        <f>IF(B113="","",I112)</f>
        <v/>
      </c>
      <c r="F113" s="59" t="str">
        <f>IF(B113="","",IF(B113="Básico",$C$24,IF(B113="Sucesivo",$C$25,$C$26)))</f>
        <v/>
      </c>
      <c r="G113" s="59" t="str">
        <f>IF(B113="","",IF(B113="Opción de compra",0,(E113-$C$7*F113)*IF(B113="Sucesivo",$C$11,$C$9)))</f>
        <v/>
      </c>
      <c r="H113" s="59" t="str">
        <f>IF(B113="","",F113-G113)</f>
        <v/>
      </c>
      <c r="I113" s="59" t="str">
        <f>IF(B113="","",E113-H113)</f>
        <v/>
      </c>
      <c r="J113" s="59" t="str">
        <f>IF(B113="","",IF(OR(inp_Tipo="Arrendamiento Puro",par_BaseIVAFin="Sobre renta",B113="Opción de compra"),F113,G113)*$C$14)</f>
        <v/>
      </c>
      <c r="K113" s="59" t="str">
        <f>IF(B113="","",F113+J113)</f>
        <v/>
      </c>
      <c r="L113" s="59" t="str">
        <f>IF(B113="","",F113-IF(A113=$C$38,$C$30,0))</f>
        <v/>
      </c>
      <c r="M113" s="78" t="str">
        <f>IF(B113="","",$C$37*(1+$C$13)^(-C113))</f>
        <v/>
      </c>
      <c r="N113" s="59" t="str">
        <f>IF(B113="","",L113*M113)</f>
        <v/>
      </c>
      <c r="O113" s="59" t="str">
        <f>IF(B113="","",IF(B113="Básico",F113,0)-IF(A113=$C$38,$C$30,0))</f>
        <v/>
      </c>
      <c r="P113" s="77">
        <f>IF(B113="",$C$31,D113)</f>
        <v>46295.0</v>
      </c>
      <c r="Q113" s="59">
        <f>IF(B113="",0,L113)</f>
        <v>0</v>
      </c>
      <c r="R113" s="59">
        <f>IF(B113="",0,-F113)</f>
        <v>0</v>
      </c>
      <c r="S113" s="59" t="str">
        <f>IF(B113="","",O113*M113)</f>
        <v/>
      </c>
    </row>
    <row r="114">
      <c r="A114" s="7" t="n">
        <v>69</v>
      </c>
      <c r="B114" s="7" t="str">
        <f>IF(A114&gt;$C$38,"",IF(A114&lt;=$C$5,"Básico",IF($C$6&gt;0,"Sucesivo","Opción de compra")))</f>
        <v/>
      </c>
      <c r="C114" s="7" t="str">
        <f>IF(B114="","",IF(B114="Opción de compra",$C$5,A114-$C$7))</f>
        <v/>
      </c>
      <c r="D114" s="77" t="str">
        <f>IF(B114="","",EDATE($C$33,C114))</f>
        <v/>
      </c>
      <c r="E114" s="59" t="str">
        <f>IF(B114="","",I113)</f>
        <v/>
      </c>
      <c r="F114" s="59" t="str">
        <f>IF(B114="","",IF(B114="Básico",$C$24,IF(B114="Sucesivo",$C$25,$C$26)))</f>
        <v/>
      </c>
      <c r="G114" s="59" t="str">
        <f>IF(B114="","",IF(B114="Opción de compra",0,(E114-$C$7*F114)*IF(B114="Sucesivo",$C$11,$C$9)))</f>
        <v/>
      </c>
      <c r="H114" s="59" t="str">
        <f>IF(B114="","",F114-G114)</f>
        <v/>
      </c>
      <c r="I114" s="59" t="str">
        <f>IF(B114="","",E114-H114)</f>
        <v/>
      </c>
      <c r="J114" s="59" t="str">
        <f>IF(B114="","",IF(OR(inp_Tipo="Arrendamiento Puro",par_BaseIVAFin="Sobre renta",B114="Opción de compra"),F114,G114)*$C$14)</f>
        <v/>
      </c>
      <c r="K114" s="59" t="str">
        <f>IF(B114="","",F114+J114)</f>
        <v/>
      </c>
      <c r="L114" s="59" t="str">
        <f>IF(B114="","",F114-IF(A114=$C$38,$C$30,0))</f>
        <v/>
      </c>
      <c r="M114" s="78" t="str">
        <f>IF(B114="","",$C$37*(1+$C$13)^(-C114))</f>
        <v/>
      </c>
      <c r="N114" s="59" t="str">
        <f>IF(B114="","",L114*M114)</f>
        <v/>
      </c>
      <c r="O114" s="59" t="str">
        <f>IF(B114="","",IF(B114="Básico",F114,0)-IF(A114=$C$38,$C$30,0))</f>
        <v/>
      </c>
      <c r="P114" s="77">
        <f>IF(B114="",$C$31,D114)</f>
        <v>46295.0</v>
      </c>
      <c r="Q114" s="59">
        <f>IF(B114="",0,L114)</f>
        <v>0</v>
      </c>
      <c r="R114" s="59">
        <f>IF(B114="",0,-F114)</f>
        <v>0</v>
      </c>
      <c r="S114" s="59" t="str">
        <f>IF(B114="","",O114*M114)</f>
        <v/>
      </c>
    </row>
    <row r="115">
      <c r="A115" s="7" t="n">
        <v>70</v>
      </c>
      <c r="B115" s="7" t="str">
        <f>IF(A115&gt;$C$38,"",IF(A115&lt;=$C$5,"Básico",IF($C$6&gt;0,"Sucesivo","Opción de compra")))</f>
        <v/>
      </c>
      <c r="C115" s="7" t="str">
        <f>IF(B115="","",IF(B115="Opción de compra",$C$5,A115-$C$7))</f>
        <v/>
      </c>
      <c r="D115" s="77" t="str">
        <f>IF(B115="","",EDATE($C$33,C115))</f>
        <v/>
      </c>
      <c r="E115" s="59" t="str">
        <f>IF(B115="","",I114)</f>
        <v/>
      </c>
      <c r="F115" s="59" t="str">
        <f>IF(B115="","",IF(B115="Básico",$C$24,IF(B115="Sucesivo",$C$25,$C$26)))</f>
        <v/>
      </c>
      <c r="G115" s="59" t="str">
        <f>IF(B115="","",IF(B115="Opción de compra",0,(E115-$C$7*F115)*IF(B115="Sucesivo",$C$11,$C$9)))</f>
        <v/>
      </c>
      <c r="H115" s="59" t="str">
        <f>IF(B115="","",F115-G115)</f>
        <v/>
      </c>
      <c r="I115" s="59" t="str">
        <f>IF(B115="","",E115-H115)</f>
        <v/>
      </c>
      <c r="J115" s="59" t="str">
        <f>IF(B115="","",IF(OR(inp_Tipo="Arrendamiento Puro",par_BaseIVAFin="Sobre renta",B115="Opción de compra"),F115,G115)*$C$14)</f>
        <v/>
      </c>
      <c r="K115" s="59" t="str">
        <f>IF(B115="","",F115+J115)</f>
        <v/>
      </c>
      <c r="L115" s="59" t="str">
        <f>IF(B115="","",F115-IF(A115=$C$38,$C$30,0))</f>
        <v/>
      </c>
      <c r="M115" s="78" t="str">
        <f>IF(B115="","",$C$37*(1+$C$13)^(-C115))</f>
        <v/>
      </c>
      <c r="N115" s="59" t="str">
        <f>IF(B115="","",L115*M115)</f>
        <v/>
      </c>
      <c r="O115" s="59" t="str">
        <f>IF(B115="","",IF(B115="Básico",F115,0)-IF(A115=$C$38,$C$30,0))</f>
        <v/>
      </c>
      <c r="P115" s="77">
        <f>IF(B115="",$C$31,D115)</f>
        <v>46295.0</v>
      </c>
      <c r="Q115" s="59">
        <f>IF(B115="",0,L115)</f>
        <v>0</v>
      </c>
      <c r="R115" s="59">
        <f>IF(B115="",0,-F115)</f>
        <v>0</v>
      </c>
      <c r="S115" s="59" t="str">
        <f>IF(B115="","",O115*M115)</f>
        <v/>
      </c>
    </row>
    <row r="116">
      <c r="A116" s="7" t="n">
        <v>71</v>
      </c>
      <c r="B116" s="7" t="str">
        <f>IF(A116&gt;$C$38,"",IF(A116&lt;=$C$5,"Básico",IF($C$6&gt;0,"Sucesivo","Opción de compra")))</f>
        <v/>
      </c>
      <c r="C116" s="7" t="str">
        <f>IF(B116="","",IF(B116="Opción de compra",$C$5,A116-$C$7))</f>
        <v/>
      </c>
      <c r="D116" s="77" t="str">
        <f>IF(B116="","",EDATE($C$33,C116))</f>
        <v/>
      </c>
      <c r="E116" s="59" t="str">
        <f>IF(B116="","",I115)</f>
        <v/>
      </c>
      <c r="F116" s="59" t="str">
        <f>IF(B116="","",IF(B116="Básico",$C$24,IF(B116="Sucesivo",$C$25,$C$26)))</f>
        <v/>
      </c>
      <c r="G116" s="59" t="str">
        <f>IF(B116="","",IF(B116="Opción de compra",0,(E116-$C$7*F116)*IF(B116="Sucesivo",$C$11,$C$9)))</f>
        <v/>
      </c>
      <c r="H116" s="59" t="str">
        <f>IF(B116="","",F116-G116)</f>
        <v/>
      </c>
      <c r="I116" s="59" t="str">
        <f>IF(B116="","",E116-H116)</f>
        <v/>
      </c>
      <c r="J116" s="59" t="str">
        <f>IF(B116="","",IF(OR(inp_Tipo="Arrendamiento Puro",par_BaseIVAFin="Sobre renta",B116="Opción de compra"),F116,G116)*$C$14)</f>
        <v/>
      </c>
      <c r="K116" s="59" t="str">
        <f>IF(B116="","",F116+J116)</f>
        <v/>
      </c>
      <c r="L116" s="59" t="str">
        <f>IF(B116="","",F116-IF(A116=$C$38,$C$30,0))</f>
        <v/>
      </c>
      <c r="M116" s="78" t="str">
        <f>IF(B116="","",$C$37*(1+$C$13)^(-C116))</f>
        <v/>
      </c>
      <c r="N116" s="59" t="str">
        <f>IF(B116="","",L116*M116)</f>
        <v/>
      </c>
      <c r="O116" s="59" t="str">
        <f>IF(B116="","",IF(B116="Básico",F116,0)-IF(A116=$C$38,$C$30,0))</f>
        <v/>
      </c>
      <c r="P116" s="77">
        <f>IF(B116="",$C$31,D116)</f>
        <v>46295.0</v>
      </c>
      <c r="Q116" s="59">
        <f>IF(B116="",0,L116)</f>
        <v>0</v>
      </c>
      <c r="R116" s="59">
        <f>IF(B116="",0,-F116)</f>
        <v>0</v>
      </c>
      <c r="S116" s="59" t="str">
        <f>IF(B116="","",O116*M116)</f>
        <v/>
      </c>
    </row>
    <row r="117">
      <c r="A117" s="7" t="n">
        <v>72</v>
      </c>
      <c r="B117" s="7" t="str">
        <f>IF(A117&gt;$C$38,"",IF(A117&lt;=$C$5,"Básico",IF($C$6&gt;0,"Sucesivo","Opción de compra")))</f>
        <v/>
      </c>
      <c r="C117" s="7" t="str">
        <f>IF(B117="","",IF(B117="Opción de compra",$C$5,A117-$C$7))</f>
        <v/>
      </c>
      <c r="D117" s="77" t="str">
        <f>IF(B117="","",EDATE($C$33,C117))</f>
        <v/>
      </c>
      <c r="E117" s="59" t="str">
        <f>IF(B117="","",I116)</f>
        <v/>
      </c>
      <c r="F117" s="59" t="str">
        <f>IF(B117="","",IF(B117="Básico",$C$24,IF(B117="Sucesivo",$C$25,$C$26)))</f>
        <v/>
      </c>
      <c r="G117" s="59" t="str">
        <f>IF(B117="","",IF(B117="Opción de compra",0,(E117-$C$7*F117)*IF(B117="Sucesivo",$C$11,$C$9)))</f>
        <v/>
      </c>
      <c r="H117" s="59" t="str">
        <f>IF(B117="","",F117-G117)</f>
        <v/>
      </c>
      <c r="I117" s="59" t="str">
        <f>IF(B117="","",E117-H117)</f>
        <v/>
      </c>
      <c r="J117" s="59" t="str">
        <f>IF(B117="","",IF(OR(inp_Tipo="Arrendamiento Puro",par_BaseIVAFin="Sobre renta",B117="Opción de compra"),F117,G117)*$C$14)</f>
        <v/>
      </c>
      <c r="K117" s="59" t="str">
        <f>IF(B117="","",F117+J117)</f>
        <v/>
      </c>
      <c r="L117" s="59" t="str">
        <f>IF(B117="","",F117-IF(A117=$C$38,$C$30,0))</f>
        <v/>
      </c>
      <c r="M117" s="78" t="str">
        <f>IF(B117="","",$C$37*(1+$C$13)^(-C117))</f>
        <v/>
      </c>
      <c r="N117" s="59" t="str">
        <f>IF(B117="","",L117*M117)</f>
        <v/>
      </c>
      <c r="O117" s="59" t="str">
        <f>IF(B117="","",IF(B117="Básico",F117,0)-IF(A117=$C$38,$C$30,0))</f>
        <v/>
      </c>
      <c r="P117" s="77">
        <f>IF(B117="",$C$31,D117)</f>
        <v>46295.0</v>
      </c>
      <c r="Q117" s="59">
        <f>IF(B117="",0,L117)</f>
        <v>0</v>
      </c>
      <c r="R117" s="59">
        <f>IF(B117="",0,-F117)</f>
        <v>0</v>
      </c>
      <c r="S117" s="59" t="str">
        <f>IF(B117="","",O117*M117)</f>
        <v/>
      </c>
    </row>
    <row r="118">
      <c r="A118" s="7" t="n">
        <v>73</v>
      </c>
      <c r="B118" s="7" t="str">
        <f>IF(A118&gt;$C$38,"",IF(A118&lt;=$C$5,"Básico",IF($C$6&gt;0,"Sucesivo","Opción de compra")))</f>
        <v/>
      </c>
      <c r="C118" s="7" t="str">
        <f>IF(B118="","",IF(B118="Opción de compra",$C$5,A118-$C$7))</f>
        <v/>
      </c>
      <c r="D118" s="77" t="str">
        <f>IF(B118="","",EDATE($C$33,C118))</f>
        <v/>
      </c>
      <c r="E118" s="59" t="str">
        <f>IF(B118="","",I117)</f>
        <v/>
      </c>
      <c r="F118" s="59" t="str">
        <f>IF(B118="","",IF(B118="Básico",$C$24,IF(B118="Sucesivo",$C$25,$C$26)))</f>
        <v/>
      </c>
      <c r="G118" s="59" t="str">
        <f>IF(B118="","",IF(B118="Opción de compra",0,(E118-$C$7*F118)*IF(B118="Sucesivo",$C$11,$C$9)))</f>
        <v/>
      </c>
      <c r="H118" s="59" t="str">
        <f>IF(B118="","",F118-G118)</f>
        <v/>
      </c>
      <c r="I118" s="59" t="str">
        <f>IF(B118="","",E118-H118)</f>
        <v/>
      </c>
      <c r="J118" s="59" t="str">
        <f>IF(B118="","",IF(OR(inp_Tipo="Arrendamiento Puro",par_BaseIVAFin="Sobre renta",B118="Opción de compra"),F118,G118)*$C$14)</f>
        <v/>
      </c>
      <c r="K118" s="59" t="str">
        <f>IF(B118="","",F118+J118)</f>
        <v/>
      </c>
      <c r="L118" s="59" t="str">
        <f>IF(B118="","",F118-IF(A118=$C$38,$C$30,0))</f>
        <v/>
      </c>
      <c r="M118" s="78" t="str">
        <f>IF(B118="","",$C$37*(1+$C$13)^(-C118))</f>
        <v/>
      </c>
      <c r="N118" s="59" t="str">
        <f>IF(B118="","",L118*M118)</f>
        <v/>
      </c>
      <c r="O118" s="59" t="str">
        <f>IF(B118="","",IF(B118="Básico",F118,0)-IF(A118=$C$38,$C$30,0))</f>
        <v/>
      </c>
      <c r="P118" s="77">
        <f>IF(B118="",$C$31,D118)</f>
        <v>46295.0</v>
      </c>
      <c r="Q118" s="59">
        <f>IF(B118="",0,L118)</f>
        <v>0</v>
      </c>
      <c r="R118" s="59">
        <f>IF(B118="",0,-F118)</f>
        <v>0</v>
      </c>
      <c r="S118" s="59" t="str">
        <f>IF(B118="","",O118*M118)</f>
        <v/>
      </c>
    </row>
    <row r="119">
      <c r="A119" s="7" t="n">
        <v>74</v>
      </c>
      <c r="B119" s="7" t="str">
        <f>IF(A119&gt;$C$38,"",IF(A119&lt;=$C$5,"Básico",IF($C$6&gt;0,"Sucesivo","Opción de compra")))</f>
        <v/>
      </c>
      <c r="C119" s="7" t="str">
        <f>IF(B119="","",IF(B119="Opción de compra",$C$5,A119-$C$7))</f>
        <v/>
      </c>
      <c r="D119" s="77" t="str">
        <f>IF(B119="","",EDATE($C$33,C119))</f>
        <v/>
      </c>
      <c r="E119" s="59" t="str">
        <f>IF(B119="","",I118)</f>
        <v/>
      </c>
      <c r="F119" s="59" t="str">
        <f>IF(B119="","",IF(B119="Básico",$C$24,IF(B119="Sucesivo",$C$25,$C$26)))</f>
        <v/>
      </c>
      <c r="G119" s="59" t="str">
        <f>IF(B119="","",IF(B119="Opción de compra",0,(E119-$C$7*F119)*IF(B119="Sucesivo",$C$11,$C$9)))</f>
        <v/>
      </c>
      <c r="H119" s="59" t="str">
        <f>IF(B119="","",F119-G119)</f>
        <v/>
      </c>
      <c r="I119" s="59" t="str">
        <f>IF(B119="","",E119-H119)</f>
        <v/>
      </c>
      <c r="J119" s="59" t="str">
        <f>IF(B119="","",IF(OR(inp_Tipo="Arrendamiento Puro",par_BaseIVAFin="Sobre renta",B119="Opción de compra"),F119,G119)*$C$14)</f>
        <v/>
      </c>
      <c r="K119" s="59" t="str">
        <f>IF(B119="","",F119+J119)</f>
        <v/>
      </c>
      <c r="L119" s="59" t="str">
        <f>IF(B119="","",F119-IF(A119=$C$38,$C$30,0))</f>
        <v/>
      </c>
      <c r="M119" s="78" t="str">
        <f>IF(B119="","",$C$37*(1+$C$13)^(-C119))</f>
        <v/>
      </c>
      <c r="N119" s="59" t="str">
        <f>IF(B119="","",L119*M119)</f>
        <v/>
      </c>
      <c r="O119" s="59" t="str">
        <f>IF(B119="","",IF(B119="Básico",F119,0)-IF(A119=$C$38,$C$30,0))</f>
        <v/>
      </c>
      <c r="P119" s="77">
        <f>IF(B119="",$C$31,D119)</f>
        <v>46295.0</v>
      </c>
      <c r="Q119" s="59">
        <f>IF(B119="",0,L119)</f>
        <v>0</v>
      </c>
      <c r="R119" s="59">
        <f>IF(B119="",0,-F119)</f>
        <v>0</v>
      </c>
      <c r="S119" s="59" t="str">
        <f>IF(B119="","",O119*M119)</f>
        <v/>
      </c>
    </row>
    <row r="120">
      <c r="A120" s="7" t="n">
        <v>75</v>
      </c>
      <c r="B120" s="7" t="str">
        <f>IF(A120&gt;$C$38,"",IF(A120&lt;=$C$5,"Básico",IF($C$6&gt;0,"Sucesivo","Opción de compra")))</f>
        <v/>
      </c>
      <c r="C120" s="7" t="str">
        <f>IF(B120="","",IF(B120="Opción de compra",$C$5,A120-$C$7))</f>
        <v/>
      </c>
      <c r="D120" s="77" t="str">
        <f>IF(B120="","",EDATE($C$33,C120))</f>
        <v/>
      </c>
      <c r="E120" s="59" t="str">
        <f>IF(B120="","",I119)</f>
        <v/>
      </c>
      <c r="F120" s="59" t="str">
        <f>IF(B120="","",IF(B120="Básico",$C$24,IF(B120="Sucesivo",$C$25,$C$26)))</f>
        <v/>
      </c>
      <c r="G120" s="59" t="str">
        <f>IF(B120="","",IF(B120="Opción de compra",0,(E120-$C$7*F120)*IF(B120="Sucesivo",$C$11,$C$9)))</f>
        <v/>
      </c>
      <c r="H120" s="59" t="str">
        <f>IF(B120="","",F120-G120)</f>
        <v/>
      </c>
      <c r="I120" s="59" t="str">
        <f>IF(B120="","",E120-H120)</f>
        <v/>
      </c>
      <c r="J120" s="59" t="str">
        <f>IF(B120="","",IF(OR(inp_Tipo="Arrendamiento Puro",par_BaseIVAFin="Sobre renta",B120="Opción de compra"),F120,G120)*$C$14)</f>
        <v/>
      </c>
      <c r="K120" s="59" t="str">
        <f>IF(B120="","",F120+J120)</f>
        <v/>
      </c>
      <c r="L120" s="59" t="str">
        <f>IF(B120="","",F120-IF(A120=$C$38,$C$30,0))</f>
        <v/>
      </c>
      <c r="M120" s="78" t="str">
        <f>IF(B120="","",$C$37*(1+$C$13)^(-C120))</f>
        <v/>
      </c>
      <c r="N120" s="59" t="str">
        <f>IF(B120="","",L120*M120)</f>
        <v/>
      </c>
      <c r="O120" s="59" t="str">
        <f>IF(B120="","",IF(B120="Básico",F120,0)-IF(A120=$C$38,$C$30,0))</f>
        <v/>
      </c>
      <c r="P120" s="77">
        <f>IF(B120="",$C$31,D120)</f>
        <v>46295.0</v>
      </c>
      <c r="Q120" s="59">
        <f>IF(B120="",0,L120)</f>
        <v>0</v>
      </c>
      <c r="R120" s="59">
        <f>IF(B120="",0,-F120)</f>
        <v>0</v>
      </c>
      <c r="S120" s="59" t="str">
        <f>IF(B120="","",O120*M120)</f>
        <v/>
      </c>
    </row>
    <row r="121">
      <c r="A121" s="7" t="n">
        <v>76</v>
      </c>
      <c r="B121" s="7" t="str">
        <f>IF(A121&gt;$C$38,"",IF(A121&lt;=$C$5,"Básico",IF($C$6&gt;0,"Sucesivo","Opción de compra")))</f>
        <v/>
      </c>
      <c r="C121" s="7" t="str">
        <f>IF(B121="","",IF(B121="Opción de compra",$C$5,A121-$C$7))</f>
        <v/>
      </c>
      <c r="D121" s="77" t="str">
        <f>IF(B121="","",EDATE($C$33,C121))</f>
        <v/>
      </c>
      <c r="E121" s="59" t="str">
        <f>IF(B121="","",I120)</f>
        <v/>
      </c>
      <c r="F121" s="59" t="str">
        <f>IF(B121="","",IF(B121="Básico",$C$24,IF(B121="Sucesivo",$C$25,$C$26)))</f>
        <v/>
      </c>
      <c r="G121" s="59" t="str">
        <f>IF(B121="","",IF(B121="Opción de compra",0,(E121-$C$7*F121)*IF(B121="Sucesivo",$C$11,$C$9)))</f>
        <v/>
      </c>
      <c r="H121" s="59" t="str">
        <f>IF(B121="","",F121-G121)</f>
        <v/>
      </c>
      <c r="I121" s="59" t="str">
        <f>IF(B121="","",E121-H121)</f>
        <v/>
      </c>
      <c r="J121" s="59" t="str">
        <f>IF(B121="","",IF(OR(inp_Tipo="Arrendamiento Puro",par_BaseIVAFin="Sobre renta",B121="Opción de compra"),F121,G121)*$C$14)</f>
        <v/>
      </c>
      <c r="K121" s="59" t="str">
        <f>IF(B121="","",F121+J121)</f>
        <v/>
      </c>
      <c r="L121" s="59" t="str">
        <f>IF(B121="","",F121-IF(A121=$C$38,$C$30,0))</f>
        <v/>
      </c>
      <c r="M121" s="78" t="str">
        <f>IF(B121="","",$C$37*(1+$C$13)^(-C121))</f>
        <v/>
      </c>
      <c r="N121" s="59" t="str">
        <f>IF(B121="","",L121*M121)</f>
        <v/>
      </c>
      <c r="O121" s="59" t="str">
        <f>IF(B121="","",IF(B121="Básico",F121,0)-IF(A121=$C$38,$C$30,0))</f>
        <v/>
      </c>
      <c r="P121" s="77">
        <f>IF(B121="",$C$31,D121)</f>
        <v>46295.0</v>
      </c>
      <c r="Q121" s="59">
        <f>IF(B121="",0,L121)</f>
        <v>0</v>
      </c>
      <c r="R121" s="59">
        <f>IF(B121="",0,-F121)</f>
        <v>0</v>
      </c>
      <c r="S121" s="59" t="str">
        <f>IF(B121="","",O121*M121)</f>
        <v/>
      </c>
    </row>
    <row r="122">
      <c r="A122" s="7" t="n">
        <v>77</v>
      </c>
      <c r="B122" s="7" t="str">
        <f>IF(A122&gt;$C$38,"",IF(A122&lt;=$C$5,"Básico",IF($C$6&gt;0,"Sucesivo","Opción de compra")))</f>
        <v/>
      </c>
      <c r="C122" s="7" t="str">
        <f>IF(B122="","",IF(B122="Opción de compra",$C$5,A122-$C$7))</f>
        <v/>
      </c>
      <c r="D122" s="77" t="str">
        <f>IF(B122="","",EDATE($C$33,C122))</f>
        <v/>
      </c>
      <c r="E122" s="59" t="str">
        <f>IF(B122="","",I121)</f>
        <v/>
      </c>
      <c r="F122" s="59" t="str">
        <f>IF(B122="","",IF(B122="Básico",$C$24,IF(B122="Sucesivo",$C$25,$C$26)))</f>
        <v/>
      </c>
      <c r="G122" s="59" t="str">
        <f>IF(B122="","",IF(B122="Opción de compra",0,(E122-$C$7*F122)*IF(B122="Sucesivo",$C$11,$C$9)))</f>
        <v/>
      </c>
      <c r="H122" s="59" t="str">
        <f>IF(B122="","",F122-G122)</f>
        <v/>
      </c>
      <c r="I122" s="59" t="str">
        <f>IF(B122="","",E122-H122)</f>
        <v/>
      </c>
      <c r="J122" s="59" t="str">
        <f>IF(B122="","",IF(OR(inp_Tipo="Arrendamiento Puro",par_BaseIVAFin="Sobre renta",B122="Opción de compra"),F122,G122)*$C$14)</f>
        <v/>
      </c>
      <c r="K122" s="59" t="str">
        <f>IF(B122="","",F122+J122)</f>
        <v/>
      </c>
      <c r="L122" s="59" t="str">
        <f>IF(B122="","",F122-IF(A122=$C$38,$C$30,0))</f>
        <v/>
      </c>
      <c r="M122" s="78" t="str">
        <f>IF(B122="","",$C$37*(1+$C$13)^(-C122))</f>
        <v/>
      </c>
      <c r="N122" s="59" t="str">
        <f>IF(B122="","",L122*M122)</f>
        <v/>
      </c>
      <c r="O122" s="59" t="str">
        <f>IF(B122="","",IF(B122="Básico",F122,0)-IF(A122=$C$38,$C$30,0))</f>
        <v/>
      </c>
      <c r="P122" s="77">
        <f>IF(B122="",$C$31,D122)</f>
        <v>46295.0</v>
      </c>
      <c r="Q122" s="59">
        <f>IF(B122="",0,L122)</f>
        <v>0</v>
      </c>
      <c r="R122" s="59">
        <f>IF(B122="",0,-F122)</f>
        <v>0</v>
      </c>
      <c r="S122" s="59" t="str">
        <f>IF(B122="","",O122*M122)</f>
        <v/>
      </c>
    </row>
    <row r="123">
      <c r="A123" s="7" t="n">
        <v>78</v>
      </c>
      <c r="B123" s="7" t="str">
        <f>IF(A123&gt;$C$38,"",IF(A123&lt;=$C$5,"Básico",IF($C$6&gt;0,"Sucesivo","Opción de compra")))</f>
        <v/>
      </c>
      <c r="C123" s="7" t="str">
        <f>IF(B123="","",IF(B123="Opción de compra",$C$5,A123-$C$7))</f>
        <v/>
      </c>
      <c r="D123" s="77" t="str">
        <f>IF(B123="","",EDATE($C$33,C123))</f>
        <v/>
      </c>
      <c r="E123" s="59" t="str">
        <f>IF(B123="","",I122)</f>
        <v/>
      </c>
      <c r="F123" s="59" t="str">
        <f>IF(B123="","",IF(B123="Básico",$C$24,IF(B123="Sucesivo",$C$25,$C$26)))</f>
        <v/>
      </c>
      <c r="G123" s="59" t="str">
        <f>IF(B123="","",IF(B123="Opción de compra",0,(E123-$C$7*F123)*IF(B123="Sucesivo",$C$11,$C$9)))</f>
        <v/>
      </c>
      <c r="H123" s="59" t="str">
        <f>IF(B123="","",F123-G123)</f>
        <v/>
      </c>
      <c r="I123" s="59" t="str">
        <f>IF(B123="","",E123-H123)</f>
        <v/>
      </c>
      <c r="J123" s="59" t="str">
        <f>IF(B123="","",IF(OR(inp_Tipo="Arrendamiento Puro",par_BaseIVAFin="Sobre renta",B123="Opción de compra"),F123,G123)*$C$14)</f>
        <v/>
      </c>
      <c r="K123" s="59" t="str">
        <f>IF(B123="","",F123+J123)</f>
        <v/>
      </c>
      <c r="L123" s="59" t="str">
        <f>IF(B123="","",F123-IF(A123=$C$38,$C$30,0))</f>
        <v/>
      </c>
      <c r="M123" s="78" t="str">
        <f>IF(B123="","",$C$37*(1+$C$13)^(-C123))</f>
        <v/>
      </c>
      <c r="N123" s="59" t="str">
        <f>IF(B123="","",L123*M123)</f>
        <v/>
      </c>
      <c r="O123" s="59" t="str">
        <f>IF(B123="","",IF(B123="Básico",F123,0)-IF(A123=$C$38,$C$30,0))</f>
        <v/>
      </c>
      <c r="P123" s="77">
        <f>IF(B123="",$C$31,D123)</f>
        <v>46295.0</v>
      </c>
      <c r="Q123" s="59">
        <f>IF(B123="",0,L123)</f>
        <v>0</v>
      </c>
      <c r="R123" s="59">
        <f>IF(B123="",0,-F123)</f>
        <v>0</v>
      </c>
      <c r="S123" s="59" t="str">
        <f>IF(B123="","",O123*M123)</f>
        <v/>
      </c>
    </row>
    <row r="124">
      <c r="A124" s="7" t="n">
        <v>79</v>
      </c>
      <c r="B124" s="7" t="str">
        <f>IF(A124&gt;$C$38,"",IF(A124&lt;=$C$5,"Básico",IF($C$6&gt;0,"Sucesivo","Opción de compra")))</f>
        <v/>
      </c>
      <c r="C124" s="7" t="str">
        <f>IF(B124="","",IF(B124="Opción de compra",$C$5,A124-$C$7))</f>
        <v/>
      </c>
      <c r="D124" s="77" t="str">
        <f>IF(B124="","",EDATE($C$33,C124))</f>
        <v/>
      </c>
      <c r="E124" s="59" t="str">
        <f>IF(B124="","",I123)</f>
        <v/>
      </c>
      <c r="F124" s="59" t="str">
        <f>IF(B124="","",IF(B124="Básico",$C$24,IF(B124="Sucesivo",$C$25,$C$26)))</f>
        <v/>
      </c>
      <c r="G124" s="59" t="str">
        <f>IF(B124="","",IF(B124="Opción de compra",0,(E124-$C$7*F124)*IF(B124="Sucesivo",$C$11,$C$9)))</f>
        <v/>
      </c>
      <c r="H124" s="59" t="str">
        <f>IF(B124="","",F124-G124)</f>
        <v/>
      </c>
      <c r="I124" s="59" t="str">
        <f>IF(B124="","",E124-H124)</f>
        <v/>
      </c>
      <c r="J124" s="59" t="str">
        <f>IF(B124="","",IF(OR(inp_Tipo="Arrendamiento Puro",par_BaseIVAFin="Sobre renta",B124="Opción de compra"),F124,G124)*$C$14)</f>
        <v/>
      </c>
      <c r="K124" s="59" t="str">
        <f>IF(B124="","",F124+J124)</f>
        <v/>
      </c>
      <c r="L124" s="59" t="str">
        <f>IF(B124="","",F124-IF(A124=$C$38,$C$30,0))</f>
        <v/>
      </c>
      <c r="M124" s="78" t="str">
        <f>IF(B124="","",$C$37*(1+$C$13)^(-C124))</f>
        <v/>
      </c>
      <c r="N124" s="59" t="str">
        <f>IF(B124="","",L124*M124)</f>
        <v/>
      </c>
      <c r="O124" s="59" t="str">
        <f>IF(B124="","",IF(B124="Básico",F124,0)-IF(A124=$C$38,$C$30,0))</f>
        <v/>
      </c>
      <c r="P124" s="77">
        <f>IF(B124="",$C$31,D124)</f>
        <v>46295.0</v>
      </c>
      <c r="Q124" s="59">
        <f>IF(B124="",0,L124)</f>
        <v>0</v>
      </c>
      <c r="R124" s="59">
        <f>IF(B124="",0,-F124)</f>
        <v>0</v>
      </c>
      <c r="S124" s="59" t="str">
        <f>IF(B124="","",O124*M124)</f>
        <v/>
      </c>
    </row>
    <row r="125">
      <c r="A125" s="7" t="n">
        <v>80</v>
      </c>
      <c r="B125" s="7" t="str">
        <f>IF(A125&gt;$C$38,"",IF(A125&lt;=$C$5,"Básico",IF($C$6&gt;0,"Sucesivo","Opción de compra")))</f>
        <v/>
      </c>
      <c r="C125" s="7" t="str">
        <f>IF(B125="","",IF(B125="Opción de compra",$C$5,A125-$C$7))</f>
        <v/>
      </c>
      <c r="D125" s="77" t="str">
        <f>IF(B125="","",EDATE($C$33,C125))</f>
        <v/>
      </c>
      <c r="E125" s="59" t="str">
        <f>IF(B125="","",I124)</f>
        <v/>
      </c>
      <c r="F125" s="59" t="str">
        <f>IF(B125="","",IF(B125="Básico",$C$24,IF(B125="Sucesivo",$C$25,$C$26)))</f>
        <v/>
      </c>
      <c r="G125" s="59" t="str">
        <f>IF(B125="","",IF(B125="Opción de compra",0,(E125-$C$7*F125)*IF(B125="Sucesivo",$C$11,$C$9)))</f>
        <v/>
      </c>
      <c r="H125" s="59" t="str">
        <f>IF(B125="","",F125-G125)</f>
        <v/>
      </c>
      <c r="I125" s="59" t="str">
        <f>IF(B125="","",E125-H125)</f>
        <v/>
      </c>
      <c r="J125" s="59" t="str">
        <f>IF(B125="","",IF(OR(inp_Tipo="Arrendamiento Puro",par_BaseIVAFin="Sobre renta",B125="Opción de compra"),F125,G125)*$C$14)</f>
        <v/>
      </c>
      <c r="K125" s="59" t="str">
        <f>IF(B125="","",F125+J125)</f>
        <v/>
      </c>
      <c r="L125" s="59" t="str">
        <f>IF(B125="","",F125-IF(A125=$C$38,$C$30,0))</f>
        <v/>
      </c>
      <c r="M125" s="78" t="str">
        <f>IF(B125="","",$C$37*(1+$C$13)^(-C125))</f>
        <v/>
      </c>
      <c r="N125" s="59" t="str">
        <f>IF(B125="","",L125*M125)</f>
        <v/>
      </c>
      <c r="O125" s="59" t="str">
        <f>IF(B125="","",IF(B125="Básico",F125,0)-IF(A125=$C$38,$C$30,0))</f>
        <v/>
      </c>
      <c r="P125" s="77">
        <f>IF(B125="",$C$31,D125)</f>
        <v>46295.0</v>
      </c>
      <c r="Q125" s="59">
        <f>IF(B125="",0,L125)</f>
        <v>0</v>
      </c>
      <c r="R125" s="59">
        <f>IF(B125="",0,-F125)</f>
        <v>0</v>
      </c>
      <c r="S125" s="59" t="str">
        <f>IF(B125="","",O125*M125)</f>
        <v/>
      </c>
    </row>
    <row r="126">
      <c r="A126" s="7" t="n">
        <v>81</v>
      </c>
      <c r="B126" s="7" t="str">
        <f>IF(A126&gt;$C$38,"",IF(A126&lt;=$C$5,"Básico",IF($C$6&gt;0,"Sucesivo","Opción de compra")))</f>
        <v/>
      </c>
      <c r="C126" s="7" t="str">
        <f>IF(B126="","",IF(B126="Opción de compra",$C$5,A126-$C$7))</f>
        <v/>
      </c>
      <c r="D126" s="77" t="str">
        <f>IF(B126="","",EDATE($C$33,C126))</f>
        <v/>
      </c>
      <c r="E126" s="59" t="str">
        <f>IF(B126="","",I125)</f>
        <v/>
      </c>
      <c r="F126" s="59" t="str">
        <f>IF(B126="","",IF(B126="Básico",$C$24,IF(B126="Sucesivo",$C$25,$C$26)))</f>
        <v/>
      </c>
      <c r="G126" s="59" t="str">
        <f>IF(B126="","",IF(B126="Opción de compra",0,(E126-$C$7*F126)*IF(B126="Sucesivo",$C$11,$C$9)))</f>
        <v/>
      </c>
      <c r="H126" s="59" t="str">
        <f>IF(B126="","",F126-G126)</f>
        <v/>
      </c>
      <c r="I126" s="59" t="str">
        <f>IF(B126="","",E126-H126)</f>
        <v/>
      </c>
      <c r="J126" s="59" t="str">
        <f>IF(B126="","",IF(OR(inp_Tipo="Arrendamiento Puro",par_BaseIVAFin="Sobre renta",B126="Opción de compra"),F126,G126)*$C$14)</f>
        <v/>
      </c>
      <c r="K126" s="59" t="str">
        <f>IF(B126="","",F126+J126)</f>
        <v/>
      </c>
      <c r="L126" s="59" t="str">
        <f>IF(B126="","",F126-IF(A126=$C$38,$C$30,0))</f>
        <v/>
      </c>
      <c r="M126" s="78" t="str">
        <f>IF(B126="","",$C$37*(1+$C$13)^(-C126))</f>
        <v/>
      </c>
      <c r="N126" s="59" t="str">
        <f>IF(B126="","",L126*M126)</f>
        <v/>
      </c>
      <c r="O126" s="59" t="str">
        <f>IF(B126="","",IF(B126="Básico",F126,0)-IF(A126=$C$38,$C$30,0))</f>
        <v/>
      </c>
      <c r="P126" s="77">
        <f>IF(B126="",$C$31,D126)</f>
        <v>46295.0</v>
      </c>
      <c r="Q126" s="59">
        <f>IF(B126="",0,L126)</f>
        <v>0</v>
      </c>
      <c r="R126" s="59">
        <f>IF(B126="",0,-F126)</f>
        <v>0</v>
      </c>
      <c r="S126" s="59" t="str">
        <f>IF(B126="","",O126*M126)</f>
        <v/>
      </c>
    </row>
    <row r="127">
      <c r="A127" s="7" t="n">
        <v>82</v>
      </c>
      <c r="B127" s="7" t="str">
        <f>IF(A127&gt;$C$38,"",IF(A127&lt;=$C$5,"Básico",IF($C$6&gt;0,"Sucesivo","Opción de compra")))</f>
        <v/>
      </c>
      <c r="C127" s="7" t="str">
        <f>IF(B127="","",IF(B127="Opción de compra",$C$5,A127-$C$7))</f>
        <v/>
      </c>
      <c r="D127" s="77" t="str">
        <f>IF(B127="","",EDATE($C$33,C127))</f>
        <v/>
      </c>
      <c r="E127" s="59" t="str">
        <f>IF(B127="","",I126)</f>
        <v/>
      </c>
      <c r="F127" s="59" t="str">
        <f>IF(B127="","",IF(B127="Básico",$C$24,IF(B127="Sucesivo",$C$25,$C$26)))</f>
        <v/>
      </c>
      <c r="G127" s="59" t="str">
        <f>IF(B127="","",IF(B127="Opción de compra",0,(E127-$C$7*F127)*IF(B127="Sucesivo",$C$11,$C$9)))</f>
        <v/>
      </c>
      <c r="H127" s="59" t="str">
        <f>IF(B127="","",F127-G127)</f>
        <v/>
      </c>
      <c r="I127" s="59" t="str">
        <f>IF(B127="","",E127-H127)</f>
        <v/>
      </c>
      <c r="J127" s="59" t="str">
        <f>IF(B127="","",IF(OR(inp_Tipo="Arrendamiento Puro",par_BaseIVAFin="Sobre renta",B127="Opción de compra"),F127,G127)*$C$14)</f>
        <v/>
      </c>
      <c r="K127" s="59" t="str">
        <f>IF(B127="","",F127+J127)</f>
        <v/>
      </c>
      <c r="L127" s="59" t="str">
        <f>IF(B127="","",F127-IF(A127=$C$38,$C$30,0))</f>
        <v/>
      </c>
      <c r="M127" s="78" t="str">
        <f>IF(B127="","",$C$37*(1+$C$13)^(-C127))</f>
        <v/>
      </c>
      <c r="N127" s="59" t="str">
        <f>IF(B127="","",L127*M127)</f>
        <v/>
      </c>
      <c r="O127" s="59" t="str">
        <f>IF(B127="","",IF(B127="Básico",F127,0)-IF(A127=$C$38,$C$30,0))</f>
        <v/>
      </c>
      <c r="P127" s="77">
        <f>IF(B127="",$C$31,D127)</f>
        <v>46295.0</v>
      </c>
      <c r="Q127" s="59">
        <f>IF(B127="",0,L127)</f>
        <v>0</v>
      </c>
      <c r="R127" s="59">
        <f>IF(B127="",0,-F127)</f>
        <v>0</v>
      </c>
      <c r="S127" s="59" t="str">
        <f>IF(B127="","",O127*M127)</f>
        <v/>
      </c>
    </row>
    <row r="128">
      <c r="A128" s="7" t="n">
        <v>83</v>
      </c>
      <c r="B128" s="7" t="str">
        <f>IF(A128&gt;$C$38,"",IF(A128&lt;=$C$5,"Básico",IF($C$6&gt;0,"Sucesivo","Opción de compra")))</f>
        <v/>
      </c>
      <c r="C128" s="7" t="str">
        <f>IF(B128="","",IF(B128="Opción de compra",$C$5,A128-$C$7))</f>
        <v/>
      </c>
      <c r="D128" s="77" t="str">
        <f>IF(B128="","",EDATE($C$33,C128))</f>
        <v/>
      </c>
      <c r="E128" s="59" t="str">
        <f>IF(B128="","",I127)</f>
        <v/>
      </c>
      <c r="F128" s="59" t="str">
        <f>IF(B128="","",IF(B128="Básico",$C$24,IF(B128="Sucesivo",$C$25,$C$26)))</f>
        <v/>
      </c>
      <c r="G128" s="59" t="str">
        <f>IF(B128="","",IF(B128="Opción de compra",0,(E128-$C$7*F128)*IF(B128="Sucesivo",$C$11,$C$9)))</f>
        <v/>
      </c>
      <c r="H128" s="59" t="str">
        <f>IF(B128="","",F128-G128)</f>
        <v/>
      </c>
      <c r="I128" s="59" t="str">
        <f>IF(B128="","",E128-H128)</f>
        <v/>
      </c>
      <c r="J128" s="59" t="str">
        <f>IF(B128="","",IF(OR(inp_Tipo="Arrendamiento Puro",par_BaseIVAFin="Sobre renta",B128="Opción de compra"),F128,G128)*$C$14)</f>
        <v/>
      </c>
      <c r="K128" s="59" t="str">
        <f>IF(B128="","",F128+J128)</f>
        <v/>
      </c>
      <c r="L128" s="59" t="str">
        <f>IF(B128="","",F128-IF(A128=$C$38,$C$30,0))</f>
        <v/>
      </c>
      <c r="M128" s="78" t="str">
        <f>IF(B128="","",$C$37*(1+$C$13)^(-C128))</f>
        <v/>
      </c>
      <c r="N128" s="59" t="str">
        <f>IF(B128="","",L128*M128)</f>
        <v/>
      </c>
      <c r="O128" s="59" t="str">
        <f>IF(B128="","",IF(B128="Básico",F128,0)-IF(A128=$C$38,$C$30,0))</f>
        <v/>
      </c>
      <c r="P128" s="77">
        <f>IF(B128="",$C$31,D128)</f>
        <v>46295.0</v>
      </c>
      <c r="Q128" s="59">
        <f>IF(B128="",0,L128)</f>
        <v>0</v>
      </c>
      <c r="R128" s="59">
        <f>IF(B128="",0,-F128)</f>
        <v>0</v>
      </c>
      <c r="S128" s="59" t="str">
        <f>IF(B128="","",O128*M128)</f>
        <v/>
      </c>
    </row>
    <row r="129">
      <c r="A129" s="7" t="n">
        <v>84</v>
      </c>
      <c r="B129" s="7" t="str">
        <f>IF(A129&gt;$C$38,"",IF(A129&lt;=$C$5,"Básico",IF($C$6&gt;0,"Sucesivo","Opción de compra")))</f>
        <v/>
      </c>
      <c r="C129" s="7" t="str">
        <f>IF(B129="","",IF(B129="Opción de compra",$C$5,A129-$C$7))</f>
        <v/>
      </c>
      <c r="D129" s="77" t="str">
        <f>IF(B129="","",EDATE($C$33,C129))</f>
        <v/>
      </c>
      <c r="E129" s="59" t="str">
        <f>IF(B129="","",I128)</f>
        <v/>
      </c>
      <c r="F129" s="59" t="str">
        <f>IF(B129="","",IF(B129="Básico",$C$24,IF(B129="Sucesivo",$C$25,$C$26)))</f>
        <v/>
      </c>
      <c r="G129" s="59" t="str">
        <f>IF(B129="","",IF(B129="Opción de compra",0,(E129-$C$7*F129)*IF(B129="Sucesivo",$C$11,$C$9)))</f>
        <v/>
      </c>
      <c r="H129" s="59" t="str">
        <f>IF(B129="","",F129-G129)</f>
        <v/>
      </c>
      <c r="I129" s="59" t="str">
        <f>IF(B129="","",E129-H129)</f>
        <v/>
      </c>
      <c r="J129" s="59" t="str">
        <f>IF(B129="","",IF(OR(inp_Tipo="Arrendamiento Puro",par_BaseIVAFin="Sobre renta",B129="Opción de compra"),F129,G129)*$C$14)</f>
        <v/>
      </c>
      <c r="K129" s="59" t="str">
        <f>IF(B129="","",F129+J129)</f>
        <v/>
      </c>
      <c r="L129" s="59" t="str">
        <f>IF(B129="","",F129-IF(A129=$C$38,$C$30,0))</f>
        <v/>
      </c>
      <c r="M129" s="78" t="str">
        <f>IF(B129="","",$C$37*(1+$C$13)^(-C129))</f>
        <v/>
      </c>
      <c r="N129" s="59" t="str">
        <f>IF(B129="","",L129*M129)</f>
        <v/>
      </c>
      <c r="O129" s="59" t="str">
        <f>IF(B129="","",IF(B129="Básico",F129,0)-IF(A129=$C$38,$C$30,0))</f>
        <v/>
      </c>
      <c r="P129" s="77">
        <f>IF(B129="",$C$31,D129)</f>
        <v>46295.0</v>
      </c>
      <c r="Q129" s="59">
        <f>IF(B129="",0,L129)</f>
        <v>0</v>
      </c>
      <c r="R129" s="59">
        <f>IF(B129="",0,-F129)</f>
        <v>0</v>
      </c>
      <c r="S129" s="59" t="str">
        <f>IF(B129="","",O129*M129)</f>
        <v/>
      </c>
    </row>
    <row r="130">
      <c r="A130" s="7" t="n">
        <v>85</v>
      </c>
      <c r="B130" s="7" t="str">
        <f>IF(A130&gt;$C$38,"",IF(A130&lt;=$C$5,"Básico",IF($C$6&gt;0,"Sucesivo","Opción de compra")))</f>
        <v/>
      </c>
      <c r="C130" s="7" t="str">
        <f>IF(B130="","",IF(B130="Opción de compra",$C$5,A130-$C$7))</f>
        <v/>
      </c>
      <c r="D130" s="77" t="str">
        <f>IF(B130="","",EDATE($C$33,C130))</f>
        <v/>
      </c>
      <c r="E130" s="59" t="str">
        <f>IF(B130="","",I129)</f>
        <v/>
      </c>
      <c r="F130" s="59" t="str">
        <f>IF(B130="","",IF(B130="Básico",$C$24,IF(B130="Sucesivo",$C$25,$C$26)))</f>
        <v/>
      </c>
      <c r="G130" s="59" t="str">
        <f>IF(B130="","",IF(B130="Opción de compra",0,(E130-$C$7*F130)*IF(B130="Sucesivo",$C$11,$C$9)))</f>
        <v/>
      </c>
      <c r="H130" s="59" t="str">
        <f>IF(B130="","",F130-G130)</f>
        <v/>
      </c>
      <c r="I130" s="59" t="str">
        <f>IF(B130="","",E130-H130)</f>
        <v/>
      </c>
      <c r="J130" s="59" t="str">
        <f>IF(B130="","",IF(OR(inp_Tipo="Arrendamiento Puro",par_BaseIVAFin="Sobre renta",B130="Opción de compra"),F130,G130)*$C$14)</f>
        <v/>
      </c>
      <c r="K130" s="59" t="str">
        <f>IF(B130="","",F130+J130)</f>
        <v/>
      </c>
      <c r="L130" s="59" t="str">
        <f>IF(B130="","",F130-IF(A130=$C$38,$C$30,0))</f>
        <v/>
      </c>
      <c r="M130" s="78" t="str">
        <f>IF(B130="","",$C$37*(1+$C$13)^(-C130))</f>
        <v/>
      </c>
      <c r="N130" s="59" t="str">
        <f>IF(B130="","",L130*M130)</f>
        <v/>
      </c>
      <c r="O130" s="59" t="str">
        <f>IF(B130="","",IF(B130="Básico",F130,0)-IF(A130=$C$38,$C$30,0))</f>
        <v/>
      </c>
      <c r="P130" s="77">
        <f>IF(B130="",$C$31,D130)</f>
        <v>46295.0</v>
      </c>
      <c r="Q130" s="59">
        <f>IF(B130="",0,L130)</f>
        <v>0</v>
      </c>
      <c r="R130" s="59">
        <f>IF(B130="",0,-F130)</f>
        <v>0</v>
      </c>
      <c r="S130" s="59" t="str">
        <f>IF(B130="","",O130*M130)</f>
        <v/>
      </c>
    </row>
    <row r="131">
      <c r="A131" s="7" t="n">
        <v>86</v>
      </c>
      <c r="B131" s="7" t="str">
        <f>IF(A131&gt;$C$38,"",IF(A131&lt;=$C$5,"Básico",IF($C$6&gt;0,"Sucesivo","Opción de compra")))</f>
        <v/>
      </c>
      <c r="C131" s="7" t="str">
        <f>IF(B131="","",IF(B131="Opción de compra",$C$5,A131-$C$7))</f>
        <v/>
      </c>
      <c r="D131" s="77" t="str">
        <f>IF(B131="","",EDATE($C$33,C131))</f>
        <v/>
      </c>
      <c r="E131" s="59" t="str">
        <f>IF(B131="","",I130)</f>
        <v/>
      </c>
      <c r="F131" s="59" t="str">
        <f>IF(B131="","",IF(B131="Básico",$C$24,IF(B131="Sucesivo",$C$25,$C$26)))</f>
        <v/>
      </c>
      <c r="G131" s="59" t="str">
        <f>IF(B131="","",IF(B131="Opción de compra",0,(E131-$C$7*F131)*IF(B131="Sucesivo",$C$11,$C$9)))</f>
        <v/>
      </c>
      <c r="H131" s="59" t="str">
        <f>IF(B131="","",F131-G131)</f>
        <v/>
      </c>
      <c r="I131" s="59" t="str">
        <f>IF(B131="","",E131-H131)</f>
        <v/>
      </c>
      <c r="J131" s="59" t="str">
        <f>IF(B131="","",IF(OR(inp_Tipo="Arrendamiento Puro",par_BaseIVAFin="Sobre renta",B131="Opción de compra"),F131,G131)*$C$14)</f>
        <v/>
      </c>
      <c r="K131" s="59" t="str">
        <f>IF(B131="","",F131+J131)</f>
        <v/>
      </c>
      <c r="L131" s="59" t="str">
        <f>IF(B131="","",F131-IF(A131=$C$38,$C$30,0))</f>
        <v/>
      </c>
      <c r="M131" s="78" t="str">
        <f>IF(B131="","",$C$37*(1+$C$13)^(-C131))</f>
        <v/>
      </c>
      <c r="N131" s="59" t="str">
        <f>IF(B131="","",L131*M131)</f>
        <v/>
      </c>
      <c r="O131" s="59" t="str">
        <f>IF(B131="","",IF(B131="Básico",F131,0)-IF(A131=$C$38,$C$30,0))</f>
        <v/>
      </c>
      <c r="P131" s="77">
        <f>IF(B131="",$C$31,D131)</f>
        <v>46295.0</v>
      </c>
      <c r="Q131" s="59">
        <f>IF(B131="",0,L131)</f>
        <v>0</v>
      </c>
      <c r="R131" s="59">
        <f>IF(B131="",0,-F131)</f>
        <v>0</v>
      </c>
      <c r="S131" s="59" t="str">
        <f>IF(B131="","",O131*M131)</f>
        <v/>
      </c>
    </row>
    <row r="132">
      <c r="A132" s="7" t="n">
        <v>87</v>
      </c>
      <c r="B132" s="7" t="str">
        <f>IF(A132&gt;$C$38,"",IF(A132&lt;=$C$5,"Básico",IF($C$6&gt;0,"Sucesivo","Opción de compra")))</f>
        <v/>
      </c>
      <c r="C132" s="7" t="str">
        <f>IF(B132="","",IF(B132="Opción de compra",$C$5,A132-$C$7))</f>
        <v/>
      </c>
      <c r="D132" s="77" t="str">
        <f>IF(B132="","",EDATE($C$33,C132))</f>
        <v/>
      </c>
      <c r="E132" s="59" t="str">
        <f>IF(B132="","",I131)</f>
        <v/>
      </c>
      <c r="F132" s="59" t="str">
        <f>IF(B132="","",IF(B132="Básico",$C$24,IF(B132="Sucesivo",$C$25,$C$26)))</f>
        <v/>
      </c>
      <c r="G132" s="59" t="str">
        <f>IF(B132="","",IF(B132="Opción de compra",0,(E132-$C$7*F132)*IF(B132="Sucesivo",$C$11,$C$9)))</f>
        <v/>
      </c>
      <c r="H132" s="59" t="str">
        <f>IF(B132="","",F132-G132)</f>
        <v/>
      </c>
      <c r="I132" s="59" t="str">
        <f>IF(B132="","",E132-H132)</f>
        <v/>
      </c>
      <c r="J132" s="59" t="str">
        <f>IF(B132="","",IF(OR(inp_Tipo="Arrendamiento Puro",par_BaseIVAFin="Sobre renta",B132="Opción de compra"),F132,G132)*$C$14)</f>
        <v/>
      </c>
      <c r="K132" s="59" t="str">
        <f>IF(B132="","",F132+J132)</f>
        <v/>
      </c>
      <c r="L132" s="59" t="str">
        <f>IF(B132="","",F132-IF(A132=$C$38,$C$30,0))</f>
        <v/>
      </c>
      <c r="M132" s="78" t="str">
        <f>IF(B132="","",$C$37*(1+$C$13)^(-C132))</f>
        <v/>
      </c>
      <c r="N132" s="59" t="str">
        <f>IF(B132="","",L132*M132)</f>
        <v/>
      </c>
      <c r="O132" s="59" t="str">
        <f>IF(B132="","",IF(B132="Básico",F132,0)-IF(A132=$C$38,$C$30,0))</f>
        <v/>
      </c>
      <c r="P132" s="77">
        <f>IF(B132="",$C$31,D132)</f>
        <v>46295.0</v>
      </c>
      <c r="Q132" s="59">
        <f>IF(B132="",0,L132)</f>
        <v>0</v>
      </c>
      <c r="R132" s="59">
        <f>IF(B132="",0,-F132)</f>
        <v>0</v>
      </c>
      <c r="S132" s="59" t="str">
        <f>IF(B132="","",O132*M132)</f>
        <v/>
      </c>
    </row>
    <row r="133">
      <c r="A133" s="7" t="n">
        <v>88</v>
      </c>
      <c r="B133" s="7" t="str">
        <f>IF(A133&gt;$C$38,"",IF(A133&lt;=$C$5,"Básico",IF($C$6&gt;0,"Sucesivo","Opción de compra")))</f>
        <v/>
      </c>
      <c r="C133" s="7" t="str">
        <f>IF(B133="","",IF(B133="Opción de compra",$C$5,A133-$C$7))</f>
        <v/>
      </c>
      <c r="D133" s="77" t="str">
        <f>IF(B133="","",EDATE($C$33,C133))</f>
        <v/>
      </c>
      <c r="E133" s="59" t="str">
        <f>IF(B133="","",I132)</f>
        <v/>
      </c>
      <c r="F133" s="59" t="str">
        <f>IF(B133="","",IF(B133="Básico",$C$24,IF(B133="Sucesivo",$C$25,$C$26)))</f>
        <v/>
      </c>
      <c r="G133" s="59" t="str">
        <f>IF(B133="","",IF(B133="Opción de compra",0,(E133-$C$7*F133)*IF(B133="Sucesivo",$C$11,$C$9)))</f>
        <v/>
      </c>
      <c r="H133" s="59" t="str">
        <f>IF(B133="","",F133-G133)</f>
        <v/>
      </c>
      <c r="I133" s="59" t="str">
        <f>IF(B133="","",E133-H133)</f>
        <v/>
      </c>
      <c r="J133" s="59" t="str">
        <f>IF(B133="","",IF(OR(inp_Tipo="Arrendamiento Puro",par_BaseIVAFin="Sobre renta",B133="Opción de compra"),F133,G133)*$C$14)</f>
        <v/>
      </c>
      <c r="K133" s="59" t="str">
        <f>IF(B133="","",F133+J133)</f>
        <v/>
      </c>
      <c r="L133" s="59" t="str">
        <f>IF(B133="","",F133-IF(A133=$C$38,$C$30,0))</f>
        <v/>
      </c>
      <c r="M133" s="78" t="str">
        <f>IF(B133="","",$C$37*(1+$C$13)^(-C133))</f>
        <v/>
      </c>
      <c r="N133" s="59" t="str">
        <f>IF(B133="","",L133*M133)</f>
        <v/>
      </c>
      <c r="O133" s="59" t="str">
        <f>IF(B133="","",IF(B133="Básico",F133,0)-IF(A133=$C$38,$C$30,0))</f>
        <v/>
      </c>
      <c r="P133" s="77">
        <f>IF(B133="",$C$31,D133)</f>
        <v>46295.0</v>
      </c>
      <c r="Q133" s="59">
        <f>IF(B133="",0,L133)</f>
        <v>0</v>
      </c>
      <c r="R133" s="59">
        <f>IF(B133="",0,-F133)</f>
        <v>0</v>
      </c>
      <c r="S133" s="59" t="str">
        <f>IF(B133="","",O133*M133)</f>
        <v/>
      </c>
    </row>
    <row r="134">
      <c r="A134" s="7" t="n">
        <v>89</v>
      </c>
      <c r="B134" s="7" t="str">
        <f>IF(A134&gt;$C$38,"",IF(A134&lt;=$C$5,"Básico",IF($C$6&gt;0,"Sucesivo","Opción de compra")))</f>
        <v/>
      </c>
      <c r="C134" s="7" t="str">
        <f>IF(B134="","",IF(B134="Opción de compra",$C$5,A134-$C$7))</f>
        <v/>
      </c>
      <c r="D134" s="77" t="str">
        <f>IF(B134="","",EDATE($C$33,C134))</f>
        <v/>
      </c>
      <c r="E134" s="59" t="str">
        <f>IF(B134="","",I133)</f>
        <v/>
      </c>
      <c r="F134" s="59" t="str">
        <f>IF(B134="","",IF(B134="Básico",$C$24,IF(B134="Sucesivo",$C$25,$C$26)))</f>
        <v/>
      </c>
      <c r="G134" s="59" t="str">
        <f>IF(B134="","",IF(B134="Opción de compra",0,(E134-$C$7*F134)*IF(B134="Sucesivo",$C$11,$C$9)))</f>
        <v/>
      </c>
      <c r="H134" s="59" t="str">
        <f>IF(B134="","",F134-G134)</f>
        <v/>
      </c>
      <c r="I134" s="59" t="str">
        <f>IF(B134="","",E134-H134)</f>
        <v/>
      </c>
      <c r="J134" s="59" t="str">
        <f>IF(B134="","",IF(OR(inp_Tipo="Arrendamiento Puro",par_BaseIVAFin="Sobre renta",B134="Opción de compra"),F134,G134)*$C$14)</f>
        <v/>
      </c>
      <c r="K134" s="59" t="str">
        <f>IF(B134="","",F134+J134)</f>
        <v/>
      </c>
      <c r="L134" s="59" t="str">
        <f>IF(B134="","",F134-IF(A134=$C$38,$C$30,0))</f>
        <v/>
      </c>
      <c r="M134" s="78" t="str">
        <f>IF(B134="","",$C$37*(1+$C$13)^(-C134))</f>
        <v/>
      </c>
      <c r="N134" s="59" t="str">
        <f>IF(B134="","",L134*M134)</f>
        <v/>
      </c>
      <c r="O134" s="59" t="str">
        <f>IF(B134="","",IF(B134="Básico",F134,0)-IF(A134=$C$38,$C$30,0))</f>
        <v/>
      </c>
      <c r="P134" s="77">
        <f>IF(B134="",$C$31,D134)</f>
        <v>46295.0</v>
      </c>
      <c r="Q134" s="59">
        <f>IF(B134="",0,L134)</f>
        <v>0</v>
      </c>
      <c r="R134" s="59">
        <f>IF(B134="",0,-F134)</f>
        <v>0</v>
      </c>
      <c r="S134" s="59" t="str">
        <f>IF(B134="","",O134*M134)</f>
        <v/>
      </c>
    </row>
    <row r="135">
      <c r="A135" s="7" t="n">
        <v>90</v>
      </c>
      <c r="B135" s="7" t="str">
        <f>IF(A135&gt;$C$38,"",IF(A135&lt;=$C$5,"Básico",IF($C$6&gt;0,"Sucesivo","Opción de compra")))</f>
        <v/>
      </c>
      <c r="C135" s="7" t="str">
        <f>IF(B135="","",IF(B135="Opción de compra",$C$5,A135-$C$7))</f>
        <v/>
      </c>
      <c r="D135" s="77" t="str">
        <f>IF(B135="","",EDATE($C$33,C135))</f>
        <v/>
      </c>
      <c r="E135" s="59" t="str">
        <f>IF(B135="","",I134)</f>
        <v/>
      </c>
      <c r="F135" s="59" t="str">
        <f>IF(B135="","",IF(B135="Básico",$C$24,IF(B135="Sucesivo",$C$25,$C$26)))</f>
        <v/>
      </c>
      <c r="G135" s="59" t="str">
        <f>IF(B135="","",IF(B135="Opción de compra",0,(E135-$C$7*F135)*IF(B135="Sucesivo",$C$11,$C$9)))</f>
        <v/>
      </c>
      <c r="H135" s="59" t="str">
        <f>IF(B135="","",F135-G135)</f>
        <v/>
      </c>
      <c r="I135" s="59" t="str">
        <f>IF(B135="","",E135-H135)</f>
        <v/>
      </c>
      <c r="J135" s="59" t="str">
        <f>IF(B135="","",IF(OR(inp_Tipo="Arrendamiento Puro",par_BaseIVAFin="Sobre renta",B135="Opción de compra"),F135,G135)*$C$14)</f>
        <v/>
      </c>
      <c r="K135" s="59" t="str">
        <f>IF(B135="","",F135+J135)</f>
        <v/>
      </c>
      <c r="L135" s="59" t="str">
        <f>IF(B135="","",F135-IF(A135=$C$38,$C$30,0))</f>
        <v/>
      </c>
      <c r="M135" s="78" t="str">
        <f>IF(B135="","",$C$37*(1+$C$13)^(-C135))</f>
        <v/>
      </c>
      <c r="N135" s="59" t="str">
        <f>IF(B135="","",L135*M135)</f>
        <v/>
      </c>
      <c r="O135" s="59" t="str">
        <f>IF(B135="","",IF(B135="Básico",F135,0)-IF(A135=$C$38,$C$30,0))</f>
        <v/>
      </c>
      <c r="P135" s="77">
        <f>IF(B135="",$C$31,D135)</f>
        <v>46295.0</v>
      </c>
      <c r="Q135" s="59">
        <f>IF(B135="",0,L135)</f>
        <v>0</v>
      </c>
      <c r="R135" s="59">
        <f>IF(B135="",0,-F135)</f>
        <v>0</v>
      </c>
      <c r="S135" s="59" t="str">
        <f>IF(B135="","",O135*M135)</f>
        <v/>
      </c>
    </row>
    <row r="136">
      <c r="A136" s="7" t="n">
        <v>91</v>
      </c>
      <c r="B136" s="7" t="str">
        <f>IF(A136&gt;$C$38,"",IF(A136&lt;=$C$5,"Básico",IF($C$6&gt;0,"Sucesivo","Opción de compra")))</f>
        <v/>
      </c>
      <c r="C136" s="7" t="str">
        <f>IF(B136="","",IF(B136="Opción de compra",$C$5,A136-$C$7))</f>
        <v/>
      </c>
      <c r="D136" s="77" t="str">
        <f>IF(B136="","",EDATE($C$33,C136))</f>
        <v/>
      </c>
      <c r="E136" s="59" t="str">
        <f>IF(B136="","",I135)</f>
        <v/>
      </c>
      <c r="F136" s="59" t="str">
        <f>IF(B136="","",IF(B136="Básico",$C$24,IF(B136="Sucesivo",$C$25,$C$26)))</f>
        <v/>
      </c>
      <c r="G136" s="59" t="str">
        <f>IF(B136="","",IF(B136="Opción de compra",0,(E136-$C$7*F136)*IF(B136="Sucesivo",$C$11,$C$9)))</f>
        <v/>
      </c>
      <c r="H136" s="59" t="str">
        <f>IF(B136="","",F136-G136)</f>
        <v/>
      </c>
      <c r="I136" s="59" t="str">
        <f>IF(B136="","",E136-H136)</f>
        <v/>
      </c>
      <c r="J136" s="59" t="str">
        <f>IF(B136="","",IF(OR(inp_Tipo="Arrendamiento Puro",par_BaseIVAFin="Sobre renta",B136="Opción de compra"),F136,G136)*$C$14)</f>
        <v/>
      </c>
      <c r="K136" s="59" t="str">
        <f>IF(B136="","",F136+J136)</f>
        <v/>
      </c>
      <c r="L136" s="59" t="str">
        <f>IF(B136="","",F136-IF(A136=$C$38,$C$30,0))</f>
        <v/>
      </c>
      <c r="M136" s="78" t="str">
        <f>IF(B136="","",$C$37*(1+$C$13)^(-C136))</f>
        <v/>
      </c>
      <c r="N136" s="59" t="str">
        <f>IF(B136="","",L136*M136)</f>
        <v/>
      </c>
      <c r="O136" s="59" t="str">
        <f>IF(B136="","",IF(B136="Básico",F136,0)-IF(A136=$C$38,$C$30,0))</f>
        <v/>
      </c>
      <c r="P136" s="77">
        <f>IF(B136="",$C$31,D136)</f>
        <v>46295.0</v>
      </c>
      <c r="Q136" s="59">
        <f>IF(B136="",0,L136)</f>
        <v>0</v>
      </c>
      <c r="R136" s="59">
        <f>IF(B136="",0,-F136)</f>
        <v>0</v>
      </c>
      <c r="S136" s="59" t="str">
        <f>IF(B136="","",O136*M136)</f>
        <v/>
      </c>
    </row>
    <row r="137">
      <c r="A137" s="7" t="n">
        <v>92</v>
      </c>
      <c r="B137" s="7" t="str">
        <f>IF(A137&gt;$C$38,"",IF(A137&lt;=$C$5,"Básico",IF($C$6&gt;0,"Sucesivo","Opción de compra")))</f>
        <v/>
      </c>
      <c r="C137" s="7" t="str">
        <f>IF(B137="","",IF(B137="Opción de compra",$C$5,A137-$C$7))</f>
        <v/>
      </c>
      <c r="D137" s="77" t="str">
        <f>IF(B137="","",EDATE($C$33,C137))</f>
        <v/>
      </c>
      <c r="E137" s="59" t="str">
        <f>IF(B137="","",I136)</f>
        <v/>
      </c>
      <c r="F137" s="59" t="str">
        <f>IF(B137="","",IF(B137="Básico",$C$24,IF(B137="Sucesivo",$C$25,$C$26)))</f>
        <v/>
      </c>
      <c r="G137" s="59" t="str">
        <f>IF(B137="","",IF(B137="Opción de compra",0,(E137-$C$7*F137)*IF(B137="Sucesivo",$C$11,$C$9)))</f>
        <v/>
      </c>
      <c r="H137" s="59" t="str">
        <f>IF(B137="","",F137-G137)</f>
        <v/>
      </c>
      <c r="I137" s="59" t="str">
        <f>IF(B137="","",E137-H137)</f>
        <v/>
      </c>
      <c r="J137" s="59" t="str">
        <f>IF(B137="","",IF(OR(inp_Tipo="Arrendamiento Puro",par_BaseIVAFin="Sobre renta",B137="Opción de compra"),F137,G137)*$C$14)</f>
        <v/>
      </c>
      <c r="K137" s="59" t="str">
        <f>IF(B137="","",F137+J137)</f>
        <v/>
      </c>
      <c r="L137" s="59" t="str">
        <f>IF(B137="","",F137-IF(A137=$C$38,$C$30,0))</f>
        <v/>
      </c>
      <c r="M137" s="78" t="str">
        <f>IF(B137="","",$C$37*(1+$C$13)^(-C137))</f>
        <v/>
      </c>
      <c r="N137" s="59" t="str">
        <f>IF(B137="","",L137*M137)</f>
        <v/>
      </c>
      <c r="O137" s="59" t="str">
        <f>IF(B137="","",IF(B137="Básico",F137,0)-IF(A137=$C$38,$C$30,0))</f>
        <v/>
      </c>
      <c r="P137" s="77">
        <f>IF(B137="",$C$31,D137)</f>
        <v>46295.0</v>
      </c>
      <c r="Q137" s="59">
        <f>IF(B137="",0,L137)</f>
        <v>0</v>
      </c>
      <c r="R137" s="59">
        <f>IF(B137="",0,-F137)</f>
        <v>0</v>
      </c>
      <c r="S137" s="59" t="str">
        <f>IF(B137="","",O137*M137)</f>
        <v/>
      </c>
    </row>
    <row r="138">
      <c r="A138" s="7" t="n">
        <v>93</v>
      </c>
      <c r="B138" s="7" t="str">
        <f>IF(A138&gt;$C$38,"",IF(A138&lt;=$C$5,"Básico",IF($C$6&gt;0,"Sucesivo","Opción de compra")))</f>
        <v/>
      </c>
      <c r="C138" s="7" t="str">
        <f>IF(B138="","",IF(B138="Opción de compra",$C$5,A138-$C$7))</f>
        <v/>
      </c>
      <c r="D138" s="77" t="str">
        <f>IF(B138="","",EDATE($C$33,C138))</f>
        <v/>
      </c>
      <c r="E138" s="59" t="str">
        <f>IF(B138="","",I137)</f>
        <v/>
      </c>
      <c r="F138" s="59" t="str">
        <f>IF(B138="","",IF(B138="Básico",$C$24,IF(B138="Sucesivo",$C$25,$C$26)))</f>
        <v/>
      </c>
      <c r="G138" s="59" t="str">
        <f>IF(B138="","",IF(B138="Opción de compra",0,(E138-$C$7*F138)*IF(B138="Sucesivo",$C$11,$C$9)))</f>
        <v/>
      </c>
      <c r="H138" s="59" t="str">
        <f>IF(B138="","",F138-G138)</f>
        <v/>
      </c>
      <c r="I138" s="59" t="str">
        <f>IF(B138="","",E138-H138)</f>
        <v/>
      </c>
      <c r="J138" s="59" t="str">
        <f>IF(B138="","",IF(OR(inp_Tipo="Arrendamiento Puro",par_BaseIVAFin="Sobre renta",B138="Opción de compra"),F138,G138)*$C$14)</f>
        <v/>
      </c>
      <c r="K138" s="59" t="str">
        <f>IF(B138="","",F138+J138)</f>
        <v/>
      </c>
      <c r="L138" s="59" t="str">
        <f>IF(B138="","",F138-IF(A138=$C$38,$C$30,0))</f>
        <v/>
      </c>
      <c r="M138" s="78" t="str">
        <f>IF(B138="","",$C$37*(1+$C$13)^(-C138))</f>
        <v/>
      </c>
      <c r="N138" s="59" t="str">
        <f>IF(B138="","",L138*M138)</f>
        <v/>
      </c>
      <c r="O138" s="59" t="str">
        <f>IF(B138="","",IF(B138="Básico",F138,0)-IF(A138=$C$38,$C$30,0))</f>
        <v/>
      </c>
      <c r="P138" s="77">
        <f>IF(B138="",$C$31,D138)</f>
        <v>46295.0</v>
      </c>
      <c r="Q138" s="59">
        <f>IF(B138="",0,L138)</f>
        <v>0</v>
      </c>
      <c r="R138" s="59">
        <f>IF(B138="",0,-F138)</f>
        <v>0</v>
      </c>
      <c r="S138" s="59" t="str">
        <f>IF(B138="","",O138*M138)</f>
        <v/>
      </c>
    </row>
    <row r="139">
      <c r="A139" s="7" t="n">
        <v>94</v>
      </c>
      <c r="B139" s="7" t="str">
        <f>IF(A139&gt;$C$38,"",IF(A139&lt;=$C$5,"Básico",IF($C$6&gt;0,"Sucesivo","Opción de compra")))</f>
        <v/>
      </c>
      <c r="C139" s="7" t="str">
        <f>IF(B139="","",IF(B139="Opción de compra",$C$5,A139-$C$7))</f>
        <v/>
      </c>
      <c r="D139" s="77" t="str">
        <f>IF(B139="","",EDATE($C$33,C139))</f>
        <v/>
      </c>
      <c r="E139" s="59" t="str">
        <f>IF(B139="","",I138)</f>
        <v/>
      </c>
      <c r="F139" s="59" t="str">
        <f>IF(B139="","",IF(B139="Básico",$C$24,IF(B139="Sucesivo",$C$25,$C$26)))</f>
        <v/>
      </c>
      <c r="G139" s="59" t="str">
        <f>IF(B139="","",IF(B139="Opción de compra",0,(E139-$C$7*F139)*IF(B139="Sucesivo",$C$11,$C$9)))</f>
        <v/>
      </c>
      <c r="H139" s="59" t="str">
        <f>IF(B139="","",F139-G139)</f>
        <v/>
      </c>
      <c r="I139" s="59" t="str">
        <f>IF(B139="","",E139-H139)</f>
        <v/>
      </c>
      <c r="J139" s="59" t="str">
        <f>IF(B139="","",IF(OR(inp_Tipo="Arrendamiento Puro",par_BaseIVAFin="Sobre renta",B139="Opción de compra"),F139,G139)*$C$14)</f>
        <v/>
      </c>
      <c r="K139" s="59" t="str">
        <f>IF(B139="","",F139+J139)</f>
        <v/>
      </c>
      <c r="L139" s="59" t="str">
        <f>IF(B139="","",F139-IF(A139=$C$38,$C$30,0))</f>
        <v/>
      </c>
      <c r="M139" s="78" t="str">
        <f>IF(B139="","",$C$37*(1+$C$13)^(-C139))</f>
        <v/>
      </c>
      <c r="N139" s="59" t="str">
        <f>IF(B139="","",L139*M139)</f>
        <v/>
      </c>
      <c r="O139" s="59" t="str">
        <f>IF(B139="","",IF(B139="Básico",F139,0)-IF(A139=$C$38,$C$30,0))</f>
        <v/>
      </c>
      <c r="P139" s="77">
        <f>IF(B139="",$C$31,D139)</f>
        <v>46295.0</v>
      </c>
      <c r="Q139" s="59">
        <f>IF(B139="",0,L139)</f>
        <v>0</v>
      </c>
      <c r="R139" s="59">
        <f>IF(B139="",0,-F139)</f>
        <v>0</v>
      </c>
      <c r="S139" s="59" t="str">
        <f>IF(B139="","",O139*M139)</f>
        <v/>
      </c>
    </row>
    <row r="140">
      <c r="A140" s="7" t="n">
        <v>95</v>
      </c>
      <c r="B140" s="7" t="str">
        <f>IF(A140&gt;$C$38,"",IF(A140&lt;=$C$5,"Básico",IF($C$6&gt;0,"Sucesivo","Opción de compra")))</f>
        <v/>
      </c>
      <c r="C140" s="7" t="str">
        <f>IF(B140="","",IF(B140="Opción de compra",$C$5,A140-$C$7))</f>
        <v/>
      </c>
      <c r="D140" s="77" t="str">
        <f>IF(B140="","",EDATE($C$33,C140))</f>
        <v/>
      </c>
      <c r="E140" s="59" t="str">
        <f>IF(B140="","",I139)</f>
        <v/>
      </c>
      <c r="F140" s="59" t="str">
        <f>IF(B140="","",IF(B140="Básico",$C$24,IF(B140="Sucesivo",$C$25,$C$26)))</f>
        <v/>
      </c>
      <c r="G140" s="59" t="str">
        <f>IF(B140="","",IF(B140="Opción de compra",0,(E140-$C$7*F140)*IF(B140="Sucesivo",$C$11,$C$9)))</f>
        <v/>
      </c>
      <c r="H140" s="59" t="str">
        <f>IF(B140="","",F140-G140)</f>
        <v/>
      </c>
      <c r="I140" s="59" t="str">
        <f>IF(B140="","",E140-H140)</f>
        <v/>
      </c>
      <c r="J140" s="59" t="str">
        <f>IF(B140="","",IF(OR(inp_Tipo="Arrendamiento Puro",par_BaseIVAFin="Sobre renta",B140="Opción de compra"),F140,G140)*$C$14)</f>
        <v/>
      </c>
      <c r="K140" s="59" t="str">
        <f>IF(B140="","",F140+J140)</f>
        <v/>
      </c>
      <c r="L140" s="59" t="str">
        <f>IF(B140="","",F140-IF(A140=$C$38,$C$30,0))</f>
        <v/>
      </c>
      <c r="M140" s="78" t="str">
        <f>IF(B140="","",$C$37*(1+$C$13)^(-C140))</f>
        <v/>
      </c>
      <c r="N140" s="59" t="str">
        <f>IF(B140="","",L140*M140)</f>
        <v/>
      </c>
      <c r="O140" s="59" t="str">
        <f>IF(B140="","",IF(B140="Básico",F140,0)-IF(A140=$C$38,$C$30,0))</f>
        <v/>
      </c>
      <c r="P140" s="77">
        <f>IF(B140="",$C$31,D140)</f>
        <v>46295.0</v>
      </c>
      <c r="Q140" s="59">
        <f>IF(B140="",0,L140)</f>
        <v>0</v>
      </c>
      <c r="R140" s="59">
        <f>IF(B140="",0,-F140)</f>
        <v>0</v>
      </c>
      <c r="S140" s="59" t="str">
        <f>IF(B140="","",O140*M140)</f>
        <v/>
      </c>
    </row>
    <row r="141">
      <c r="A141" s="7" t="n">
        <v>96</v>
      </c>
      <c r="B141" s="7" t="str">
        <f>IF(A141&gt;$C$38,"",IF(A141&lt;=$C$5,"Básico",IF($C$6&gt;0,"Sucesivo","Opción de compra")))</f>
        <v/>
      </c>
      <c r="C141" s="7" t="str">
        <f>IF(B141="","",IF(B141="Opción de compra",$C$5,A141-$C$7))</f>
        <v/>
      </c>
      <c r="D141" s="77" t="str">
        <f>IF(B141="","",EDATE($C$33,C141))</f>
        <v/>
      </c>
      <c r="E141" s="59" t="str">
        <f>IF(B141="","",I140)</f>
        <v/>
      </c>
      <c r="F141" s="59" t="str">
        <f>IF(B141="","",IF(B141="Básico",$C$24,IF(B141="Sucesivo",$C$25,$C$26)))</f>
        <v/>
      </c>
      <c r="G141" s="59" t="str">
        <f>IF(B141="","",IF(B141="Opción de compra",0,(E141-$C$7*F141)*IF(B141="Sucesivo",$C$11,$C$9)))</f>
        <v/>
      </c>
      <c r="H141" s="59" t="str">
        <f>IF(B141="","",F141-G141)</f>
        <v/>
      </c>
      <c r="I141" s="59" t="str">
        <f>IF(B141="","",E141-H141)</f>
        <v/>
      </c>
      <c r="J141" s="59" t="str">
        <f>IF(B141="","",IF(OR(inp_Tipo="Arrendamiento Puro",par_BaseIVAFin="Sobre renta",B141="Opción de compra"),F141,G141)*$C$14)</f>
        <v/>
      </c>
      <c r="K141" s="59" t="str">
        <f>IF(B141="","",F141+J141)</f>
        <v/>
      </c>
      <c r="L141" s="59" t="str">
        <f>IF(B141="","",F141-IF(A141=$C$38,$C$30,0))</f>
        <v/>
      </c>
      <c r="M141" s="78" t="str">
        <f>IF(B141="","",$C$37*(1+$C$13)^(-C141))</f>
        <v/>
      </c>
      <c r="N141" s="59" t="str">
        <f>IF(B141="","",L141*M141)</f>
        <v/>
      </c>
      <c r="O141" s="59" t="str">
        <f>IF(B141="","",IF(B141="Básico",F141,0)-IF(A141=$C$38,$C$30,0))</f>
        <v/>
      </c>
      <c r="P141" s="77">
        <f>IF(B141="",$C$31,D141)</f>
        <v>46295.0</v>
      </c>
      <c r="Q141" s="59">
        <f>IF(B141="",0,L141)</f>
        <v>0</v>
      </c>
      <c r="R141" s="59">
        <f>IF(B141="",0,-F141)</f>
        <v>0</v>
      </c>
      <c r="S141" s="59" t="str">
        <f>IF(B141="","",O141*M141)</f>
        <v/>
      </c>
    </row>
    <row r="142">
      <c r="A142" s="7" t="n">
        <v>97</v>
      </c>
      <c r="B142" s="7" t="str">
        <f>IF(A142&gt;$C$38,"",IF(A142&lt;=$C$5,"Básico",IF($C$6&gt;0,"Sucesivo","Opción de compra")))</f>
        <v/>
      </c>
      <c r="C142" s="7" t="str">
        <f>IF(B142="","",IF(B142="Opción de compra",$C$5,A142-$C$7))</f>
        <v/>
      </c>
      <c r="D142" s="77" t="str">
        <f>IF(B142="","",EDATE($C$33,C142))</f>
        <v/>
      </c>
      <c r="E142" s="59" t="str">
        <f>IF(B142="","",I141)</f>
        <v/>
      </c>
      <c r="F142" s="59" t="str">
        <f>IF(B142="","",IF(B142="Básico",$C$24,IF(B142="Sucesivo",$C$25,$C$26)))</f>
        <v/>
      </c>
      <c r="G142" s="59" t="str">
        <f>IF(B142="","",IF(B142="Opción de compra",0,(E142-$C$7*F142)*IF(B142="Sucesivo",$C$11,$C$9)))</f>
        <v/>
      </c>
      <c r="H142" s="59" t="str">
        <f>IF(B142="","",F142-G142)</f>
        <v/>
      </c>
      <c r="I142" s="59" t="str">
        <f>IF(B142="","",E142-H142)</f>
        <v/>
      </c>
      <c r="J142" s="59" t="str">
        <f>IF(B142="","",IF(OR(inp_Tipo="Arrendamiento Puro",par_BaseIVAFin="Sobre renta",B142="Opción de compra"),F142,G142)*$C$14)</f>
        <v/>
      </c>
      <c r="K142" s="59" t="str">
        <f>IF(B142="","",F142+J142)</f>
        <v/>
      </c>
      <c r="L142" s="59" t="str">
        <f>IF(B142="","",F142-IF(A142=$C$38,$C$30,0))</f>
        <v/>
      </c>
      <c r="M142" s="78" t="str">
        <f>IF(B142="","",$C$37*(1+$C$13)^(-C142))</f>
        <v/>
      </c>
      <c r="N142" s="59" t="str">
        <f>IF(B142="","",L142*M142)</f>
        <v/>
      </c>
      <c r="O142" s="59" t="str">
        <f>IF(B142="","",IF(B142="Básico",F142,0)-IF(A142=$C$38,$C$30,0))</f>
        <v/>
      </c>
      <c r="P142" s="77">
        <f>IF(B142="",$C$31,D142)</f>
        <v>46295.0</v>
      </c>
      <c r="Q142" s="59">
        <f>IF(B142="",0,L142)</f>
        <v>0</v>
      </c>
      <c r="R142" s="59">
        <f>IF(B142="",0,-F142)</f>
        <v>0</v>
      </c>
      <c r="S142" s="59" t="str">
        <f>IF(B142="","",O142*M142)</f>
        <v/>
      </c>
    </row>
    <row r="143">
      <c r="A143" s="7" t="n">
        <v>98</v>
      </c>
      <c r="B143" s="7" t="str">
        <f>IF(A143&gt;$C$38,"",IF(A143&lt;=$C$5,"Básico",IF($C$6&gt;0,"Sucesivo","Opción de compra")))</f>
        <v/>
      </c>
      <c r="C143" s="7" t="str">
        <f>IF(B143="","",IF(B143="Opción de compra",$C$5,A143-$C$7))</f>
        <v/>
      </c>
      <c r="D143" s="77" t="str">
        <f>IF(B143="","",EDATE($C$33,C143))</f>
        <v/>
      </c>
      <c r="E143" s="59" t="str">
        <f>IF(B143="","",I142)</f>
        <v/>
      </c>
      <c r="F143" s="59" t="str">
        <f>IF(B143="","",IF(B143="Básico",$C$24,IF(B143="Sucesivo",$C$25,$C$26)))</f>
        <v/>
      </c>
      <c r="G143" s="59" t="str">
        <f>IF(B143="","",IF(B143="Opción de compra",0,(E143-$C$7*F143)*IF(B143="Sucesivo",$C$11,$C$9)))</f>
        <v/>
      </c>
      <c r="H143" s="59" t="str">
        <f>IF(B143="","",F143-G143)</f>
        <v/>
      </c>
      <c r="I143" s="59" t="str">
        <f>IF(B143="","",E143-H143)</f>
        <v/>
      </c>
      <c r="J143" s="59" t="str">
        <f>IF(B143="","",IF(OR(inp_Tipo="Arrendamiento Puro",par_BaseIVAFin="Sobre renta",B143="Opción de compra"),F143,G143)*$C$14)</f>
        <v/>
      </c>
      <c r="K143" s="59" t="str">
        <f>IF(B143="","",F143+J143)</f>
        <v/>
      </c>
      <c r="L143" s="59" t="str">
        <f>IF(B143="","",F143-IF(A143=$C$38,$C$30,0))</f>
        <v/>
      </c>
      <c r="M143" s="78" t="str">
        <f>IF(B143="","",$C$37*(1+$C$13)^(-C143))</f>
        <v/>
      </c>
      <c r="N143" s="59" t="str">
        <f>IF(B143="","",L143*M143)</f>
        <v/>
      </c>
      <c r="O143" s="59" t="str">
        <f>IF(B143="","",IF(B143="Básico",F143,0)-IF(A143=$C$38,$C$30,0))</f>
        <v/>
      </c>
      <c r="P143" s="77">
        <f>IF(B143="",$C$31,D143)</f>
        <v>46295.0</v>
      </c>
      <c r="Q143" s="59">
        <f>IF(B143="",0,L143)</f>
        <v>0</v>
      </c>
      <c r="R143" s="59">
        <f>IF(B143="",0,-F143)</f>
        <v>0</v>
      </c>
      <c r="S143" s="59" t="str">
        <f>IF(B143="","",O143*M143)</f>
        <v/>
      </c>
    </row>
  </sheetData>
  <sheetProtection selectLockedCells="0" selectUnlockedCells="0" sheet="1" objects="0" insertRows="1" insertHyperlinks="1" autoFilter="1" scenarios="0" formatColumns="0" deleteColumns="1" insertColumns="1" pivotTables="1" deleteRows="1" formatCells="1" formatRows="0" sort="1"/>
  <mergeCells count="21">
    <mergeCell ref="E26:I32"/>
    <mergeCell ref="E16:H16"/>
    <mergeCell ref="E7:H7"/>
    <mergeCell ref="E22:H22"/>
    <mergeCell ref="E18:H18"/>
    <mergeCell ref="E12:H12"/>
    <mergeCell ref="E21:H21"/>
    <mergeCell ref="E5:H5"/>
    <mergeCell ref="E14:H14"/>
    <mergeCell ref="E17:H17"/>
    <mergeCell ref="E23:H23"/>
    <mergeCell ref="E8:H8"/>
    <mergeCell ref="E4:H4"/>
    <mergeCell ref="E20:H20"/>
    <mergeCell ref="E19:H19"/>
    <mergeCell ref="E10:H10"/>
    <mergeCell ref="E13:H13"/>
    <mergeCell ref="E9:H9"/>
    <mergeCell ref="E6:H6"/>
    <mergeCell ref="E15:H15"/>
    <mergeCell ref="E11:H11"/>
  </mergeCells>
  <conditionalFormatting sqref="A46:S143">
    <cfRule type="expression" priority="1" dxfId="5">
      <formula>$B46="Sucesivo"</formula>
    </cfRule>
    <cfRule type="expression" priority="2" dxfId="5">
      <formula>$B46="Opción de compra"</formula>
    </cfRule>
  </conditionalFormatting>
  <pageMargins left="0.75" right="0.75" top="1" bottom="1" header="0.5" footer="0.5"/>
  <pageSetup orientation="landscape" fitToHeight="0" fitToWidth="1"/>
</worksheet>
</file>

<file path=xl/worksheets/sheet11.xml><?xml version="1.0" encoding="utf-8"?>
<worksheet xmlns="http://schemas.openxmlformats.org/spreadsheetml/2006/main">
  <sheetPr codeName="Hoja11">
    <tabColor rgb="00808080"/>
    <outlinePr summaryBelow="1" summaryRight="1"/>
    <pageSetUpPr fitToPage="1"/>
  </sheetPr>
  <dimension ref="B1:O49"/>
  <sheetViews>
    <sheetView showGridLines="0" workbookViewId="0">
      <pane ySplit="3" topLeftCell="A4" activePane="bottomLeft" state="frozen"/>
      <selection pane="bottomLeft" activeCell="A1" sqref="A1"/>
    </sheetView>
  </sheetViews>
  <sheetFormatPr baseColWidth="8" defaultRowHeight="15"/>
  <cols>
    <col width="2" customWidth="1" min="1" max="1"/>
    <col width="46" customWidth="1" min="2" max="2"/>
    <col width="22" customWidth="1" min="3" max="3"/>
    <col width="14" customWidth="1" min="4" max="4"/>
    <col width="14" customWidth="1" min="5" max="5"/>
    <col width="14" customWidth="1" min="6" max="6"/>
    <col width="3" customWidth="1" min="7" max="7"/>
    <col width="30" customWidth="1" min="8" max="8"/>
    <col width="24" customWidth="1" min="9" max="9"/>
    <col width="20" customWidth="1" min="10" max="10"/>
    <col width="14" customWidth="1" min="11" max="11"/>
    <col width="10" customWidth="1" min="12" max="12"/>
    <col width="14" customWidth="1" min="13" max="13"/>
    <col width="16" customWidth="1" min="14" max="14"/>
    <col width="18" customWidth="1" min="15" max="15"/>
    <col width="3" customWidth="1" min="16" max="16"/>
  </cols>
  <sheetData>
    <row r="1">
      <c r="B1" s="11" t="inlineStr">
        <is>
          <t>CONFIGURACIÓN DEL COTIZADOR</t>
        </is>
      </c>
    </row>
    <row r="2">
      <c r="B2" s="2" t="inlineStr">
        <is>
          <t>Solo el administrador debe modificar esta hoja. Las celdas amarillas son editables.</t>
        </is>
      </c>
    </row>
    <row r="3" ht="20" customHeight="1">
      <c r="B3" s="3" t="inlineStr">
        <is>
          <t>DATOS DE LA EMPRESA Y PARÁMETROS</t>
        </is>
      </c>
      <c r="C3" s="3" t="n"/>
      <c r="D3" s="3" t="n"/>
      <c r="E3" s="3" t="n"/>
      <c r="F3" s="3" t="n"/>
      <c r="H3" s="3" t="inlineStr">
        <is>
          <t>LISTAS DESPLEGABLES</t>
        </is>
      </c>
      <c r="I3" s="3" t="n"/>
      <c r="J3" s="3" t="n"/>
      <c r="K3" s="3" t="n"/>
      <c r="L3" s="3" t="n"/>
      <c r="M3" s="3" t="n"/>
      <c r="N3" s="3" t="n"/>
      <c r="O3" s="3" t="n"/>
    </row>
    <row r="4">
      <c r="B4" s="7" t="inlineStr">
        <is>
          <t>Razón social del arrendador</t>
        </is>
      </c>
      <c r="C4" s="14" t="inlineStr">
        <is>
          <t>SOFOPLUS, S.A.P.I. DE C.V., E.R.</t>
        </is>
      </c>
      <c r="D4" s="15" t="n"/>
      <c r="E4" s="15" t="n"/>
      <c r="F4" s="16" t="n"/>
      <c r="H4" s="23" t="inlineStr">
        <is>
          <t>Promotores</t>
        </is>
      </c>
      <c r="I4" s="23" t="inlineStr">
        <is>
          <t>Tipo de arrendamiento</t>
        </is>
      </c>
      <c r="J4" s="23" t="inlineStr">
        <is>
          <t>Moneda</t>
        </is>
      </c>
      <c r="K4" s="23" t="inlineStr">
        <is>
          <t>Modalidad</t>
        </is>
      </c>
      <c r="L4" s="23" t="inlineStr">
        <is>
          <t>Sí / No</t>
        </is>
      </c>
      <c r="M4" s="23" t="inlineStr">
        <is>
          <t>Forma de pago</t>
        </is>
      </c>
      <c r="N4" s="23" t="inlineStr">
        <is>
          <t>Base IVA financiero</t>
        </is>
      </c>
      <c r="O4" s="23" t="inlineStr">
        <is>
          <t>Estatus</t>
        </is>
      </c>
    </row>
    <row r="5">
      <c r="B5" s="7" t="inlineStr">
        <is>
          <t>Nombre comercial</t>
        </is>
      </c>
      <c r="C5" s="14" t="inlineStr">
        <is>
          <t>SOFOPLUS</t>
        </is>
      </c>
      <c r="D5" s="15" t="n"/>
      <c r="E5" s="15" t="n"/>
      <c r="F5" s="16" t="n"/>
      <c r="H5" s="14" t="inlineStr">
        <is>
          <t>NOMBRE DEL PROMOTOR</t>
        </is>
      </c>
      <c r="I5" s="66" t="inlineStr">
        <is>
          <t>Arrendamiento Puro</t>
        </is>
      </c>
      <c r="J5" s="66" t="inlineStr">
        <is>
          <t>Moneda Nacional</t>
        </is>
      </c>
      <c r="K5" s="66" t="inlineStr">
        <is>
          <t>Anticipado</t>
        </is>
      </c>
      <c r="L5" s="66" t="inlineStr">
        <is>
          <t>Sí</t>
        </is>
      </c>
      <c r="M5" s="66" t="inlineStr">
        <is>
          <t>Financiado</t>
        </is>
      </c>
      <c r="N5" s="66" t="inlineStr">
        <is>
          <t>Sobre renta</t>
        </is>
      </c>
      <c r="O5" s="66" t="inlineStr">
        <is>
          <t>Enviada</t>
        </is>
      </c>
    </row>
    <row r="6">
      <c r="B6" s="7" t="inlineStr">
        <is>
          <t>Domicilio (línea 1)</t>
        </is>
      </c>
      <c r="C6" s="14" t="inlineStr">
        <is>
          <t>Paseo de los Tamarindos No. 90 Piso 24 Torre 1</t>
        </is>
      </c>
      <c r="D6" s="15" t="n"/>
      <c r="E6" s="15" t="n"/>
      <c r="F6" s="16" t="n"/>
      <c r="H6" s="14" t="n"/>
      <c r="I6" s="66" t="inlineStr">
        <is>
          <t>Arrendamiento Financiero</t>
        </is>
      </c>
      <c r="J6" s="66" t="inlineStr">
        <is>
          <t>Dólares Americanos</t>
        </is>
      </c>
      <c r="K6" s="66" t="inlineStr">
        <is>
          <t>Vencido</t>
        </is>
      </c>
      <c r="L6" s="66" t="inlineStr">
        <is>
          <t>No</t>
        </is>
      </c>
      <c r="M6" s="66" t="inlineStr">
        <is>
          <t>Contado</t>
        </is>
      </c>
      <c r="N6" s="66" t="inlineStr">
        <is>
          <t>Sobre intereses</t>
        </is>
      </c>
      <c r="O6" s="66" t="inlineStr">
        <is>
          <t>En seguimiento</t>
        </is>
      </c>
    </row>
    <row r="7">
      <c r="B7" s="7" t="inlineStr">
        <is>
          <t>Domicilio (línea 2)</t>
        </is>
      </c>
      <c r="C7" s="14" t="inlineStr">
        <is>
          <t>Col. Bosques de las Lomas</t>
        </is>
      </c>
      <c r="D7" s="15" t="n"/>
      <c r="E7" s="15" t="n"/>
      <c r="F7" s="16" t="n"/>
      <c r="H7" s="14" t="n"/>
      <c r="O7" s="66" t="inlineStr">
        <is>
          <t>Aceptada</t>
        </is>
      </c>
    </row>
    <row r="8">
      <c r="B8" s="7" t="inlineStr">
        <is>
          <t>Domicilio (línea 3)</t>
        </is>
      </c>
      <c r="C8" s="14" t="inlineStr">
        <is>
          <t>CDMX, C.P. 05120</t>
        </is>
      </c>
      <c r="D8" s="15" t="n"/>
      <c r="E8" s="15" t="n"/>
      <c r="F8" s="16" t="n"/>
      <c r="H8" s="14" t="n"/>
      <c r="O8" s="66" t="inlineStr">
        <is>
          <t>Rechazada</t>
        </is>
      </c>
    </row>
    <row r="9">
      <c r="B9" s="7" t="inlineStr">
        <is>
          <t>Ciudad para la fecha de la carta</t>
        </is>
      </c>
      <c r="C9" s="14" t="inlineStr">
        <is>
          <t>Ciudad de México</t>
        </is>
      </c>
      <c r="D9" s="15" t="n"/>
      <c r="E9" s="15" t="n"/>
      <c r="F9" s="16" t="n"/>
      <c r="H9" s="14" t="n"/>
      <c r="O9" s="66" t="inlineStr">
        <is>
          <t>Vencida</t>
        </is>
      </c>
    </row>
    <row r="10">
      <c r="B10" s="7" t="inlineStr">
        <is>
          <t>Teléfono / correo / web (pie de carta)</t>
        </is>
      </c>
      <c r="C10" s="14" t="inlineStr"/>
      <c r="D10" s="15" t="n"/>
      <c r="E10" s="15" t="n"/>
      <c r="F10" s="16" t="n"/>
      <c r="H10" s="14" t="n"/>
    </row>
    <row r="11">
      <c r="B11" s="7" t="inlineStr">
        <is>
          <t>Tasa de IVA</t>
        </is>
      </c>
      <c r="C11" s="22" t="n">
        <v>0.16</v>
      </c>
      <c r="D11" s="15" t="n"/>
      <c r="E11" s="15" t="n"/>
      <c r="F11" s="16" t="n"/>
      <c r="H11" s="14" t="n"/>
    </row>
    <row r="12">
      <c r="B12" s="7" t="inlineStr">
        <is>
          <t>Tasa de fondeo anual (valor por defecto)</t>
        </is>
      </c>
      <c r="C12" s="22" t="n">
        <v>0.205</v>
      </c>
      <c r="D12" s="15" t="n"/>
      <c r="E12" s="15" t="n"/>
      <c r="F12" s="16" t="n"/>
      <c r="H12" s="14" t="n"/>
    </row>
    <row r="13">
      <c r="B13" s="7" t="inlineStr">
        <is>
          <t>Cash margin mínimo objetivo (% del monto financiado)</t>
        </is>
      </c>
      <c r="C13" s="22" t="n">
        <v>0.08</v>
      </c>
      <c r="D13" s="15" t="n"/>
      <c r="E13" s="15" t="n"/>
      <c r="F13" s="16" t="n"/>
      <c r="H13" s="14" t="n"/>
    </row>
    <row r="14">
      <c r="B14" s="7" t="inlineStr">
        <is>
          <t>Vigencia de la propuesta (días hábiles)</t>
        </is>
      </c>
      <c r="C14" s="53" t="n">
        <v>5</v>
      </c>
      <c r="D14" s="15" t="n"/>
      <c r="E14" s="15" t="n"/>
      <c r="F14" s="16" t="n"/>
      <c r="H14" s="14" t="n"/>
    </row>
    <row r="15">
      <c r="B15" s="7" t="inlineStr">
        <is>
          <t>Base de días para costo de fondeo diario</t>
        </is>
      </c>
      <c r="C15" s="53" t="n">
        <v>360</v>
      </c>
      <c r="D15" s="15" t="n"/>
      <c r="E15" s="15" t="n"/>
      <c r="F15" s="16" t="n"/>
      <c r="H15" s="14" t="n"/>
    </row>
    <row r="16">
      <c r="B16" s="7" t="inlineStr">
        <is>
          <t>IVA en arrendamiento financiero</t>
        </is>
      </c>
      <c r="C16" s="14" t="inlineStr">
        <is>
          <t>Sobre renta</t>
        </is>
      </c>
      <c r="D16" s="15" t="n"/>
      <c r="E16" s="15" t="n"/>
      <c r="F16" s="16" t="n"/>
      <c r="H16" s="14" t="n"/>
    </row>
    <row r="17">
      <c r="B17" s="7" t="inlineStr">
        <is>
          <t>Prefijo del folio</t>
        </is>
      </c>
      <c r="C17" s="14" t="inlineStr">
        <is>
          <t>COT-</t>
        </is>
      </c>
      <c r="D17" s="15" t="n"/>
      <c r="E17" s="15" t="n"/>
      <c r="F17" s="16" t="n"/>
      <c r="H17" s="14" t="n"/>
    </row>
    <row r="18">
      <c r="B18" s="7" t="inlineStr">
        <is>
          <t>Último consecutivo utilizado (lo actualiza la macro)</t>
        </is>
      </c>
      <c r="C18" s="53" t="n">
        <v>0</v>
      </c>
      <c r="D18" s="15" t="n"/>
      <c r="E18" s="15" t="n"/>
      <c r="F18" s="16" t="n"/>
      <c r="H18" s="14" t="n"/>
    </row>
    <row r="19">
      <c r="B19" s="7" t="inlineStr">
        <is>
          <t>Carpeta para PDF (vacío = carpeta del archivo)</t>
        </is>
      </c>
      <c r="C19" s="14" t="inlineStr"/>
      <c r="D19" s="15" t="n"/>
      <c r="E19" s="15" t="n"/>
      <c r="F19" s="16" t="n"/>
      <c r="H19" s="14" t="n"/>
    </row>
    <row r="20">
      <c r="B20" s="7" t="inlineStr">
        <is>
          <t>Correo con copia (CC) al enviar cotizaciones</t>
        </is>
      </c>
      <c r="C20" s="14" t="inlineStr"/>
      <c r="D20" s="15" t="n"/>
      <c r="E20" s="15" t="n"/>
      <c r="F20" s="16" t="n"/>
      <c r="H20" s="14" t="n"/>
    </row>
    <row r="21">
      <c r="H21" s="14" t="n"/>
    </row>
    <row r="22" ht="20" customHeight="1">
      <c r="B22" s="3" t="inlineStr">
        <is>
          <t>VALORES POR DEFECTO PARA UNA NUEVA COTIZACIÓN</t>
        </is>
      </c>
      <c r="C22" s="30" t="inlineStr">
        <is>
          <t>Escenario 1</t>
        </is>
      </c>
      <c r="D22" s="30" t="inlineStr">
        <is>
          <t>Escenario 2</t>
        </is>
      </c>
      <c r="E22" s="30" t="inlineStr">
        <is>
          <t>Escenario 3</t>
        </is>
      </c>
      <c r="F22" s="30" t="inlineStr">
        <is>
          <t>Escenario 4</t>
        </is>
      </c>
      <c r="H22" s="14" t="n"/>
    </row>
    <row r="23">
      <c r="B23" s="7" t="inlineStr">
        <is>
          <t>Plazo básico (meses)</t>
        </is>
      </c>
      <c r="C23" s="53" t="n">
        <v>24</v>
      </c>
      <c r="D23" s="53" t="n">
        <v>36</v>
      </c>
      <c r="E23" s="53" t="n">
        <v>48</v>
      </c>
      <c r="F23" s="53" t="n">
        <v>60</v>
      </c>
      <c r="H23" s="14" t="n"/>
    </row>
    <row r="24">
      <c r="B24" s="7" t="inlineStr">
        <is>
          <t>Plazo sucesivo (meses, 0 = opción de compra)</t>
        </is>
      </c>
      <c r="C24" s="53" t="n">
        <v>1</v>
      </c>
      <c r="D24" s="53" t="n">
        <v>1</v>
      </c>
      <c r="E24" s="53" t="n">
        <v>1</v>
      </c>
      <c r="F24" s="53" t="n">
        <v>1</v>
      </c>
      <c r="H24" s="14" t="n"/>
    </row>
    <row r="25">
      <c r="B25" s="7" t="inlineStr">
        <is>
          <t>Tasa anual plazo básico</t>
        </is>
      </c>
      <c r="C25" s="22" t="n">
        <v>0.17</v>
      </c>
      <c r="D25" s="22" t="n">
        <v>0.17</v>
      </c>
      <c r="E25" s="22" t="n">
        <v>0.17</v>
      </c>
      <c r="F25" s="22" t="n">
        <v>0.17</v>
      </c>
    </row>
    <row r="26">
      <c r="B26" s="7" t="inlineStr">
        <is>
          <t>Tasa anual plazo sucesivo</t>
        </is>
      </c>
      <c r="C26" s="22" t="n">
        <v>0.17</v>
      </c>
      <c r="D26" s="22" t="n">
        <v>0.17</v>
      </c>
      <c r="E26" s="22" t="n">
        <v>0.17</v>
      </c>
      <c r="F26" s="22" t="n">
        <v>0.17</v>
      </c>
      <c r="H26" s="10" t="inlineStr">
        <is>
          <t>Agregue o quite promotores en la lista amarilla.</t>
        </is>
      </c>
    </row>
    <row r="27">
      <c r="B27" s="7" t="inlineStr">
        <is>
          <t>Enganche (% del valor)</t>
        </is>
      </c>
      <c r="C27" s="22" t="n">
        <v>0.05</v>
      </c>
      <c r="D27" s="22" t="n">
        <v>0.05</v>
      </c>
      <c r="E27" s="22" t="n">
        <v>0.05</v>
      </c>
      <c r="F27" s="22" t="n">
        <v>0.05</v>
      </c>
    </row>
    <row r="28">
      <c r="B28" s="7" t="inlineStr">
        <is>
          <t>Valor residual (% del valor)</t>
        </is>
      </c>
      <c r="C28" s="22" t="n">
        <v>0.05</v>
      </c>
      <c r="D28" s="22" t="n">
        <v>0.05</v>
      </c>
      <c r="E28" s="22" t="n">
        <v>0.05</v>
      </c>
      <c r="F28" s="22" t="n">
        <v>0.05</v>
      </c>
    </row>
    <row r="29">
      <c r="B29" s="7" t="inlineStr">
        <is>
          <t>Comisión por apertura (% del valor)</t>
        </is>
      </c>
      <c r="C29" s="22" t="n">
        <v>0.008</v>
      </c>
      <c r="D29" s="22" t="n">
        <v>0.008</v>
      </c>
      <c r="E29" s="22" t="n">
        <v>0.008</v>
      </c>
      <c r="F29" s="22" t="n">
        <v>0.008</v>
      </c>
    </row>
    <row r="30">
      <c r="B30" s="7" t="inlineStr">
        <is>
          <t>Depósito en garantía (# rentas con IVA)</t>
        </is>
      </c>
      <c r="C30" s="79" t="n">
        <v>1</v>
      </c>
      <c r="D30" s="79" t="n">
        <v>1</v>
      </c>
      <c r="E30" s="79" t="n">
        <v>1</v>
      </c>
      <c r="F30" s="79" t="n">
        <v>1</v>
      </c>
    </row>
    <row r="31">
      <c r="B31" s="7" t="inlineStr">
        <is>
          <t>Tipo de arrendamiento</t>
        </is>
      </c>
      <c r="C31" s="14" t="inlineStr">
        <is>
          <t>Arrendamiento Puro</t>
        </is>
      </c>
    </row>
    <row r="32">
      <c r="B32" s="7" t="inlineStr">
        <is>
          <t>Moneda</t>
        </is>
      </c>
      <c r="C32" s="14" t="inlineStr">
        <is>
          <t>Moneda Nacional</t>
        </is>
      </c>
    </row>
    <row r="33">
      <c r="B33" s="7" t="inlineStr">
        <is>
          <t>Modalidad de pago</t>
        </is>
      </c>
      <c r="C33" s="14" t="inlineStr">
        <is>
          <t>Anticipado</t>
        </is>
      </c>
    </row>
    <row r="35" ht="20" customHeight="1">
      <c r="B35" s="3" t="inlineStr">
        <is>
          <t>TEXTOS DE LA CARTA (use {ARRENDADOR} y {VIGENCIA} como comodines)</t>
        </is>
      </c>
      <c r="C35" s="3" t="n"/>
      <c r="D35" s="3" t="n"/>
      <c r="E35" s="3" t="n"/>
      <c r="F35" s="3" t="n"/>
    </row>
    <row r="36" ht="25" customHeight="1">
      <c r="B36" s="50" t="inlineStr">
        <is>
          <t>Gastos de Ratificación:</t>
        </is>
      </c>
      <c r="C36" s="80" t="inlineStr">
        <is>
          <t>Dependiendo de la ciudad, pagaderos (MXN) por cada Anexo de Arrendamiento.</t>
        </is>
      </c>
      <c r="D36" s="15" t="n"/>
      <c r="E36" s="15" t="n"/>
      <c r="F36" s="16" t="n"/>
    </row>
    <row r="37" ht="287.5" customHeight="1">
      <c r="B37" s="50" t="inlineStr">
        <is>
          <t>Opciones al Término del Contrato:</t>
        </is>
      </c>
      <c r="C37" s="80" t="inlineStr">
        <is>
          <t>Al concluir el Plazo Básico, o cualquier extensión del mismo, de cada Anexo de Arrendamiento, y siempre y cuando el Arrendatario se encuentre al corriente en el cumplimiento de todas y cada una de las obligaciones que del Arrendamiento Maestro, así como cualesquiera Anexo de Arrendamiento le imponen, este último tendrá derecho preferente para adquirir la totalidad (pero no menos que la totalidad) del Equipo materia del arrendamiento instrumentado en el Anexo de arrendamiento de que se trate. Si el Arrendatario no ejerce su derecho de preferencia mencionado en el párrafo anterior, el Arrendatario deberá, a su costo, desinstalar, re empaquetar y devolver el equipo (no menos que todo) al Arrendador en su domicilio, o el lugar y fecha que este último le indique por escrito para tal efecto, en el estado y condiciones en que el Arrendatario lo hubiese recibido, sin mayor desgaste que el normalmente derivado de su uso o deterioro normal. En caso de que el Equipo no fuese devuelto en la fecha a que se refiere el párrafo anterior, el plazo del arrendamiento respectivo se prorrogará automáticamente trimestralmente hasta la devolución respectiva, en la inteligencia de que las prórrogas correspondientes se considerarán forzosas para efectos del arrendamiento y durante la vigencia de cada una de ellas el Arrendatario se obliga a pagar al Arrendador una cantidad igual al Pago Periódico correspondiente. La totalidad de impuestos, derechos, contribuciones o gastos de cualquier naturaleza que se ocasionen con motivo de la adquisición del Equipo, serán a cargo del Arrendatario.</t>
        </is>
      </c>
      <c r="D37" s="15" t="n"/>
      <c r="E37" s="15" t="n"/>
      <c r="F37" s="16" t="n"/>
    </row>
    <row r="38" ht="50" customHeight="1">
      <c r="B38" s="50" t="inlineStr">
        <is>
          <t>1.- Compra del Equipo:</t>
        </is>
      </c>
      <c r="C38" s="80" t="inlineStr">
        <is>
          <t>Anticipamos que el Arrendatario enviará al proveedor del equipo su orden de compra. El Arrendador asumirá el pago de la orden de compra del Arrendatario, lo anterior condicionado a que el Arrendatario rente el equipo del Arrendador.</t>
        </is>
      </c>
      <c r="D38" s="15" t="n"/>
      <c r="E38" s="15" t="n"/>
      <c r="F38" s="16" t="n"/>
    </row>
    <row r="39" ht="25" customHeight="1">
      <c r="B39" s="50" t="inlineStr">
        <is>
          <t>2.- Beneficios Fiscales:</t>
        </is>
      </c>
      <c r="C39" s="80" t="inlineStr">
        <is>
          <t>El Arrendador deberá ser considerado como el dueño del equipo para los efectos fiscales correspondientes.</t>
        </is>
      </c>
      <c r="D39" s="15" t="n"/>
      <c r="E39" s="15" t="n"/>
      <c r="F39" s="16" t="n"/>
    </row>
    <row r="40" ht="187.5" customHeight="1">
      <c r="B40" s="50" t="inlineStr">
        <is>
          <t>3.- Arrendamiento Neto:</t>
        </is>
      </c>
      <c r="C40" s="80" t="inlineStr">
        <is>
          <t>El Arrendatario conviene en que su obligación de pagar la Renta, mediante los Pagos Periódicos, y otras cantidades que sean pagaderas conforme al presente, será absoluta e incondicional, y no estará sujeta a reducciones de ninguna clase, incluyendo sin limitación alguna, reducciones por causa de cualquier demanda pasada, presente o futura que sea consecuencia de este Arrendamiento, cualquier Anexo de Arrendamiento o por cualquier otra razón, o en contra del fabricante, proveedor o constructor del Equipo o en contra de cualquier otra persona física o persona moral. El Arrendatario es responsable por todos los gastos de mantenimiento, seguro e impuestos relativos a la compra, renta, posesión y uso del equipo excepto por el Impuesto al Valor Agregado y gastos de importación correspondientes a la compra e importación del Equipo, siendo estos últimos parte del costo del Equipo. El Arrendatario también es responsable del Impuesto al Valor Agregado de las rentas, excluyendo el impuesto sobre la renta a cargo del Arrendador.</t>
        </is>
      </c>
      <c r="D40" s="15" t="n"/>
      <c r="E40" s="15" t="n"/>
      <c r="F40" s="16" t="n"/>
    </row>
    <row r="41" ht="50" customHeight="1">
      <c r="B41" s="50" t="inlineStr">
        <is>
          <t>4.- Moneda:</t>
        </is>
      </c>
      <c r="C41" s="80" t="inlineStr">
        <is>
          <t>Todos los pagos por concepto de arrendamiento están expresados en la moneda descrita en el tipo de operación así como cualquier otra cantidad que deba ser pagada al Arrendador de acuerdo a la documentación (incluyendo sin limitación alguna costos y gastos).</t>
        </is>
      </c>
      <c r="D41" s="15" t="n"/>
      <c r="E41" s="15" t="n"/>
      <c r="F41" s="16" t="n"/>
    </row>
    <row r="42" ht="100" customHeight="1">
      <c r="B42" s="50" t="inlineStr">
        <is>
          <t>5.- Mantenimiento y Seguro:</t>
        </is>
      </c>
      <c r="C42" s="80" t="inlineStr">
        <is>
          <t>Todos los mantenimientos y seguros de los equipos serán responsabilidad del Arrendatario durante todo el tiempo que dure el Plazo Básico, o cualquier extensión del mismo establecido en cualesquiera de los Anexos de arrendamiento. El Arrendatario deberá contratar el seguro por los montos y compañía de seguros aceptable al Arrendador y de acuerdo a disponibilidad de coberturas ofrecidas en México. El Arrendatario deberá enviar al Arrendador copia de las pólizas o certificados de seguro como evidencia de la cobertura.</t>
        </is>
      </c>
      <c r="D42" s="15" t="n"/>
      <c r="E42" s="15" t="n"/>
      <c r="F42" s="16" t="n"/>
    </row>
    <row r="43" ht="37.5" customHeight="1">
      <c r="B43" s="50" t="inlineStr">
        <is>
          <t>6.- Caducidad:</t>
        </is>
      </c>
      <c r="C43" s="80" t="inlineStr">
        <is>
          <t>La presente propuesta, sus términos y condiciones expiran {VIGENCIA} días hábiles posteriores a la fecha aquí marcada, si {ARRENDADOR} no recibe aceptación por escrito de la misma.</t>
        </is>
      </c>
      <c r="D43" s="15" t="n"/>
      <c r="E43" s="15" t="n"/>
      <c r="F43" s="16" t="n"/>
    </row>
    <row r="44" ht="75" customHeight="1">
      <c r="B44" s="50" t="inlineStr">
        <is>
          <t>7.- Cambio Material Adverso:</t>
        </is>
      </c>
      <c r="C44" s="80" t="inlineStr">
        <is>
          <t>La presente propuesta está sujeta a que no suceda ningún Cambio Material Adverso que pueda afectar negativamente los términos y condiciones presentados, entendiéndose por cambio material adverso cualquier alteración en las condiciones macroeconómicas, microeconómicas y sociopolíticas del País, liberando por tanto el Arrendatario a el Arrendador de cualquier responsabilidad a este efecto.</t>
        </is>
      </c>
      <c r="D44" s="15" t="n"/>
      <c r="E44" s="15" t="n"/>
      <c r="F44" s="16" t="n"/>
    </row>
    <row r="45" ht="37.5" customHeight="1">
      <c r="B45" s="50" t="inlineStr">
        <is>
          <t>8.- Confidencialidad:</t>
        </is>
      </c>
      <c r="C45" s="80" t="inlineStr">
        <is>
          <t>La presente propuesta solo podrá ser vista y analizada por el personal de la Arrendataria y aquellas personas que formen parte del proceso de autorización de esta propuesta.</t>
        </is>
      </c>
      <c r="D45" s="15" t="n"/>
      <c r="E45" s="15" t="n"/>
      <c r="F45" s="16" t="n"/>
    </row>
    <row r="46" ht="62.5" customHeight="1">
      <c r="B46" s="50" t="inlineStr">
        <is>
          <t>9.- Riesgo Cambiario:</t>
        </is>
      </c>
      <c r="C46" s="80" t="inlineStr">
        <is>
          <t>{ARRENDADOR} no asume ninguna responsabilidad derivada por cualquier variación al tipo de cambio al momento del pago al proveedor, obligándose el Arrendatario a pagar al Arrendador previo pago al proveedor, cualquier diferencia que pudiera existir con relación al tipo de cambio estimado para el cierre de la operación de arrendamiento.</t>
        </is>
      </c>
      <c r="D46" s="15" t="n"/>
      <c r="E46" s="15" t="n"/>
      <c r="F46" s="16" t="n"/>
    </row>
    <row r="47" ht="50" customHeight="1">
      <c r="B47" s="50" t="inlineStr">
        <is>
          <t>10.- Renta Proporcional:</t>
        </is>
      </c>
      <c r="C47" s="80" t="inlineStr">
        <is>
          <t>El Arrendatario se obliga a pagar una contraprestación por concepto de renta proporcional, misma que se genere por los días que transcurran entre la fecha de pago al proveedor y la fecha de inicio del plazo del arrendamiento.</t>
        </is>
      </c>
      <c r="D47" s="15" t="n"/>
      <c r="E47" s="15" t="n"/>
      <c r="F47" s="16" t="n"/>
    </row>
    <row r="48" ht="75" customHeight="1">
      <c r="B48" s="50" t="inlineStr">
        <is>
          <t>11.- Autorización:</t>
        </is>
      </c>
      <c r="C48" s="80" t="inlineStr">
        <is>
          <t>La autorización de la presente propuesta está sujeta a que el departamento de crédito y legal de {ARRENDADOR} la aprueben mediante los procesos internos establecidos y la celebración de la documentación correspondiente, por lo que ninguna de las partes involucradas estará legalmente comprometida con la otra por causa de esta propuesta, ni se generará ningún derecho, responsabilidad u obligación como resultado de la misma.</t>
        </is>
      </c>
      <c r="D48" s="15" t="n"/>
      <c r="E48" s="15" t="n"/>
      <c r="F48" s="16" t="n"/>
    </row>
    <row r="49" ht="25" customHeight="1">
      <c r="B49" s="50" t="inlineStr">
        <is>
          <t>Cierre:</t>
        </is>
      </c>
      <c r="C49" s="80" t="inlineStr">
        <is>
          <t>Agradecemos de antemano el favorecernos con su decisión, esperando tener noticias de usted a la brevedad posible.</t>
        </is>
      </c>
      <c r="D49" s="15" t="n"/>
      <c r="E49" s="15" t="n"/>
      <c r="F49" s="16" t="n"/>
    </row>
  </sheetData>
  <mergeCells count="31">
    <mergeCell ref="C48:F48"/>
    <mergeCell ref="C17:F17"/>
    <mergeCell ref="C39:F39"/>
    <mergeCell ref="C8:F8"/>
    <mergeCell ref="C7:F7"/>
    <mergeCell ref="C38:F38"/>
    <mergeCell ref="C19:F19"/>
    <mergeCell ref="C37:F37"/>
    <mergeCell ref="C13:F13"/>
    <mergeCell ref="C18:F18"/>
    <mergeCell ref="C49:F49"/>
    <mergeCell ref="C6:F6"/>
    <mergeCell ref="C15:F15"/>
    <mergeCell ref="C5:F5"/>
    <mergeCell ref="C42:F42"/>
    <mergeCell ref="C14:F14"/>
    <mergeCell ref="C45:F45"/>
    <mergeCell ref="C4:F4"/>
    <mergeCell ref="C20:F20"/>
    <mergeCell ref="C16:F16"/>
    <mergeCell ref="C10:F10"/>
    <mergeCell ref="C41:F41"/>
    <mergeCell ref="C47:F47"/>
    <mergeCell ref="C44:F44"/>
    <mergeCell ref="C40:F40"/>
    <mergeCell ref="C9:F9"/>
    <mergeCell ref="C43:F43"/>
    <mergeCell ref="C12:F12"/>
    <mergeCell ref="C46:F46"/>
    <mergeCell ref="C11:F11"/>
    <mergeCell ref="C36:F36"/>
  </mergeCells>
  <dataValidations count="4">
    <dataValidation sqref="C16" showDropDown="0" showInputMessage="0" showErrorMessage="0" allowBlank="1" errorTitle="Valor no válido" error="Seleccione un valor de la lista." type="list">
      <formula1>=lst_BaseIVA</formula1>
    </dataValidation>
    <dataValidation sqref="C31" showDropDown="0" showInputMessage="0" showErrorMessage="0" allowBlank="1" errorTitle="Valor no válido" error="Seleccione un valor de la lista." type="list">
      <formula1>=lst_Tipo</formula1>
    </dataValidation>
    <dataValidation sqref="C32" showDropDown="0" showInputMessage="0" showErrorMessage="0" allowBlank="1" errorTitle="Valor no válido" error="Seleccione un valor de la lista." type="list">
      <formula1>=lst_Moneda</formula1>
    </dataValidation>
    <dataValidation sqref="C33" showDropDown="0" showInputMessage="0" showErrorMessage="0" allowBlank="1" errorTitle="Valor no válido" error="Seleccione un valor de la lista." type="list">
      <formula1>=lst_Modalidad</formula1>
    </dataValidation>
  </dataValidations>
  <pageMargins left="0.75" right="0.75" top="1" bottom="1" header="0.5" footer="0.5"/>
  <pageSetup orientation="landscape" paperSize="1" fitToHeight="0" fitToWidth="1"/>
  <legacyDrawing xmlns:r="http://schemas.openxmlformats.org/officeDocument/2006/relationships" r:id="anysvml"/>
</worksheet>
</file>

<file path=customUI/customUI.xml><?xml version="1.0" encoding="utf-8"?>
<customUI xmlns="http://schemas.microsoft.com/office/2006/01/customui">
  <ribbon>
    <tabs>
      <tab id="tabCotizador" label="Cotizador Arrendamiento" insertAfterMso="TabHome">
        <group id="gCot" label="Cotización">
          <button id="bNueva" label="Nueva cotización" size="large" imageMso="FileNew" onAction="rbNueva" screentip="Limpia la captura y asigna folio (Ctrl+Shift+N)"/>
          <button id="bGuardar" label="Guardar en historial" size="large" imageMso="FileSave" onAction="rbGuardar" screentip="Guarda la cotización en Historial (Ctrl+Shift+G)"/>
          <button id="bCargar" label="Cargar del historial" size="large" imageMso="FileOpen" onAction="rbCargar" screentip="Cargar del historial"/>
        </group>
        <group id="gEnt" label="Entregar al cliente">
          <button id="bCarta" label="Carta en PDF" size="large" imageMso="FileSaveAsPdfOrXps" onAction="rbCartaPDF" screentip="Genera la carta en PDF (Ctrl+Shift+P)"/>
          <button id="bTabla" label="Tabla de pagos PDF" size="large" imageMso="TableInsert" onAction="rbTablaPDF" screentip="Tabla de pagos PDF"/>
          <button id="bCorreo" label="Enviar por correo" size="large" imageMso="FileSendAsAttachment" onAction="rbCorreo" screentip="Enviar por correo"/>
        </group>
        <group id="gFin" label="Ajustes financieros">
          <button id="bTasaMin" label="Aplicar tasa mínima" size="large" imageMso="AutoSum" onAction="rbTasaMin" screentip="Tasa que cumple el cash margin objetivo"/>
          <button id="bTasaRenta" label="Tasa para renta deseada" size="large" imageMso="PercentStyle" onAction="rbTasaRenta" screentip="Tasa para renta deseada"/>
          <button id="bCopiar" label="Copiar escenario 1" size="large" imageMso="Copy" onAction="rbCopiar" screentip="Copiar escenario 1"/>
        </group>
        <group id="gIr" label="Ir a">
          <button id="bIrCot" label="Cotizador" size="normal" onAction="rbIrCotizador" screentip="Cotizador"/>
          <button id="bIrCarta" label="Carta" size="normal" onAction="rbIrCarta" screentip="Carta"/>
          <button id="bIrTabla" label="Tabla de pagos" size="normal" onAction="rbIrTabla" screentip="Tabla de pagos"/>
          <button id="bIrHist" label="Historial" size="normal" onAction="rbIrHistorial" screentip="Historial"/>
          <button id="bIrSen" label="Sensibilidad" size="normal" onAction="rbIrSensibilidad" screentip="Sensibilidad"/>
          <button id="bIrCorr" label="Corridas" size="normal" onAction="rbIrCorrida" screentip="Corridas"/>
          <button id="bIrCfg" label="Configuración" size="normal" onAction="rbIrConfig" screentip="Configuración"/>
          <button id="bIrIni" label="Inicio" size="normal" onAction="rbIrInicio" screentip="Inicio"/>
        </group>
        <group id="gAdm" label="Administración">
          <button id="bProt" label="Proteger hojas" size="normal" onAction="rbProteger" screentip="Proteger hojas"/>
          <button id="bDesp" label="Desproteger hojas" size="normal" onAction="rbDesproteger" screentip="Desproteger hojas"/>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2026-10-05T23:44:56Z</dcterms:created>
  <dcterms:modified xsi:type="dcterms:W3CDTF">2026-10-05T23:44:56Z</dcterms:modified>
</cp:coreProperties>
</file>