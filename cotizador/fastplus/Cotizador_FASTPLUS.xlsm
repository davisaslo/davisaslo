
<file path=[Content_Types].xml><?xml version="1.0" encoding="utf-8"?>
<Types xmlns="http://schemas.openxmlformats.org/package/2006/content-types">
  <Default Extension="rels" ContentType="application/vnd.openxmlformats-package.relationships+xml"/>
  <Default Extension="bin" ContentType="application/vnd.ms-office.vbaProject"/>
  <Default Extension="xml" ContentType="application/xml"/>
  <Default Extension="vml" ContentType="application/vnd.openxmlformats-officedocument.vmlDrawing"/>
  <Default Extension="jpeg" ContentType="image/jpe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comments/comment2.xml" ContentType="application/vnd.openxmlformats-officedocument.spreadsheetml.comments+xml"/>
  <Override PartName="/xl/workbook.xml" ContentType="application/vnd.ms-excel.sheet.macroEnabled.main+xml"/>
  <Override PartName="/xl/drawings/drawingBtn1.xml" ContentType="application/vnd.openxmlformats-officedocument.drawing+xml"/>
  <Override PartName="/xl/drawings/drawingBtn2.xml" ContentType="application/vnd.openxmlformats-officedocument.drawing+xml"/>
  <Override PartName="/xl/drawings/drawingBtn3.xml" ContentType="application/vnd.openxmlformats-officedocument.drawing+xml"/>
  <Override PartName="/xl/drawings/drawingBtn4.xml" ContentType="application/vnd.openxmlformats-officedocument.drawing+xml"/>
  <Override PartName="/xl/drawings/drawingBtn5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microsoft.com/office/2006/relationships/ui/extensibility" Target="customUI/customUI.xml" Id="rIdUI1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workbookProtection workbookPassword="D3B7" lockStructure="1"/>
  <bookViews>
    <workbookView visibility="visible" minimized="0" showHorizontalScroll="1" showVerticalScroll="1" showSheetTabs="1" tabRatio="600" firstSheet="0" activeTab="0" autoFilterDateGrouping="1"/>
  </bookViews>
  <sheets>
    <sheet name="Cotizador" sheetId="1" state="visible" r:id="rId1"/>
    <sheet name="Factores" sheetId="2" state="hidden" r:id="rId2"/>
    <sheet name="Propuesta" sheetId="3" state="visible" r:id="rId3"/>
    <sheet name="Pago Inicial" sheetId="4" state="visible" r:id="rId4"/>
    <sheet name="Venta" sheetId="5" state="visible" r:id="rId5"/>
    <sheet name="Bonos" sheetId="6" state="hidden" r:id="rId6"/>
    <sheet name="Riesgo" sheetId="7" state="hidden" r:id="rId7"/>
    <sheet name="Tabla de Pagos" sheetId="8" state="visible" r:id="rId8"/>
    <sheet name="Historial" sheetId="9" state="visible" r:id="rId9"/>
    <sheet name="Corrida 1" sheetId="10" state="hidden" r:id="rId10"/>
    <sheet name="Corrida 2" sheetId="11" state="hidden" r:id="rId11"/>
    <sheet name="Corrida 3" sheetId="12" state="hidden" r:id="rId12"/>
    <sheet name="Corrida 4" sheetId="13" state="hidden" r:id="rId13"/>
    <sheet name="Catalogos" sheetId="14" state="hidden" r:id="rId14"/>
  </sheets>
  <definedNames>
    <definedName name="par_Arrendador">Catalogos!$C$4</definedName>
    <definedName name="par_Comercial">Catalogos!$C$5</definedName>
    <definedName name="par_Dir1">Catalogos!$C$6</definedName>
    <definedName name="par_Dir2">Catalogos!$C$7</definedName>
    <definedName name="par_Dir3">Catalogos!$C$8</definedName>
    <definedName name="par_Ciudad">Catalogos!$C$9</definedName>
    <definedName name="par_Contacto">Catalogos!$C$10</definedName>
    <definedName name="par_IVA">Catalogos!$C$11</definedName>
    <definedName name="par_Fondeo">Catalogos!$C$12</definedName>
    <definedName name="par_TIIE">Catalogos!$C$13</definedName>
    <definedName name="par_Vigencia">Catalogos!$C$14</definedName>
    <definedName name="par_BaseDias">Catalogos!$C$15</definedName>
    <definedName name="par_BaseIVAFin">Catalogos!$C$16</definedName>
    <definedName name="par_Prefijo">Catalogos!$C$17</definedName>
    <definedName name="par_Consecutivo">Catalogos!$C$18</definedName>
    <definedName name="par_CarpetaPDF">Catalogos!$C$19</definedName>
    <definedName name="par_CorreoCC">Catalogos!$C$20</definedName>
    <definedName name="par_GastosInv">Catalogos!$C$21</definedName>
    <definedName name="par_LimAuto">Catalogos!$C$22</definedName>
    <definedName name="par_LimAutoEV">Catalogos!$C$23</definedName>
    <definedName name="par_Banco">Catalogos!$C$24</definedName>
    <definedName name="par_CLABE">Catalogos!$C$25</definedName>
    <definedName name="par_BancoSuc">Catalogos!$C$26</definedName>
    <definedName name="par_Cuenta">Catalogos!$C$27</definedName>
    <definedName name="par_Convenio">Catalogos!$C$28</definedName>
    <definedName name="par_Beneficiario">Catalogos!$C$29</definedName>
    <definedName name="inp_PrecioIVA">Catalogos!$C$32</definedName>
    <definedName name="inp_ModoTasa">Catalogos!$C$33</definedName>
    <definedName name="inp_FechaFirma">Catalogos!$C$34</definedName>
    <definedName name="inp_FechaPrimera">Catalogos!$C$35</definedName>
    <definedName name="inp_EscTabla">Catalogos!$C$36</definedName>
    <definedName name="lst_Tipo">Catalogos!$H$5:$H$6</definedName>
    <definedName name="lst_Moneda">Catalogos!$I$5:$I$6</definedName>
    <definedName name="lst_Modalidad">Catalogos!$J$5:$J$6</definedName>
    <definedName name="lst_SiNo">Catalogos!$K$5:$K$6</definedName>
    <definedName name="lst_Seguro">Catalogos!$L$5:$L$6</definedName>
    <definedName name="lst_BaseIVA">Catalogos!$M$5:$M$6</definedName>
    <definedName name="lst_Estatus">Catalogos!$N$5:$N$9</definedName>
    <definedName name="lst_Producto">Catalogos!$O$5:$O$6</definedName>
    <definedName name="lst_TipoActivo">Catalogos!$P$5:$P$10</definedName>
    <definedName name="lst_UsoAnticipo">Catalogos!$Q$5:$Q$6</definedName>
    <definedName name="lst_Estado">Catalogos!$R$5:$R$6</definedName>
    <definedName name="lst_Originador">Catalogos!$S$5:$S$8</definedName>
    <definedName name="lst_AsegPor">Catalogos!$T$5:$T$6</definedName>
    <definedName name="lst_Plazos">Catalogos!$U$5:$U$8</definedName>
    <definedName name="ofi_Tabla">Catalogos!$H$15:$L$20</definedName>
    <definedName name="ofi_Region">Catalogos!$H$15:$H$20</definedName>
    <definedName name="prom_Tabla">Catalogos!$H$25:$L$84</definedName>
    <definedName name="lst_Promotores">Catalogos!$I$25:$I$84</definedName>
    <definedName name="sel_PromNombre">Catalogos!$C$39</definedName>
    <definedName name="sel_PromPuesto">Catalogos!$C$40</definedName>
    <definedName name="sel_PromRegion">Catalogos!$C$41</definedName>
    <definedName name="sel_PromCorreo">Catalogos!$C$42</definedName>
    <definedName name="sel_Dir1">Catalogos!$C$43</definedName>
    <definedName name="sel_Dir2">Catalogos!$C$44</definedName>
    <definedName name="sel_Dir3">Catalogos!$C$45</definedName>
    <definedName name="sel_Tel">Catalogos!$C$46</definedName>
    <definedName name="inp_Promotor">Cotizador!$I$2</definedName>
    <definedName name="inp_Folio">Cotizador!$I$3</definedName>
    <definedName name="inp_Cliente">Cotizador!$C$7</definedName>
    <definedName name="inp_Contacto">Cotizador!$I$7</definedName>
    <definedName name="inp_RFC">Cotizador!$M$7</definedName>
    <definedName name="inp_Fecha">Cotizador!$C$9</definedName>
    <definedName name="inp_Originador">Cotizador!$G$9</definedName>
    <definedName name="inp_ComProm">Cotizador!$L$9</definedName>
    <definedName name="inp_TipoActivo">Cotizador!$C$11</definedName>
    <definedName name="inp_Equipo">Cotizador!$H$11</definedName>
    <definedName name="inp_Estado">Cotizador!$C$13</definedName>
    <definedName name="inp_Proveedor">Cotizador!$E$13</definedName>
    <definedName name="inp_Producto">Cotizador!$J$13</definedName>
    <definedName name="inp_Tier">Cotizador!$M$13</definedName>
    <definedName name="inp_Correo">Cotizador!$C$15</definedName>
    <definedName name="inp_Obligado">Cotizador!$H$15</definedName>
    <definedName name="inp_Tipo">Cotizador!$M$15</definedName>
    <definedName name="inp_Precio">Cotizador!$C$19</definedName>
    <definedName name="inp_Descuento">Cotizador!$H$19</definedName>
    <definedName name="inp_DiasRP">Cotizador!$L$19</definedName>
    <definedName name="inp_Valor">Cotizador!$C$21</definedName>
    <definedName name="inp_IVAEquipo">Cotizador!$H$21</definedName>
    <definedName name="inp_UsoAnticipo">Cotizador!$L$21</definedName>
    <definedName name="inp_Anticipo">Cotizador!$C$23</definedName>
    <definedName name="inp_SeguroFin">Cotizador!$L$23</definedName>
    <definedName name="inp_TIIE">Cotizador!$H$25</definedName>
    <definedName name="inp_PlazoSol">Cotizador!$L$25</definedName>
    <definedName name="inp_Modalidad">Cotizador!$H$27</definedName>
    <definedName name="inp_Fondeo">Cotizador!$L$27</definedName>
    <definedName name="inp_OtrosMonto">Cotizador!$C$29</definedName>
    <definedName name="inp_OtrosDesc">Cotizador!$H$29</definedName>
    <definedName name="inp_GPSMonto">Cotizador!$L$29</definedName>
    <definedName name="inp_GastosInv">Cotizador!$C$31</definedName>
    <definedName name="inp_ComBanco">Cotizador!$H$31</definedName>
    <definedName name="inp_CMobj">Cotizador!$L$31</definedName>
    <definedName name="inp_SeguroMonto">Cotizador!$G$35</definedName>
    <definedName name="inp_Aseguradora">Cotizador!$K$35</definedName>
    <definedName name="inp_AseguradoraPor">Cotizador!$C$37</definedName>
    <definedName name="inp_Moneda">Cotizador!$F$37</definedName>
    <definedName name="inp_TC">Cotizador!$I$37</definedName>
    <definedName name="esc_Plazo">Factores!$B$21:$B$24</definedName>
    <definedName name="esc_Margen">Factores!$C$21:$C$24</definedName>
    <definedName name="esc_Residual">Factores!$E$21:$E$24</definedName>
    <definedName name="esc_Comision">Factores!$G$21:$G$24</definedName>
    <definedName name="esc_DepPct">Factores!$H$21:$H$24</definedName>
    <definedName name="esc_Deposito">Factores!$I$21:$I$24</definedName>
    <definedName name="esc_Incluir">Factores!$J$21:$J$24</definedName>
    <definedName name="esc_Enganche">Factores!$M$21:$M$24</definedName>
    <definedName name="esc_Sucesivo">Factores!$N$21:$N$24</definedName>
    <definedName name="esc_Tasa">Factores!$O$21:$O$24</definedName>
    <definedName name="esc_TasaSuc">Factores!$P$21:$P$24</definedName>
    <definedName name="esc_PagoFinal">Factores!$Q$21:$Q$24</definedName>
    <definedName name="esc_Seguro">Factores!$R$21:$R$24</definedName>
    <definedName name="esc_SeguroForma">Factores!$S$21:$S$24</definedName>
    <definedName name="esc_GPS">Factores!$T$21:$T$24</definedName>
    <definedName name="esc_GPSForma">Factores!$U$21:$U$24</definedName>
    <definedName name="esc_Otros">Factores!$V$21:$V$24</definedName>
    <definedName name="esc_OtrosForma">Factores!$W$21:$W$24</definedName>
    <definedName name="rc_Tiers">Factores!$C$59:$C$63</definedName>
    <definedName name="rc_TIR">Factores!$D$59:$D$63</definedName>
    <definedName name="rc_CM">Factores!$E$59:$H$63</definedName>
    <definedName name="rc_Plazos">Factores!$E$58:$H$58</definedName>
    <definedName name="rc_ResMax">Factores!$E$64:$H$64</definedName>
    <definedName name="res_DictCot">Cotizador!$C$53:$J$53</definedName>
    <definedName name="res_Renta">Factores!$C$40:$F$40</definedName>
    <definedName name="res_RentaIVA">Factores!$C$41:$F$41</definedName>
    <definedName name="res_Tasa">Factores!$C$42:$F$42</definedName>
    <definedName name="res_TIR">Factores!$C$43:$F$43</definedName>
    <definedName name="res_CMpct">Factores!$C$45:$F$45</definedName>
    <definedName name="res_CMneto">Factores!$C$47:$F$47</definedName>
    <definedName name="res_CMnetoPct">Factores!$C$48:$F$48</definedName>
    <definedName name="res_Dictamen">Factores!$C$50:$F$50</definedName>
    <definedName name="res_TasaMin">Factores!$C$51:$F$51</definedName>
    <definedName name="res_Alertas">Factores!$C$55:$F$55</definedName>
    <definedName name="bon_Distribucion">Bonos!$A$15:$F$23</definedName>
    <definedName name="hist_Header">Historial!$A$4</definedName>
    <definedName name="_xlnm.Print_Area" localSheetId="0">'Cotizador'!$A$1:$O$55</definedName>
    <definedName name="_xlnm.Print_Area" localSheetId="1">'Factores'!$A$1:$K$69</definedName>
    <definedName name="_xlnm.Print_Area" localSheetId="2">'Propuesta'!$A$1:$G$53</definedName>
    <definedName name="_xlnm.Print_Area" localSheetId="3">'Pago Inicial'!$A$1:$H$33</definedName>
    <definedName name="_xlnm.Print_Area" localSheetId="4">'Venta'!$A$1:$G$37</definedName>
    <definedName name="_xlnm.Print_Area" localSheetId="5">'Bonos'!$A$1:$F$28</definedName>
    <definedName name="_xlnm.Print_Area" localSheetId="6">'Riesgo'!$A$1:$G$31</definedName>
    <definedName name="_xlnm.Print_Titles" localSheetId="7">'Tabla de Pagos'!$10:$10</definedName>
    <definedName name="_xlnm.Print_Area" localSheetId="7">'Tabla de Pagos'!$A$1:$I$111</definedName>
    <definedName name="_xlnm._FilterDatabase" localSheetId="8" hidden="1">'Historial'!$A$4:$T$4</definedName>
    <definedName name="_xlnm.Print_Titles" localSheetId="9">'Corrida 1'!$58:$58</definedName>
    <definedName name="_xlnm.Print_Titles" localSheetId="10">'Corrida 2'!$58:$58</definedName>
    <definedName name="_xlnm.Print_Titles" localSheetId="11">'Corrida 3'!$58:$58</definedName>
    <definedName name="_xlnm.Print_Titles" localSheetId="12">'Corrida 4'!$58:$58</definedName>
  </definedNames>
  <calcPr calcId="124519" fullCalcOnLoad="1"/>
</workbook>
</file>

<file path=xl/styles.xml><?xml version="1.0" encoding="utf-8"?>
<styleSheet xmlns="http://schemas.openxmlformats.org/spreadsheetml/2006/main">
  <numFmts count="11">
    <numFmt numFmtId="164" formatCode="0.00%;[Red]-0.00%;&quot;-&quot;"/>
    <numFmt numFmtId="165" formatCode="0.0000%"/>
    <numFmt numFmtId="166" formatCode="$#,##0.00;[Red]-$#,##0.00;&quot;-&quot;"/>
    <numFmt numFmtId="167" formatCode="dd/mm/yyyy"/>
    <numFmt numFmtId="168" formatCode="yyyy-mm-dd h:mm:ss"/>
    <numFmt numFmtId="169" formatCode="0&quot; días&quot;"/>
    <numFmt numFmtId="170" formatCode="0&quot; meses&quot;"/>
    <numFmt numFmtId="171" formatCode="#,##0.0000"/>
    <numFmt numFmtId="172" formatCode="&quot;CM mín. &quot;0&quot; m&quot;"/>
    <numFmt numFmtId="173" formatCode="0.000000"/>
    <numFmt numFmtId="174" formatCode="0&quot; unidad(es)&quot;"/>
  </numFmts>
  <fonts count="26">
    <font>
      <name val="Calibri"/>
      <family val="2"/>
      <color theme="1"/>
      <sz val="11"/>
      <scheme val="minor"/>
    </font>
    <font>
      <name val="Arial"/>
      <b val="1"/>
      <color rgb="004B2A7B"/>
      <sz val="18"/>
    </font>
    <font>
      <name val="Arial"/>
      <i val="1"/>
      <color rgb="00666666"/>
      <sz val="10"/>
    </font>
    <font>
      <name val="Arial"/>
      <b val="1"/>
      <color rgb="00FFFFFF"/>
      <sz val="11"/>
    </font>
    <font>
      <name val="Arial"/>
      <sz val="10"/>
    </font>
    <font>
      <name val="Arial"/>
      <color rgb="000000FF"/>
      <sz val="10"/>
    </font>
    <font>
      <name val="Arial"/>
      <b val="1"/>
      <sz val="10"/>
    </font>
    <font>
      <name val="Arial"/>
      <i val="1"/>
      <color rgb="00666666"/>
      <sz val="9"/>
    </font>
    <font>
      <name val="Arial"/>
      <b val="1"/>
      <color rgb="004B2A7B"/>
      <sz val="12"/>
    </font>
    <font>
      <name val="Arial"/>
      <color rgb="004B2A7B"/>
      <sz val="10"/>
    </font>
    <font>
      <name val="Arial"/>
      <b val="1"/>
      <color rgb="00FFFFFF"/>
      <sz val="10"/>
    </font>
    <font>
      <name val="Arial"/>
      <b val="1"/>
      <i val="1"/>
      <color rgb="00FFFFFF"/>
      <sz val="10"/>
    </font>
    <font>
      <name val="Arial"/>
      <b val="1"/>
      <i val="1"/>
      <color rgb="004B2A7B"/>
      <sz val="14"/>
    </font>
    <font>
      <name val="Arial"/>
      <b val="1"/>
      <color rgb="004B2A7B"/>
      <sz val="9"/>
    </font>
    <font>
      <name val="Arial"/>
      <i val="1"/>
      <sz val="10"/>
    </font>
    <font>
      <name val="Arial"/>
      <b val="1"/>
      <sz val="12"/>
    </font>
    <font>
      <name val="Arial"/>
      <color rgb="00008000"/>
      <sz val="10"/>
    </font>
    <font>
      <name val="Arial"/>
      <color rgb="00C00000"/>
      <sz val="8"/>
    </font>
    <font>
      <name val="Arial"/>
      <b val="1"/>
      <i val="1"/>
      <color rgb="004B2A7B"/>
      <sz val="9"/>
    </font>
    <font>
      <name val="Arial"/>
      <b val="1"/>
      <i val="1"/>
      <color rgb="004B2A7B"/>
      <sz val="11"/>
    </font>
    <font>
      <name val="Arial"/>
      <b val="1"/>
      <i val="1"/>
      <sz val="10"/>
    </font>
    <font>
      <name val="Arial"/>
      <i val="1"/>
      <sz val="9"/>
    </font>
    <font>
      <name val="Arial"/>
      <b val="1"/>
      <i val="1"/>
      <sz val="9"/>
    </font>
    <font>
      <name val="Arial"/>
      <i val="1"/>
      <sz val="10"/>
      <u val="single"/>
    </font>
    <font>
      <name val="Arial"/>
      <b val="1"/>
      <sz val="14"/>
    </font>
    <font>
      <name val="Arial"/>
      <color rgb="00C00000"/>
      <sz val="9"/>
    </font>
  </fonts>
  <fills count="9">
    <fill>
      <patternFill/>
    </fill>
    <fill>
      <patternFill patternType="gray125"/>
    </fill>
    <fill>
      <patternFill patternType="solid">
        <fgColor rgb="004B2A7B"/>
      </patternFill>
    </fill>
    <fill>
      <patternFill patternType="solid">
        <fgColor rgb="00FFF8D6"/>
      </patternFill>
    </fill>
    <fill>
      <patternFill patternType="solid">
        <fgColor rgb="00E9E2F3"/>
      </patternFill>
    </fill>
    <fill>
      <patternFill patternType="solid">
        <fgColor rgb="00FFFBD6"/>
      </patternFill>
    </fill>
    <fill>
      <patternFill patternType="solid">
        <fgColor rgb="00FFFFFF"/>
      </patternFill>
    </fill>
    <fill>
      <patternFill patternType="solid">
        <fgColor rgb="00F2F2F2"/>
      </patternFill>
    </fill>
    <fill>
      <patternFill patternType="solid">
        <fgColor rgb="00D9CCEB"/>
      </patternFill>
    </fill>
  </fills>
  <borders count="12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  <border>
      <left/>
      <right/>
      <top style="thin">
        <color rgb="00BFBFBF"/>
      </top>
      <bottom/>
      <diagonal/>
    </border>
    <border>
      <left/>
      <right style="thin">
        <color rgb="00BFBFBF"/>
      </right>
      <top style="thin">
        <color rgb="00BFBFBF"/>
      </top>
      <bottom/>
      <diagonal/>
    </border>
    <border>
      <left/>
      <right/>
      <top style="thin">
        <color rgb="00BFBFBF"/>
      </top>
      <bottom style="thin">
        <color rgb="00BFBFBF"/>
      </bottom>
      <diagonal/>
    </border>
    <border>
      <left/>
      <right style="thin">
        <color rgb="00BFBFBF"/>
      </right>
      <top style="thin">
        <color rgb="00BFBFBF"/>
      </top>
      <bottom style="thin">
        <color rgb="00BFBFBF"/>
      </bottom>
      <diagonal/>
    </border>
    <border>
      <left style="thin">
        <color rgb="004B2A7B"/>
      </left>
      <right style="thin">
        <color rgb="004B2A7B"/>
      </right>
      <top style="thin">
        <color rgb="004B2A7B"/>
      </top>
      <bottom style="thin">
        <color rgb="004B2A7B"/>
      </bottom>
    </border>
    <border>
      <bottom style="thin">
        <color rgb="00000000"/>
      </bottom>
    </border>
    <border>
      <left/>
      <right/>
      <top style="thin">
        <color rgb="004B2A7B"/>
      </top>
      <bottom/>
      <diagonal/>
    </border>
    <border>
      <left/>
      <right style="thin">
        <color rgb="004B2A7B"/>
      </right>
      <top style="thin">
        <color rgb="004B2A7B"/>
      </top>
      <bottom/>
      <diagonal/>
    </border>
    <border>
      <left/>
      <right style="thin">
        <color rgb="004B2A7B"/>
      </right>
      <top style="thin">
        <color rgb="004B2A7B"/>
      </top>
      <bottom style="thin">
        <color rgb="004B2A7B"/>
      </bottom>
      <diagonal/>
    </border>
    <border>
      <top style="thin">
        <color rgb="00000000"/>
      </top>
    </border>
  </borders>
  <cellStyleXfs count="1">
    <xf numFmtId="0" fontId="0" fillId="0" borderId="0"/>
  </cellStyleXfs>
  <cellXfs count="141">
    <xf numFmtId="0" fontId="0" fillId="0" borderId="0" pivotButton="0" quotePrefix="0" xfId="0"/>
    <xf numFmtId="0" fontId="0" fillId="5" borderId="0" pivotButton="0" quotePrefix="0" xfId="0"/>
    <xf numFmtId="0" fontId="8" fillId="5" borderId="0" pivotButton="0" quotePrefix="0" xfId="0"/>
    <xf numFmtId="0" fontId="9" fillId="5" borderId="0" applyAlignment="1" pivotButton="0" quotePrefix="0" xfId="0">
      <alignment horizontal="right" vertical="center"/>
    </xf>
    <xf numFmtId="0" fontId="5" fillId="6" borderId="6" applyAlignment="1" applyProtection="1" pivotButton="0" quotePrefix="0" xfId="0">
      <alignment horizontal="center" vertical="center"/>
      <protection locked="0" hidden="0"/>
    </xf>
    <xf numFmtId="0" fontId="0" fillId="6" borderId="6" pivotButton="0" quotePrefix="0" xfId="0"/>
    <xf numFmtId="0" fontId="10" fillId="2" borderId="6" applyAlignment="1" pivotButton="0" quotePrefix="0" xfId="0">
      <alignment horizontal="center" vertical="center"/>
    </xf>
    <xf numFmtId="0" fontId="0" fillId="2" borderId="6" pivotButton="0" quotePrefix="0" xfId="0"/>
    <xf numFmtId="0" fontId="11" fillId="2" borderId="0" applyAlignment="1" pivotButton="0" quotePrefix="0" xfId="0">
      <alignment horizontal="center" vertical="center"/>
    </xf>
    <xf numFmtId="167" fontId="5" fillId="6" borderId="6" applyAlignment="1" applyProtection="1" pivotButton="0" quotePrefix="0" xfId="0">
      <alignment horizontal="center" vertical="center"/>
      <protection locked="0" hidden="0"/>
    </xf>
    <xf numFmtId="164" fontId="5" fillId="6" borderId="6" applyAlignment="1" applyProtection="1" pivotButton="0" quotePrefix="0" xfId="0">
      <alignment horizontal="center" vertical="center"/>
      <protection locked="0" hidden="0"/>
    </xf>
    <xf numFmtId="166" fontId="5" fillId="6" borderId="6" applyAlignment="1" applyProtection="1" pivotButton="0" quotePrefix="0" xfId="0">
      <alignment horizontal="center" vertical="center"/>
      <protection locked="0" hidden="0"/>
    </xf>
    <xf numFmtId="169" fontId="5" fillId="6" borderId="6" applyAlignment="1" applyProtection="1" pivotButton="0" quotePrefix="0" xfId="0">
      <alignment horizontal="center" vertical="center"/>
      <protection locked="0" hidden="0"/>
    </xf>
    <xf numFmtId="166" fontId="10" fillId="2" borderId="6" applyAlignment="1" pivotButton="0" quotePrefix="0" xfId="0">
      <alignment horizontal="center" vertical="center"/>
    </xf>
    <xf numFmtId="164" fontId="10" fillId="2" borderId="6" applyAlignment="1" pivotButton="0" quotePrefix="0" xfId="0">
      <alignment horizontal="center" vertical="center"/>
    </xf>
    <xf numFmtId="165" fontId="5" fillId="6" borderId="6" applyAlignment="1" applyProtection="1" pivotButton="0" quotePrefix="0" xfId="0">
      <alignment horizontal="center" vertical="center"/>
      <protection locked="0" hidden="0"/>
    </xf>
    <xf numFmtId="170" fontId="5" fillId="6" borderId="6" applyAlignment="1" applyProtection="1" pivotButton="0" quotePrefix="0" xfId="0">
      <alignment horizontal="center" vertical="center"/>
      <protection locked="0" hidden="0"/>
    </xf>
    <xf numFmtId="0" fontId="13" fillId="5" borderId="0" pivotButton="0" quotePrefix="0" xfId="0"/>
    <xf numFmtId="0" fontId="9" fillId="5" borderId="0" applyAlignment="1" pivotButton="0" quotePrefix="0" xfId="0">
      <alignment horizontal="right"/>
    </xf>
    <xf numFmtId="171" fontId="5" fillId="6" borderId="6" applyAlignment="1" applyProtection="1" pivotButton="0" quotePrefix="0" xfId="0">
      <alignment horizontal="center" vertical="center"/>
      <protection locked="0" hidden="0"/>
    </xf>
    <xf numFmtId="0" fontId="11" fillId="2" borderId="0" applyAlignment="1" pivotButton="0" quotePrefix="0" xfId="0">
      <alignment horizontal="center" vertical="center" wrapText="1"/>
    </xf>
    <xf numFmtId="0" fontId="10" fillId="2" borderId="0" pivotButton="0" quotePrefix="0" xfId="0"/>
    <xf numFmtId="0" fontId="4" fillId="4" borderId="6" applyAlignment="1" pivotButton="0" quotePrefix="0" xfId="0">
      <alignment horizontal="center"/>
    </xf>
    <xf numFmtId="0" fontId="0" fillId="4" borderId="6" pivotButton="0" quotePrefix="0" xfId="0"/>
    <xf numFmtId="166" fontId="4" fillId="4" borderId="6" applyAlignment="1" pivotButton="0" quotePrefix="0" xfId="0">
      <alignment horizontal="center"/>
    </xf>
    <xf numFmtId="166" fontId="6" fillId="4" borderId="6" applyAlignment="1" pivotButton="0" quotePrefix="0" xfId="0">
      <alignment horizontal="center"/>
    </xf>
    <xf numFmtId="0" fontId="7" fillId="5" borderId="0" pivotButton="0" quotePrefix="0" xfId="0"/>
    <xf numFmtId="0" fontId="12" fillId="4" borderId="0" pivotButton="0" quotePrefix="0" xfId="0"/>
    <xf numFmtId="0" fontId="0" fillId="4" borderId="0" pivotButton="0" quotePrefix="0" xfId="0"/>
    <xf numFmtId="0" fontId="6" fillId="0" borderId="1" pivotButton="0" quotePrefix="0" xfId="0"/>
    <xf numFmtId="0" fontId="4" fillId="0" borderId="1" pivotButton="0" quotePrefix="0" xfId="0"/>
    <xf numFmtId="0" fontId="0" fillId="0" borderId="1" pivotButton="0" quotePrefix="0" xfId="0"/>
    <xf numFmtId="166" fontId="4" fillId="0" borderId="1" pivotButton="0" quotePrefix="0" xfId="0"/>
    <xf numFmtId="0" fontId="14" fillId="0" borderId="1" pivotButton="0" quotePrefix="0" xfId="0"/>
    <xf numFmtId="166" fontId="4" fillId="0" borderId="1" applyAlignment="1" pivotButton="0" quotePrefix="0" xfId="0">
      <alignment horizontal="right"/>
    </xf>
    <xf numFmtId="164" fontId="4" fillId="0" borderId="1" applyAlignment="1" pivotButton="0" quotePrefix="0" xfId="0">
      <alignment horizontal="right"/>
    </xf>
    <xf numFmtId="0" fontId="6" fillId="4" borderId="1" pivotButton="0" quotePrefix="0" xfId="0"/>
    <xf numFmtId="0" fontId="0" fillId="4" borderId="1" pivotButton="0" quotePrefix="0" xfId="0"/>
    <xf numFmtId="166" fontId="6" fillId="4" borderId="1" applyAlignment="1" pivotButton="0" quotePrefix="0" xfId="0">
      <alignment horizontal="right"/>
    </xf>
    <xf numFmtId="164" fontId="6" fillId="4" borderId="1" applyAlignment="1" pivotButton="0" quotePrefix="0" xfId="0">
      <alignment horizontal="right"/>
    </xf>
    <xf numFmtId="0" fontId="6" fillId="4" borderId="1" applyAlignment="1" pivotButton="0" quotePrefix="0" xfId="0">
      <alignment horizontal="center" vertical="center" wrapText="1"/>
    </xf>
    <xf numFmtId="0" fontId="7" fillId="0" borderId="0" pivotButton="0" quotePrefix="0" xfId="0"/>
    <xf numFmtId="1" fontId="5" fillId="0" borderId="6" applyAlignment="1" applyProtection="1" pivotButton="0" quotePrefix="0" xfId="0">
      <alignment horizontal="center"/>
      <protection locked="0" hidden="0"/>
    </xf>
    <xf numFmtId="164" fontId="5" fillId="0" borderId="6" applyAlignment="1" applyProtection="1" pivotButton="0" quotePrefix="0" xfId="0">
      <alignment horizontal="center"/>
      <protection locked="0" hidden="0"/>
    </xf>
    <xf numFmtId="164" fontId="10" fillId="2" borderId="6" applyAlignment="1" pivotButton="0" quotePrefix="0" xfId="0">
      <alignment horizontal="center"/>
    </xf>
    <xf numFmtId="2" fontId="5" fillId="0" borderId="6" applyAlignment="1" applyProtection="1" pivotButton="0" quotePrefix="0" xfId="0">
      <alignment horizontal="center"/>
      <protection locked="0" hidden="0"/>
    </xf>
    <xf numFmtId="0" fontId="5" fillId="0" borderId="6" applyAlignment="1" applyProtection="1" pivotButton="0" quotePrefix="0" xfId="0">
      <alignment horizontal="center"/>
      <protection locked="0" hidden="0"/>
    </xf>
    <xf numFmtId="0" fontId="6" fillId="4" borderId="0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/>
    </xf>
    <xf numFmtId="0" fontId="10" fillId="0" borderId="1" pivotButton="0" quotePrefix="0" xfId="0"/>
    <xf numFmtId="0" fontId="8" fillId="0" borderId="0" pivotButton="0" quotePrefix="0" xfId="0"/>
    <xf numFmtId="0" fontId="15" fillId="0" borderId="0" pivotButton="0" quotePrefix="0" xfId="0"/>
    <xf numFmtId="0" fontId="6" fillId="4" borderId="0" pivotButton="0" quotePrefix="0" xfId="0"/>
    <xf numFmtId="0" fontId="4" fillId="0" borderId="0" pivotButton="0" quotePrefix="0" xfId="0"/>
    <xf numFmtId="166" fontId="16" fillId="0" borderId="1" applyAlignment="1" pivotButton="0" quotePrefix="0" xfId="0">
      <alignment horizontal="center"/>
    </xf>
    <xf numFmtId="164" fontId="16" fillId="0" borderId="1" applyAlignment="1" pivotButton="0" quotePrefix="0" xfId="0">
      <alignment horizontal="center"/>
    </xf>
    <xf numFmtId="0" fontId="16" fillId="0" borderId="1" applyAlignment="1" pivotButton="0" quotePrefix="0" xfId="0">
      <alignment horizontal="center"/>
    </xf>
    <xf numFmtId="0" fontId="6" fillId="0" borderId="0" pivotButton="0" quotePrefix="0" xfId="0"/>
    <xf numFmtId="0" fontId="17" fillId="0" borderId="1" applyAlignment="1" pivotButton="0" quotePrefix="0" xfId="0">
      <alignment vertical="top" wrapText="1"/>
    </xf>
    <xf numFmtId="172" fontId="6" fillId="4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 wrapText="1"/>
    </xf>
    <xf numFmtId="0" fontId="5" fillId="3" borderId="1" applyProtection="1" pivotButton="0" quotePrefix="0" xfId="0">
      <protection locked="0" hidden="0"/>
    </xf>
    <xf numFmtId="164" fontId="5" fillId="3" borderId="1" applyProtection="1" pivotButton="0" quotePrefix="0" xfId="0">
      <protection locked="0" hidden="0"/>
    </xf>
    <xf numFmtId="0" fontId="0" fillId="0" borderId="7" pivotButton="0" quotePrefix="0" xfId="0"/>
    <xf numFmtId="0" fontId="18" fillId="0" borderId="0" pivotButton="0" quotePrefix="0" xfId="0"/>
    <xf numFmtId="0" fontId="19" fillId="0" borderId="0" pivotButton="0" quotePrefix="0" xfId="0"/>
    <xf numFmtId="0" fontId="20" fillId="0" borderId="0" pivotButton="0" quotePrefix="0" xfId="0"/>
    <xf numFmtId="0" fontId="20" fillId="0" borderId="0" applyAlignment="1" pivotButton="0" quotePrefix="0" xfId="0">
      <alignment horizontal="right"/>
    </xf>
    <xf numFmtId="0" fontId="21" fillId="0" borderId="0" applyAlignment="1" pivotButton="0" quotePrefix="0" xfId="0">
      <alignment horizontal="right"/>
    </xf>
    <xf numFmtId="0" fontId="14" fillId="0" borderId="0" applyAlignment="1" pivotButton="0" quotePrefix="0" xfId="0">
      <alignment horizontal="justify" vertical="top" wrapText="1"/>
    </xf>
    <xf numFmtId="0" fontId="20" fillId="8" borderId="0" applyAlignment="1" pivotButton="0" quotePrefix="0" xfId="0">
      <alignment horizontal="center" vertical="center"/>
    </xf>
    <xf numFmtId="0" fontId="14" fillId="0" borderId="0" pivotButton="0" quotePrefix="0" xfId="0"/>
    <xf numFmtId="0" fontId="20" fillId="8" borderId="0" pivotButton="0" quotePrefix="0" xfId="0"/>
    <xf numFmtId="0" fontId="20" fillId="8" borderId="0" applyAlignment="1" pivotButton="0" quotePrefix="0" xfId="0">
      <alignment horizontal="right"/>
    </xf>
    <xf numFmtId="166" fontId="14" fillId="0" borderId="0" applyAlignment="1" pivotButton="0" quotePrefix="0" xfId="0">
      <alignment horizontal="right"/>
    </xf>
    <xf numFmtId="166" fontId="20" fillId="8" borderId="0" applyAlignment="1" pivotButton="0" quotePrefix="0" xfId="0">
      <alignment horizontal="right"/>
    </xf>
    <xf numFmtId="166" fontId="20" fillId="0" borderId="0" applyAlignment="1" pivotButton="0" quotePrefix="0" xfId="0">
      <alignment horizontal="right"/>
    </xf>
    <xf numFmtId="167" fontId="14" fillId="0" borderId="0" applyAlignment="1" pivotButton="0" quotePrefix="0" xfId="0">
      <alignment horizontal="right"/>
    </xf>
    <xf numFmtId="0" fontId="22" fillId="0" borderId="0" applyAlignment="1" pivotButton="0" quotePrefix="0" xfId="0">
      <alignment horizontal="left" vertical="top" wrapText="1"/>
    </xf>
    <xf numFmtId="0" fontId="20" fillId="0" borderId="0" applyAlignment="1" pivotButton="0" quotePrefix="0" xfId="0">
      <alignment horizontal="center"/>
    </xf>
    <xf numFmtId="0" fontId="22" fillId="0" borderId="0" applyAlignment="1" pivotButton="0" quotePrefix="0" xfId="0">
      <alignment horizontal="center" vertical="top" wrapText="1"/>
    </xf>
    <xf numFmtId="0" fontId="6" fillId="8" borderId="1" pivotButton="0" quotePrefix="0" xfId="0"/>
    <xf numFmtId="166" fontId="14" fillId="0" borderId="1" applyAlignment="1" pivotButton="0" quotePrefix="0" xfId="0">
      <alignment horizontal="right"/>
    </xf>
    <xf numFmtId="0" fontId="4" fillId="0" borderId="1" applyAlignment="1" pivotButton="0" quotePrefix="0" xfId="0">
      <alignment horizontal="center" vertical="top" wrapText="1"/>
    </xf>
    <xf numFmtId="0" fontId="20" fillId="8" borderId="1" pivotButton="0" quotePrefix="0" xfId="0"/>
    <xf numFmtId="166" fontId="20" fillId="8" borderId="1" applyAlignment="1" pivotButton="0" quotePrefix="0" xfId="0">
      <alignment horizontal="right"/>
    </xf>
    <xf numFmtId="0" fontId="6" fillId="0" borderId="0" applyAlignment="1" pivotButton="0" quotePrefix="0" xfId="0">
      <alignment horizontal="justify" vertical="top" wrapText="1"/>
    </xf>
    <xf numFmtId="0" fontId="23" fillId="0" borderId="0" pivotButton="0" quotePrefix="0" xfId="0"/>
    <xf numFmtId="167" fontId="20" fillId="0" borderId="0" applyAlignment="1" pivotButton="0" quotePrefix="0" xfId="0">
      <alignment horizontal="right"/>
    </xf>
    <xf numFmtId="0" fontId="10" fillId="2" borderId="1" pivotButton="0" quotePrefix="0" xfId="0"/>
    <xf numFmtId="167" fontId="4" fillId="0" borderId="1" applyAlignment="1" pivotButton="0" quotePrefix="0" xfId="0">
      <alignment horizontal="left"/>
    </xf>
    <xf numFmtId="166" fontId="6" fillId="0" borderId="1" pivotButton="0" quotePrefix="0" xfId="0"/>
    <xf numFmtId="164" fontId="6" fillId="0" borderId="1" pivotButton="0" quotePrefix="0" xfId="0"/>
    <xf numFmtId="166" fontId="0" fillId="4" borderId="1" pivotButton="0" quotePrefix="0" xfId="0"/>
    <xf numFmtId="164" fontId="0" fillId="4" borderId="1" pivotButton="0" quotePrefix="0" xfId="0"/>
    <xf numFmtId="0" fontId="24" fillId="0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horizontal="right"/>
    </xf>
    <xf numFmtId="174" fontId="5" fillId="3" borderId="1" applyAlignment="1" applyProtection="1" pivotButton="0" quotePrefix="0" xfId="0">
      <alignment horizontal="right"/>
      <protection locked="0" hidden="0"/>
    </xf>
    <xf numFmtId="166" fontId="4" fillId="0" borderId="1" applyAlignment="1" pivotButton="0" quotePrefix="0" xfId="0">
      <alignment horizontal="right"/>
    </xf>
    <xf numFmtId="0" fontId="4" fillId="0" borderId="1" applyAlignment="1" pivotButton="0" quotePrefix="0" xfId="0">
      <alignment horizontal="right"/>
    </xf>
    <xf numFmtId="10" fontId="0" fillId="0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horizontal="left" shrinkToFit="1"/>
    </xf>
    <xf numFmtId="164" fontId="0" fillId="0" borderId="0" pivotButton="0" quotePrefix="0" xfId="0"/>
    <xf numFmtId="0" fontId="25" fillId="0" borderId="0" applyAlignment="1" pivotButton="0" quotePrefix="0" xfId="0">
      <alignment horizontal="left" vertical="top" wrapText="1"/>
    </xf>
    <xf numFmtId="0" fontId="6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166" fontId="0" fillId="0" borderId="1" applyAlignment="1" pivotButton="0" quotePrefix="0" xfId="0">
      <alignment horizontal="center" vertical="center" wrapText="1"/>
    </xf>
    <xf numFmtId="0" fontId="6" fillId="0" borderId="0" applyAlignment="1" pivotButton="0" quotePrefix="0" xfId="0">
      <alignment horizontal="center" vertical="center" wrapText="1"/>
    </xf>
    <xf numFmtId="0" fontId="1" fillId="0" borderId="0" pivotButton="0" quotePrefix="0" xfId="0"/>
    <xf numFmtId="0" fontId="2" fillId="0" borderId="0" pivotButton="0" quotePrefix="0" xfId="0"/>
    <xf numFmtId="0" fontId="16" fillId="0" borderId="0" applyAlignment="1" pivotButton="0" quotePrefix="0" xfId="0">
      <alignment horizontal="left"/>
    </xf>
    <xf numFmtId="0" fontId="3" fillId="2" borderId="0" applyAlignment="1" pivotButton="0" quotePrefix="0" xfId="0">
      <alignment horizontal="center" vertical="center" wrapText="1"/>
    </xf>
    <xf numFmtId="0" fontId="4" fillId="7" borderId="0" pivotButton="0" quotePrefix="0" xfId="0"/>
    <xf numFmtId="167" fontId="4" fillId="7" borderId="0" pivotButton="0" quotePrefix="0" xfId="0"/>
    <xf numFmtId="166" fontId="4" fillId="7" borderId="0" pivotButton="0" quotePrefix="0" xfId="0"/>
    <xf numFmtId="0" fontId="4" fillId="0" borderId="0" applyAlignment="1" pivotButton="0" quotePrefix="0" xfId="0">
      <alignment horizontal="center"/>
    </xf>
    <xf numFmtId="167" fontId="4" fillId="0" borderId="0" applyAlignment="1" pivotButton="0" quotePrefix="0" xfId="0">
      <alignment horizontal="center"/>
    </xf>
    <xf numFmtId="166" fontId="4" fillId="0" borderId="0" pivotButton="0" quotePrefix="0" xfId="0"/>
    <xf numFmtId="166" fontId="6" fillId="0" borderId="11" pivotButton="0" quotePrefix="0" xfId="0"/>
    <xf numFmtId="0" fontId="5" fillId="0" borderId="1" pivotButton="0" quotePrefix="0" xfId="0"/>
    <xf numFmtId="0" fontId="3" fillId="2" borderId="0" pivotButton="0" quotePrefix="0" xfId="0"/>
    <xf numFmtId="1" fontId="4" fillId="0" borderId="1" pivotButton="0" quotePrefix="0" xfId="0"/>
    <xf numFmtId="164" fontId="4" fillId="0" borderId="1" pivotButton="0" quotePrefix="0" xfId="0"/>
    <xf numFmtId="165" fontId="4" fillId="0" borderId="1" pivotButton="0" quotePrefix="0" xfId="0"/>
    <xf numFmtId="173" fontId="4" fillId="0" borderId="1" pivotButton="0" quotePrefix="0" xfId="0"/>
    <xf numFmtId="2" fontId="4" fillId="0" borderId="1" pivotButton="0" quotePrefix="0" xfId="0"/>
    <xf numFmtId="167" fontId="4" fillId="0" borderId="1" pivotButton="0" quotePrefix="0" xfId="0"/>
    <xf numFmtId="0" fontId="7" fillId="0" borderId="0" applyAlignment="1" pivotButton="0" quotePrefix="0" xfId="0">
      <alignment vertical="top" wrapText="1"/>
    </xf>
    <xf numFmtId="0" fontId="6" fillId="7" borderId="0" pivotButton="0" quotePrefix="0" xfId="0"/>
    <xf numFmtId="0" fontId="0" fillId="7" borderId="0" pivotButton="0" quotePrefix="0" xfId="0"/>
    <xf numFmtId="167" fontId="4" fillId="0" borderId="0" pivotButton="0" quotePrefix="0" xfId="0"/>
    <xf numFmtId="173" fontId="4" fillId="0" borderId="0" pivotButton="0" quotePrefix="0" xfId="0"/>
    <xf numFmtId="0" fontId="3" fillId="2" borderId="0" applyAlignment="1" pivotButton="0" quotePrefix="0" xfId="0">
      <alignment vertical="center"/>
    </xf>
    <xf numFmtId="0" fontId="0" fillId="0" borderId="4" applyProtection="1" pivotButton="0" quotePrefix="0" xfId="0">
      <protection locked="0" hidden="0"/>
    </xf>
    <xf numFmtId="0" fontId="0" fillId="0" borderId="5" applyProtection="1" pivotButton="0" quotePrefix="0" xfId="0">
      <protection locked="0" hidden="0"/>
    </xf>
    <xf numFmtId="0" fontId="6" fillId="4" borderId="0" applyAlignment="1" pivotButton="0" quotePrefix="0" xfId="0">
      <alignment vertical="center" wrapText="1"/>
    </xf>
    <xf numFmtId="165" fontId="5" fillId="3" borderId="1" applyProtection="1" pivotButton="0" quotePrefix="0" xfId="0">
      <protection locked="0" hidden="0"/>
    </xf>
    <xf numFmtId="1" fontId="5" fillId="3" borderId="1" applyProtection="1" pivotButton="0" quotePrefix="0" xfId="0">
      <protection locked="0" hidden="0"/>
    </xf>
    <xf numFmtId="166" fontId="5" fillId="3" borderId="1" applyProtection="1" pivotButton="0" quotePrefix="0" xfId="0">
      <protection locked="0" hidden="0"/>
    </xf>
    <xf numFmtId="0" fontId="0" fillId="0" borderId="4" pivotButton="0" quotePrefix="0" xfId="0"/>
    <xf numFmtId="0" fontId="0" fillId="0" borderId="5" pivotButton="0" quotePrefix="0" xfId="0"/>
  </cellXfs>
  <cellStyles count="1">
    <cellStyle name="Normal" xfId="0" builtinId="0" hidden="0"/>
  </cellStyles>
  <dxfs count="9">
    <dxf>
      <font>
        <name val="Arial"/>
        <b val="1"/>
        <color rgb="00000000"/>
      </font>
      <fill>
        <patternFill patternType="solid">
          <fgColor rgb="00FFE699"/>
        </patternFill>
      </fill>
    </dxf>
    <dxf>
      <font>
        <name val="Arial"/>
        <b val="1"/>
        <color rgb="00C00000"/>
      </font>
    </dxf>
    <dxf>
      <fill>
        <patternFill patternType="solid">
          <fgColor rgb="00FF0000"/>
        </patternFill>
      </fill>
    </dxf>
    <dxf>
      <font>
        <name val="Arial"/>
        <b val="1"/>
        <color rgb="00006100"/>
      </font>
      <fill>
        <patternFill patternType="solid">
          <fgColor rgb="00C6EFCE"/>
        </patternFill>
      </fill>
    </dxf>
    <dxf>
      <font>
        <name val="Arial"/>
        <b val="1"/>
        <color rgb="009C0006"/>
      </font>
      <fill>
        <patternFill patternType="solid">
          <fgColor rgb="00FFC7CE"/>
        </patternFill>
      </fill>
    </dxf>
    <dxf>
      <fill>
        <patternFill patternType="solid">
          <fgColor rgb="00C6EFCE"/>
        </patternFill>
      </fill>
    </dxf>
    <dxf>
      <fill>
        <patternFill patternType="solid">
          <fgColor rgb="00FFC7CE"/>
        </patternFill>
      </fill>
    </dxf>
    <dxf>
      <fill>
        <patternFill patternType="solid">
          <fgColor rgb="00F7F4FB"/>
        </patternFill>
      </fill>
    </dxf>
    <dxf>
      <fill>
        <patternFill patternType="solid">
          <fgColor rgb="00FFF2CC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styles" Target="styles.xml" Id="rId15" /><Relationship Type="http://schemas.openxmlformats.org/officeDocument/2006/relationships/theme" Target="theme/theme1.xml" Id="rId16" /><Relationship Type="http://schemas.microsoft.com/office/2006/relationships/vbaProject" Target="/xl/vbaProject.bin" Id="rIdVBA1" /></Relationships>
</file>

<file path=xl/comments/comment1.xml><?xml version="1.0" encoding="utf-8"?>
<comments xmlns="http://schemas.openxmlformats.org/spreadsheetml/2006/main">
  <authors>
    <author>Cotizador</author>
  </authors>
  <commentList>
    <comment ref="L9" authorId="0" shapeId="0">
      <text>
        <t>% del monto financiado. Se descuenta del margen de caja (margen neto).</t>
      </text>
    </comment>
    <comment ref="C19" authorId="0" shapeId="0">
      <text>
        <t>Precio del proveedor CON IVA (ejemplo: BYD M9 de $758,450 + IVA).</t>
      </text>
    </comment>
    <comment ref="H19" authorId="0" shapeId="0">
      <text>
        <t>Descuento que el proveedor otorga a FASTPLUS. No cambia la renta del cliente; mejora el margen.</t>
      </text>
    </comment>
    <comment ref="L19" authorId="0" shapeId="0">
      <text>
        <t>Días entre el pago al proveedor y el inicio del plazo. Se cobra renta/30 × días.</t>
      </text>
    </comment>
    <comment ref="C23" authorId="0" shapeId="0">
      <text>
        <t>Anticipo sin IVA (ejemplo: 10% del valor).</t>
      </text>
    </comment>
    <comment ref="C29" authorId="0" shapeId="0">
      <text>
        <t>IVA incluido. Mantenimiento preventivo, garantía extendida u otros; se financian en la renta.</t>
      </text>
    </comment>
    <comment ref="L29" authorId="0" shapeId="0">
      <text>
        <t>IVA incluido. Se financia en la renta.</t>
      </text>
    </comment>
    <comment ref="C31" authorId="0" shapeId="0">
      <text>
        <t>Sin IVA. Se cobra en el pago inicial.</t>
      </text>
    </comment>
    <comment ref="L31" authorId="0" shapeId="0">
      <text>
        <t>Vacío = usa el rate card de la hoja Factores.</t>
      </text>
    </comment>
  </commentList>
</comments>
</file>

<file path=xl/comments/comment2.xml><?xml version="1.0" encoding="utf-8"?>
<comments xmlns="http://schemas.openxmlformats.org/spreadsheetml/2006/main">
  <authors>
    <author>Cotizador</author>
  </authors>
  <commentList>
    <comment ref="C12" authorId="0" shapeId="0">
      <text>
        <t>Dato del archivo original de SOFOPLUS (20.5%). Actualice con su costo de fondeo.</t>
      </text>
    </comment>
    <comment ref="C13" authorId="0" shapeId="0">
      <text>
        <t>Actualice con la TIIE 28 días publicada por Banxico.</t>
      </text>
    </comment>
    <comment ref="C22" authorId="0" shapeId="0">
      <text>
        <t>Ley del ISR art. 28 fr. XIII: renta de automóviles deducible hasta $200 diarios ($285 eléctricos/híbridos). Verifique con su área fiscal.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jpeg" Id="rId1" /></Relationships>
</file>

<file path=xl/drawings/_rels/drawing2.xml.rels><Relationships xmlns="http://schemas.openxmlformats.org/package/2006/relationships"><Relationship Type="http://schemas.openxmlformats.org/officeDocument/2006/relationships/image" Target="/xl/media/image2.jpeg" Id="rId1" /></Relationships>
</file>

<file path=xl/drawings/_rels/drawing3.xml.rels><Relationships xmlns="http://schemas.openxmlformats.org/package/2006/relationships"><Relationship Type="http://schemas.openxmlformats.org/officeDocument/2006/relationships/image" Target="/xl/media/image3.jpeg" Id="rId1" /></Relationships>
</file>

<file path=xl/drawings/_rels/drawing4.xml.rels><Relationships xmlns="http://schemas.openxmlformats.org/package/2006/relationships"><Relationship Type="http://schemas.openxmlformats.org/officeDocument/2006/relationships/image" Target="/xl/media/image4.jpeg" Id="rId1" /></Relationships>
</file>

<file path=xl/drawings/_rels/drawing5.xml.rels><Relationships xmlns="http://schemas.openxmlformats.org/package/2006/relationships"><Relationship Type="http://schemas.openxmlformats.org/officeDocument/2006/relationships/image" Target="/xl/media/image5.jpe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1</col>
      <colOff>0</colOff>
      <row>0</row>
      <rowOff>0</rowOff>
    </from>
    <ext cx="962025" cy="4572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twoCellAnchor editAs="absolute">
    <from>
      <col>1</col>
      <colOff>38100</colOff>
      <row>3</row>
      <rowOff>38100</rowOff>
    </from>
    <to>
      <col>1</col>
      <colOff>1609725</colOff>
      <row>3</row>
      <rowOff>342900</rowOff>
    </to>
    <sp macro="[0]!NuevaCotizacion" textlink="">
      <nvSpPr>
        <cNvPr id="900" name="btn_NuevaCotizacion_900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Nueva cotización</a:t>
          </a:r>
        </a:p>
      </txBody>
    </sp>
    <clientData fPrintsWithSheet="0"/>
  </twoCellAnchor>
  <twoCellAnchor editAs="absolute">
    <from>
      <col>2</col>
      <colOff>38100</colOff>
      <row>3</row>
      <rowOff>38100</rowOff>
    </from>
    <to>
      <col>2</col>
      <colOff>909637</colOff>
      <row>3</row>
      <rowOff>342900</rowOff>
    </to>
    <sp macro="[0]!GuardarCotizacion" textlink="">
      <nvSpPr>
        <cNvPr id="901" name="btn_GuardarCotizacion_901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Guardar</a:t>
          </a:r>
        </a:p>
      </txBody>
    </sp>
    <clientData fPrintsWithSheet="0"/>
  </twoCellAnchor>
  <twoCellAnchor editAs="absolute">
    <from>
      <col>3</col>
      <colOff>38100</colOff>
      <row>3</row>
      <rowOff>38100</rowOff>
    </from>
    <to>
      <col>3</col>
      <colOff>909637</colOff>
      <row>3</row>
      <rowOff>342900</rowOff>
    </to>
    <sp macro="[0]!CargarCotizacion" textlink="">
      <nvSpPr>
        <cNvPr id="902" name="btn_CargarCotizacion_902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Cargar folio</a:t>
          </a:r>
        </a:p>
      </txBody>
    </sp>
    <clientData fPrintsWithSheet="0"/>
  </twoCellAnchor>
  <twoCellAnchor editAs="absolute">
    <from>
      <col>4</col>
      <colOff>38100</colOff>
      <row>3</row>
      <rowOff>38100</rowOff>
    </from>
    <to>
      <col>5</col>
      <colOff>909637</colOff>
      <row>3</row>
      <rowOff>342900</rowOff>
    </to>
    <sp macro="[0]!ExportarPaqueteCliente" textlink="">
      <nvSpPr>
        <cNvPr id="903" name="btn_ExportarPaqueteCliente_903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C9A227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Propuesta completa PDF</a:t>
          </a:r>
        </a:p>
      </txBody>
    </sp>
    <clientData fPrintsWithSheet="0"/>
  </twoCellAnchor>
  <twoCellAnchor editAs="absolute">
    <from>
      <col>6</col>
      <colOff>38100</colOff>
      <row>3</row>
      <rowOff>38100</rowOff>
    </from>
    <to>
      <col>7</col>
      <colOff>909637</colOff>
      <row>3</row>
      <rowOff>342900</rowOff>
    </to>
    <sp macro="[0]!GenerarEPropuesta" textlink="">
      <nvSpPr>
        <cNvPr id="904" name="btn_GenerarEPropuesta_904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C9A227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Generar e-Propuesta</a:t>
          </a:r>
        </a:p>
      </txBody>
    </sp>
    <clientData fPrintsWithSheet="0"/>
  </twoCellAnchor>
  <twoCellAnchor editAs="absolute">
    <from>
      <col>8</col>
      <colOff>38100</colOff>
      <row>3</row>
      <rowOff>38100</rowOff>
    </from>
    <to>
      <col>9</col>
      <colOff>909637</colOff>
      <row>3</row>
      <rowOff>342900</rowOff>
    </to>
    <sp macro="[0]!EnviarPorCorreo" textlink="">
      <nvSpPr>
        <cNvPr id="905" name="btn_EnviarPorCorreo_905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C9A227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Enviar por correo</a:t>
          </a:r>
        </a:p>
      </txBody>
    </sp>
    <clientData fPrintsWithSheet="0"/>
  </twoCellAnchor>
  <twoCellAnchor editAs="absolute">
    <from>
      <col>10</col>
      <colOff>38100</colOff>
      <row>3</row>
      <rowOff>38100</rowOff>
    </from>
    <to>
      <col>11</col>
      <colOff>909637</colOff>
      <row>3</row>
      <rowOff>342900</rowOff>
    </to>
    <sp macro="[0]!AjustarRentaDeducible" textlink="">
      <nvSpPr>
        <cNvPr id="906" name="btn_AjustarRentaDeducible_906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Ajustar renta deducible</a:t>
          </a:r>
        </a:p>
      </txBody>
    </sp>
    <clientData fPrintsWithSheet="0"/>
  </twoCellAnchor>
  <twoCellAnchor editAs="absolute">
    <from>
      <col>12</col>
      <colOff>38100</colOff>
      <row>3</row>
      <rowOff>38100</rowOff>
    </from>
    <to>
      <col>13</col>
      <colOff>909637</colOff>
      <row>3</row>
      <rowOff>342900</rowOff>
    </to>
    <sp macro="[0]!AccesoGerencia" textlink="">
      <nvSpPr>
        <cNvPr id="907" name="btn_AccesoGerencia_907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6B6B6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Acceso gerencia</a:t>
          </a:r>
        </a:p>
      </txBody>
    </sp>
    <clientData fPrintsWithSheet="0"/>
  </two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4</col>
      <colOff>0</colOff>
      <row>0</row>
      <rowOff>0</rowOff>
    </from>
    <ext cx="1247775" cy="59055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twoCellAnchor editAs="absolute">
    <from>
      <col>8</col>
      <colOff>38100</colOff>
      <row>1</row>
      <rowOff>38100</rowOff>
    </from>
    <to>
      <col>9</col>
      <colOff>571595</colOff>
      <row>2</row>
      <rowOff>152400</rowOff>
    </to>
    <sp macro="[0]!GenerarEPropuesta" textlink="">
      <nvSpPr>
        <cNvPr id="900" name="btn_GenerarEPropuesta_900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C9A227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Generar e-Propuesta</a:t>
          </a:r>
        </a:p>
      </txBody>
    </sp>
    <clientData fPrintsWithSheet="0"/>
  </twoCellAnchor>
  <twoCellAnchor editAs="absolute">
    <from>
      <col>8</col>
      <colOff>38100</colOff>
      <row>4</row>
      <rowOff>38100</rowOff>
    </from>
    <to>
      <col>9</col>
      <colOff>571595</colOff>
      <row>5</row>
      <rowOff>152400</rowOff>
    </to>
    <sp macro="[0]!ExportarPropuestaPDF" textlink="">
      <nvSpPr>
        <cNvPr id="901" name="btn_ExportarPropuestaPDF_901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Propuesta en PDF</a:t>
          </a:r>
        </a:p>
      </txBody>
    </sp>
    <clientData fPrintsWithSheet="0"/>
  </twoCellAnchor>
  <twoCellAnchor editAs="absolute">
    <from>
      <col>8</col>
      <colOff>38100</colOff>
      <row>7</row>
      <rowOff>38100</rowOff>
    </from>
    <to>
      <col>9</col>
      <colOff>571595</colOff>
      <row>8</row>
      <rowOff>152400</rowOff>
    </to>
    <sp macro="[0]!IrCotizador" textlink="">
      <nvSpPr>
        <cNvPr id="902" name="btn_IrCotizador_902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6B6B6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Regresar al Cotizador</a:t>
          </a:r>
        </a:p>
      </txBody>
    </sp>
    <clientData fPrintsWithSheet="0"/>
  </twoCellAnchor>
</wsDr>
</file>

<file path=xl/drawings/drawing3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1</col>
      <colOff>0</colOff>
      <row>0</row>
      <rowOff>0</rowOff>
    </from>
    <ext cx="1200150" cy="5715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twoCellAnchor editAs="absolute">
    <from>
      <col>9</col>
      <colOff>38100</colOff>
      <row>1</row>
      <rowOff>38100</rowOff>
    </from>
    <to>
      <col>10</col>
      <colOff>571595</colOff>
      <row>2</row>
      <rowOff>152400</rowOff>
    </to>
    <sp macro="[0]!GenerarEPagoInicial" textlink="">
      <nvSpPr>
        <cNvPr id="900" name="btn_GenerarEPagoInicial_900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C9A227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Generar e-Pago Inicial</a:t>
          </a:r>
        </a:p>
      </txBody>
    </sp>
    <clientData fPrintsWithSheet="0"/>
  </twoCellAnchor>
  <twoCellAnchor editAs="absolute">
    <from>
      <col>9</col>
      <colOff>38100</colOff>
      <row>4</row>
      <rowOff>38100</rowOff>
    </from>
    <to>
      <col>10</col>
      <colOff>571595</colOff>
      <row>5</row>
      <rowOff>152400</rowOff>
    </to>
    <sp macro="[0]!ExportarPaqueteCliente" textlink="">
      <nvSpPr>
        <cNvPr id="901" name="btn_ExportarPaqueteCliente_901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Propuesta completa PDF</a:t>
          </a:r>
        </a:p>
      </txBody>
    </sp>
    <clientData fPrintsWithSheet="0"/>
  </twoCellAnchor>
  <twoCellAnchor editAs="absolute">
    <from>
      <col>9</col>
      <colOff>38100</colOff>
      <row>7</row>
      <rowOff>38100</rowOff>
    </from>
    <to>
      <col>10</col>
      <colOff>571595</colOff>
      <row>8</row>
      <rowOff>152400</rowOff>
    </to>
    <sp macro="[0]!IrCotizador" textlink="">
      <nvSpPr>
        <cNvPr id="902" name="btn_IrCotizador_902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6B6B6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Regresar al Cotizador</a:t>
          </a:r>
        </a:p>
      </txBody>
    </sp>
    <clientData fPrintsWithSheet="0"/>
  </twoCellAnchor>
</wsDr>
</file>

<file path=xl/drawings/drawing4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4</col>
      <colOff>0</colOff>
      <row>0</row>
      <rowOff>0</rowOff>
    </from>
    <ext cx="1247775" cy="59055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twoCellAnchor editAs="absolute">
    <from>
      <col>8</col>
      <colOff>38100</colOff>
      <row>1</row>
      <rowOff>38100</rowOff>
    </from>
    <to>
      <col>9</col>
      <colOff>571595</colOff>
      <row>2</row>
      <rowOff>152400</rowOff>
    </to>
    <sp macro="[0]!GenerarEVenta" textlink="">
      <nvSpPr>
        <cNvPr id="900" name="btn_GenerarEVenta_900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C9A227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Generar e-Venta</a:t>
          </a:r>
        </a:p>
      </txBody>
    </sp>
    <clientData fPrintsWithSheet="0"/>
  </twoCellAnchor>
  <twoCellAnchor editAs="absolute">
    <from>
      <col>8</col>
      <colOff>38100</colOff>
      <row>4</row>
      <rowOff>38100</rowOff>
    </from>
    <to>
      <col>9</col>
      <colOff>571595</colOff>
      <row>5</row>
      <rowOff>152400</rowOff>
    </to>
    <sp macro="[0]!ExportarPromesaVentaPDF" textlink="">
      <nvSpPr>
        <cNvPr id="901" name="btn_ExportarPromesaVentaPDF_901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Carta de venta PDF</a:t>
          </a:r>
        </a:p>
      </txBody>
    </sp>
    <clientData fPrintsWithSheet="0"/>
  </twoCellAnchor>
  <twoCellAnchor editAs="absolute">
    <from>
      <col>8</col>
      <colOff>38100</colOff>
      <row>7</row>
      <rowOff>38100</rowOff>
    </from>
    <to>
      <col>9</col>
      <colOff>571595</colOff>
      <row>8</row>
      <rowOff>152400</rowOff>
    </to>
    <sp macro="[0]!IrCotizador" textlink="">
      <nvSpPr>
        <cNvPr id="902" name="btn_IrCotizador_902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6B6B6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Regresar al Cotizador</a:t>
          </a:r>
        </a:p>
      </txBody>
    </sp>
    <clientData fPrintsWithSheet="0"/>
  </twoCellAnchor>
</wsDr>
</file>

<file path=xl/drawings/drawing5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1</col>
      <colOff>0</colOff>
      <row>0</row>
      <rowOff>0</rowOff>
    </from>
    <ext cx="1104900" cy="523875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twoCellAnchor editAs="absolute">
    <from>
      <col>10</col>
      <colOff>38100</colOff>
      <row>1</row>
      <rowOff>38100</rowOff>
    </from>
    <to>
      <col>11</col>
      <colOff>571595</colOff>
      <row>2</row>
      <rowOff>152400</rowOff>
    </to>
    <sp macro="[0]!ExportarTablaPDF" textlink="">
      <nvSpPr>
        <cNvPr id="900" name="btn_ExportarTablaPDF_900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Tabla de pagos PDF</a:t>
          </a:r>
        </a:p>
      </txBody>
    </sp>
    <clientData fPrintsWithSheet="0"/>
  </twoCellAnchor>
  <twoCellAnchor editAs="absolute">
    <from>
      <col>10</col>
      <colOff>38100</colOff>
      <row>4</row>
      <rowOff>38100</rowOff>
    </from>
    <to>
      <col>11</col>
      <colOff>571595</colOff>
      <row>5</row>
      <rowOff>152400</rowOff>
    </to>
    <sp macro="[0]!IrCotizador" textlink="">
      <nvSpPr>
        <cNvPr id="901" name="btn_IrCotizador_901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6B6B6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Regresar al Cotizador</a:t>
          </a:r>
        </a:p>
      </txBody>
    </sp>
    <clientData fPrintsWithSheet="0"/>
  </twoCellAnchor>
</wsDr>
</file>

<file path=xl/drawings/drawingBtn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1</xdr:col>
      <xdr:colOff>38100</xdr:colOff>
      <xdr:row>15</xdr:row>
      <xdr:rowOff>38100</xdr:rowOff>
    </xdr:from>
    <xdr:to>
      <xdr:col>1</xdr:col>
      <xdr:colOff>2009775</xdr:colOff>
      <xdr:row>16</xdr:row>
      <xdr:rowOff>152400</xdr:rowOff>
    </xdr:to>
    <xdr:sp macro="[0]!OcultarGerencia" textlink="">
      <xdr:nvSpPr>
        <xdr:cNvPr id="900" name="btn_OcultarGerencia_900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6B6B6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Ocultar hoja</a:t>
          </a:r>
        </a:p>
      </xdr:txBody>
    </xdr:sp>
    <xdr:clientData fPrintsWithSheet="0"/>
  </xdr:twoCellAnchor>
  <xdr:twoCellAnchor editAs="absolute">
    <xdr:from>
      <xdr:col>2</xdr:col>
      <xdr:colOff>38100</xdr:colOff>
      <xdr:row>15</xdr:row>
      <xdr:rowOff>38100</xdr:rowOff>
    </xdr:from>
    <xdr:to>
      <xdr:col>3</xdr:col>
      <xdr:colOff>1009650</xdr:colOff>
      <xdr:row>16</xdr:row>
      <xdr:rowOff>152400</xdr:rowOff>
    </xdr:to>
    <xdr:sp macro="[0]!AjustarRentaDeducible" textlink="">
      <xdr:nvSpPr>
        <xdr:cNvPr id="901" name="btn_AjustarRentaDeducible_901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Ajustar renta deducible</a:t>
          </a:r>
        </a:p>
      </xdr:txBody>
    </xdr:sp>
    <xdr:clientData fPrintsWithSheet="0"/>
  </xdr:twoCellAnchor>
  <xdr:twoCellAnchor editAs="absolute">
    <xdr:from>
      <xdr:col>4</xdr:col>
      <xdr:colOff>38100</xdr:colOff>
      <xdr:row>15</xdr:row>
      <xdr:rowOff>38100</xdr:rowOff>
    </xdr:from>
    <xdr:to>
      <xdr:col>5</xdr:col>
      <xdr:colOff>1009650</xdr:colOff>
      <xdr:row>16</xdr:row>
      <xdr:rowOff>152400</xdr:rowOff>
    </xdr:to>
    <xdr:sp macro="[0]!AplicarTasaMinima" textlink="">
      <xdr:nvSpPr>
        <xdr:cNvPr id="902" name="btn_AplicarTasaMinima_902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Margen mínimo (rate card)</a:t>
          </a:r>
        </a:p>
      </xdr:txBody>
    </xdr:sp>
    <xdr:clientData fPrintsWithSheet="0"/>
  </xdr:twoCellAnchor>
  <xdr:twoCellAnchor editAs="absolute">
    <xdr:from>
      <xdr:col>6</xdr:col>
      <xdr:colOff>38100</xdr:colOff>
      <xdr:row>15</xdr:row>
      <xdr:rowOff>38100</xdr:rowOff>
    </xdr:from>
    <xdr:to>
      <xdr:col>7</xdr:col>
      <xdr:colOff>1009650</xdr:colOff>
      <xdr:row>16</xdr:row>
      <xdr:rowOff>152400</xdr:rowOff>
    </xdr:to>
    <xdr:sp macro="[0]!ExportarCreditoPDF" textlink="">
      <xdr:nvSpPr>
        <xdr:cNvPr id="903" name="btn_ExportarCreditoPDF_903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C9A227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Expediente interno PDF</a:t>
          </a:r>
        </a:p>
      </xdr:txBody>
    </xdr:sp>
    <xdr:clientData fPrintsWithSheet="0"/>
  </xdr:twoCellAnchor>
  <xdr:twoCellAnchor editAs="absolute">
    <xdr:from>
      <xdr:col>8</xdr:col>
      <xdr:colOff>38100</xdr:colOff>
      <xdr:row>15</xdr:row>
      <xdr:rowOff>38100</xdr:rowOff>
    </xdr:from>
    <xdr:to>
      <xdr:col>9</xdr:col>
      <xdr:colOff>1009650</xdr:colOff>
      <xdr:row>16</xdr:row>
      <xdr:rowOff>152400</xdr:rowOff>
    </xdr:to>
    <xdr:sp macro="[0]!IrCotizador" textlink="">
      <xdr:nvSpPr>
        <xdr:cNvPr id="904" name="btn_IrCotizador_904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6B6B6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Regresar al Cotizador</a:t>
          </a:r>
        </a:p>
      </xdr:txBody>
    </xdr:sp>
    <xdr:clientData fPrintsWithSheet="0"/>
  </xdr:twoCellAnchor>
</xdr:wsDr>
</file>

<file path=xl/drawings/drawingBtn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6</xdr:col>
      <xdr:colOff>38100</xdr:colOff>
      <xdr:row>1</xdr:row>
      <xdr:rowOff>38100</xdr:rowOff>
    </xdr:from>
    <xdr:to>
      <xdr:col>7</xdr:col>
      <xdr:colOff>571595</xdr:colOff>
      <xdr:row>2</xdr:row>
      <xdr:rowOff>152400</xdr:rowOff>
    </xdr:to>
    <xdr:sp macro="[0]!MostrarBonos" textlink="">
      <xdr:nvSpPr>
        <xdr:cNvPr id="900" name="btn_MostrarBonos_900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Mostrar bonos</a:t>
          </a:r>
        </a:p>
      </xdr:txBody>
    </xdr:sp>
    <xdr:clientData fPrintsWithSheet="0"/>
  </xdr:twoCellAnchor>
  <xdr:twoCellAnchor editAs="absolute">
    <xdr:from>
      <xdr:col>6</xdr:col>
      <xdr:colOff>38100</xdr:colOff>
      <xdr:row>4</xdr:row>
      <xdr:rowOff>38100</xdr:rowOff>
    </xdr:from>
    <xdr:to>
      <xdr:col>7</xdr:col>
      <xdr:colOff>571595</xdr:colOff>
      <xdr:row>5</xdr:row>
      <xdr:rowOff>152400</xdr:rowOff>
    </xdr:to>
    <xdr:sp macro="[0]!OcultarBonos" textlink="">
      <xdr:nvSpPr>
        <xdr:cNvPr id="901" name="btn_OcultarBonos_901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Ocultar bonos</a:t>
          </a:r>
        </a:p>
      </xdr:txBody>
    </xdr:sp>
    <xdr:clientData fPrintsWithSheet="0"/>
  </xdr:twoCellAnchor>
  <xdr:twoCellAnchor editAs="absolute">
    <xdr:from>
      <xdr:col>6</xdr:col>
      <xdr:colOff>38100</xdr:colOff>
      <xdr:row>7</xdr:row>
      <xdr:rowOff>38100</xdr:rowOff>
    </xdr:from>
    <xdr:to>
      <xdr:col>7</xdr:col>
      <xdr:colOff>571595</xdr:colOff>
      <xdr:row>8</xdr:row>
      <xdr:rowOff>152400</xdr:rowOff>
    </xdr:to>
    <xdr:sp macro="[0]!OcultarGerencia" textlink="">
      <xdr:nvSpPr>
        <xdr:cNvPr id="902" name="btn_OcultarGerencia_902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6B6B6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Ocultar hoja</a:t>
          </a:r>
        </a:p>
      </xdr:txBody>
    </xdr:sp>
    <xdr:clientData fPrintsWithSheet="0"/>
  </xdr:twoCellAnchor>
</xdr:wsDr>
</file>

<file path=xl/drawings/drawingBtn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7</xdr:col>
      <xdr:colOff>38100</xdr:colOff>
      <xdr:row>1</xdr:row>
      <xdr:rowOff>38100</xdr:rowOff>
    </xdr:from>
    <xdr:to>
      <xdr:col>8</xdr:col>
      <xdr:colOff>571595</xdr:colOff>
      <xdr:row>2</xdr:row>
      <xdr:rowOff>152400</xdr:rowOff>
    </xdr:to>
    <xdr:sp macro="[0]!ExportarResumenComitePDF" textlink="">
      <xdr:nvSpPr>
        <xdr:cNvPr id="900" name="btn_ExportarResumenComitePDF_900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C9A227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Hoja de riesgo PDF</a:t>
          </a:r>
        </a:p>
      </xdr:txBody>
    </xdr:sp>
    <xdr:clientData fPrintsWithSheet="0"/>
  </xdr:twoCellAnchor>
  <xdr:twoCellAnchor editAs="absolute">
    <xdr:from>
      <xdr:col>7</xdr:col>
      <xdr:colOff>38100</xdr:colOff>
      <xdr:row>4</xdr:row>
      <xdr:rowOff>38100</xdr:rowOff>
    </xdr:from>
    <xdr:to>
      <xdr:col>8</xdr:col>
      <xdr:colOff>571595</xdr:colOff>
      <xdr:row>5</xdr:row>
      <xdr:rowOff>152400</xdr:rowOff>
    </xdr:to>
    <xdr:sp macro="[0]!OcultarGerencia" textlink="">
      <xdr:nvSpPr>
        <xdr:cNvPr id="901" name="btn_OcultarGerencia_901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6B6B6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Ocultar hoja</a:t>
          </a:r>
        </a:p>
      </xdr:txBody>
    </xdr:sp>
    <xdr:clientData fPrintsWithSheet="0"/>
  </xdr:twoCellAnchor>
  <xdr:twoCellAnchor editAs="absolute">
    <xdr:from>
      <xdr:col>7</xdr:col>
      <xdr:colOff>38100</xdr:colOff>
      <xdr:row>7</xdr:row>
      <xdr:rowOff>38100</xdr:rowOff>
    </xdr:from>
    <xdr:to>
      <xdr:col>8</xdr:col>
      <xdr:colOff>571595</xdr:colOff>
      <xdr:row>8</xdr:row>
      <xdr:rowOff>152400</xdr:rowOff>
    </xdr:to>
    <xdr:sp macro="[0]!IrCotizador" textlink="">
      <xdr:nvSpPr>
        <xdr:cNvPr id="902" name="btn_IrCotizador_902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6B6B6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Regresar al Cotizador</a:t>
          </a:r>
        </a:p>
      </xdr:txBody>
    </xdr:sp>
    <xdr:clientData fPrintsWithSheet="0"/>
  </xdr:twoCellAnchor>
</xdr:wsDr>
</file>

<file path=xl/drawings/drawingBtn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9</xdr:col>
      <xdr:colOff>38100</xdr:colOff>
      <xdr:row>0</xdr:row>
      <xdr:rowOff>38100</xdr:rowOff>
    </xdr:from>
    <xdr:to>
      <xdr:col>10</xdr:col>
      <xdr:colOff>1009650</xdr:colOff>
      <xdr:row>1</xdr:row>
      <xdr:rowOff>152400</xdr:rowOff>
    </xdr:to>
    <xdr:sp macro="[0]!CargarCotizacion" textlink="">
      <xdr:nvSpPr>
        <xdr:cNvPr id="900" name="btn_CargarCotizacion_900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Cargar folio seleccionado</a:t>
          </a:r>
        </a:p>
      </xdr:txBody>
    </xdr:sp>
    <xdr:clientData fPrintsWithSheet="0"/>
  </xdr:twoCellAnchor>
  <xdr:twoCellAnchor editAs="absolute">
    <xdr:from>
      <xdr:col>11</xdr:col>
      <xdr:colOff>38100</xdr:colOff>
      <xdr:row>0</xdr:row>
      <xdr:rowOff>38100</xdr:rowOff>
    </xdr:from>
    <xdr:to>
      <xdr:col>12</xdr:col>
      <xdr:colOff>676275</xdr:colOff>
      <xdr:row>1</xdr:row>
      <xdr:rowOff>152400</xdr:rowOff>
    </xdr:to>
    <xdr:sp macro="[0]!IrCotizador" textlink="">
      <xdr:nvSpPr>
        <xdr:cNvPr id="901" name="btn_IrCotizador_901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6B6B6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Regresar al Cotizador</a:t>
          </a:r>
        </a:p>
      </xdr:txBody>
    </xdr:sp>
    <xdr:clientData fPrintsWithSheet="0"/>
  </xdr:twoCellAnchor>
</xdr:wsDr>
</file>

<file path=xl/drawings/drawingBtn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7</xdr:col>
      <xdr:colOff>38100</xdr:colOff>
      <xdr:row>0</xdr:row>
      <xdr:rowOff>38100</xdr:rowOff>
    </xdr:from>
    <xdr:to>
      <xdr:col>8</xdr:col>
      <xdr:colOff>2276475</xdr:colOff>
      <xdr:row>1</xdr:row>
      <xdr:rowOff>152400</xdr:rowOff>
    </xdr:to>
    <xdr:sp macro="[0]!OcultarRestringidas" textlink="">
      <xdr:nvSpPr>
        <xdr:cNvPr id="900" name="btn_OcultarRestringidas_900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6B6B6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Ocultar hojas restringidas</a:t>
          </a:r>
        </a:p>
      </xdr:txBody>
    </xdr:sp>
    <xdr:clientData fPrintsWithSheet="0"/>
  </xdr:twoCellAnchor>
  <xdr:twoCellAnchor editAs="absolute">
    <xdr:from>
      <xdr:col>9</xdr:col>
      <xdr:colOff>38100</xdr:colOff>
      <xdr:row>0</xdr:row>
      <xdr:rowOff>38100</xdr:rowOff>
    </xdr:from>
    <xdr:to>
      <xdr:col>10</xdr:col>
      <xdr:colOff>1209675</xdr:colOff>
      <xdr:row>1</xdr:row>
      <xdr:rowOff>152400</xdr:rowOff>
    </xdr:to>
    <xdr:sp macro="[0]!ProtegerHojas" textlink="">
      <xdr:nvSpPr>
        <xdr:cNvPr id="901" name="btn_ProtegerHojas_901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Proteger libro y hojas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Btn1.xml" Id="rIdBtnDr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Btn2.xml" Id="rIdBtnDr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Btn3.xml" Id="rIdBtnDr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Btn4.xml" Id="rIdBtnDr" 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2.xml" Id="comments" /><Relationship Type="http://schemas.openxmlformats.org/officeDocument/2006/relationships/vmlDrawing" Target="/xl/drawings/commentsDrawing2.vml" Id="anysvml" /><Relationship Type="http://schemas.openxmlformats.org/officeDocument/2006/relationships/drawing" Target="/xl/drawings/drawingBtn5.xml" Id="rIdBtnDr" /></Relationships>
</file>

<file path=xl/worksheets/sheet1.xml><?xml version="1.0" encoding="utf-8"?>
<worksheet xmlns="http://schemas.openxmlformats.org/spreadsheetml/2006/main">
  <sheetPr codeName="Hoja1">
    <tabColor rgb="00FFC000"/>
    <outlinePr summaryBelow="1" summaryRight="1"/>
    <pageSetUpPr fitToPage="1"/>
  </sheetPr>
  <dimension ref="B1:N66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" customWidth="1" min="1" max="1"/>
    <col width="24" customWidth="1" min="2" max="2"/>
    <col width="13.5" customWidth="1" min="3" max="3"/>
    <col width="13.5" customWidth="1" min="4" max="4"/>
    <col width="13.5" customWidth="1" min="5" max="5"/>
    <col width="13.5" customWidth="1" min="6" max="6"/>
    <col width="13.5" customWidth="1" min="7" max="7"/>
    <col width="13.5" customWidth="1" min="8" max="8"/>
    <col width="13.5" customWidth="1" min="9" max="9"/>
    <col width="13.5" customWidth="1" min="10" max="10"/>
    <col width="13.5" customWidth="1" min="11" max="11"/>
    <col width="13.5" customWidth="1" min="12" max="12"/>
    <col width="13.5" customWidth="1" min="13" max="13"/>
    <col width="13.5" customWidth="1" min="14" max="14"/>
    <col width="2" customWidth="1" min="15" max="15"/>
  </cols>
  <sheetData>
    <row r="1"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</row>
    <row r="2" ht="20" customHeight="1">
      <c r="B2" s="1" t="n"/>
      <c r="C2" s="1" t="n"/>
      <c r="D2" s="2" t="inlineStr">
        <is>
          <t>Cotizador Master FASTPLUS versión 1.0</t>
        </is>
      </c>
      <c r="H2" s="3" t="inlineStr">
        <is>
          <t>Promotor:</t>
        </is>
      </c>
      <c r="I2" s="4" t="inlineStr">
        <is>
          <t>NOMBRE DEL PROMOTOR</t>
        </is>
      </c>
      <c r="J2" s="5" t="n"/>
      <c r="K2" s="5" t="n"/>
      <c r="L2" s="3" t="inlineStr">
        <is>
          <t>Oficina:</t>
        </is>
      </c>
      <c r="M2" s="6" t="str">
        <f>sel_PromRegion</f>
        <v>CDMX</v>
      </c>
      <c r="N2" s="7" t="n"/>
    </row>
    <row r="3">
      <c r="B3" s="1" t="n"/>
      <c r="C3" s="1" t="n"/>
      <c r="D3" s="1" t="n"/>
      <c r="E3" s="1" t="n"/>
      <c r="F3" s="1" t="n"/>
      <c r="G3" s="1" t="n"/>
      <c r="H3" s="3" t="inlineStr">
        <is>
          <t>Folio:</t>
        </is>
      </c>
      <c r="I3" s="4" t="inlineStr">
        <is>
          <t>FP-0001</t>
        </is>
      </c>
      <c r="J3" s="1" t="n"/>
      <c r="K3" s="1" t="n"/>
      <c r="L3" s="3" t="inlineStr">
        <is>
          <t>Tipo:</t>
        </is>
      </c>
      <c r="M3" s="6" t="str">
        <f>sel_PromPuesto</f>
        <v>Promotor Fastplus</v>
      </c>
      <c r="N3" s="7" t="n"/>
    </row>
    <row r="4" ht="30" customHeight="1">
      <c r="B4" s="1" t="n"/>
      <c r="C4" s="1" t="n"/>
      <c r="D4" s="1" t="n"/>
      <c r="E4" s="1" t="n"/>
      <c r="F4" s="1" t="n"/>
      <c r="G4" s="1" t="n"/>
      <c r="H4" s="1" t="n"/>
      <c r="I4" s="1" t="n"/>
      <c r="J4" s="1" t="n"/>
      <c r="K4" s="1" t="n"/>
      <c r="L4" s="1" t="n"/>
      <c r="M4" s="1" t="n"/>
      <c r="N4" s="1" t="n"/>
    </row>
    <row r="5" ht="17" customHeight="1">
      <c r="B5" s="8" t="inlineStr">
        <is>
          <t>Introducir datos generales</t>
        </is>
      </c>
    </row>
    <row r="6">
      <c r="B6" s="1" t="n"/>
      <c r="C6" s="1" t="n"/>
      <c r="D6" s="1" t="n"/>
      <c r="E6" s="1" t="n"/>
      <c r="F6" s="1" t="n"/>
      <c r="G6" s="1" t="n"/>
      <c r="H6" s="1" t="n"/>
      <c r="I6" s="1" t="n"/>
      <c r="J6" s="1" t="n"/>
      <c r="K6" s="1" t="n"/>
      <c r="L6" s="1" t="n"/>
      <c r="M6" s="1" t="n"/>
      <c r="N6" s="1" t="n"/>
    </row>
    <row r="7">
      <c r="B7" s="3" t="inlineStr">
        <is>
          <t>Cliente:</t>
        </is>
      </c>
      <c r="C7" s="4" t="inlineStr">
        <is>
          <t>CLIENTE DE EJEMPLO, S.A. DE C.V.</t>
        </is>
      </c>
      <c r="D7" s="5" t="n"/>
      <c r="E7" s="5" t="n"/>
      <c r="F7" s="5" t="n"/>
      <c r="G7" s="5" t="n"/>
      <c r="H7" s="3" t="inlineStr">
        <is>
          <t>Atención:</t>
        </is>
      </c>
      <c r="I7" s="4" t="inlineStr"/>
      <c r="J7" s="5" t="n"/>
      <c r="K7" s="5" t="n"/>
      <c r="L7" s="3" t="inlineStr">
        <is>
          <t>RFC:</t>
        </is>
      </c>
      <c r="M7" s="4" t="inlineStr"/>
      <c r="N7" s="5" t="n"/>
    </row>
    <row r="8">
      <c r="B8" s="1" t="n"/>
      <c r="C8" s="1" t="n"/>
      <c r="D8" s="1" t="n"/>
      <c r="E8" s="1" t="n"/>
      <c r="F8" s="1" t="n"/>
      <c r="G8" s="1" t="n"/>
      <c r="H8" s="1" t="n"/>
      <c r="I8" s="1" t="n"/>
      <c r="J8" s="1" t="n"/>
      <c r="K8" s="1" t="n"/>
      <c r="L8" s="1" t="n"/>
      <c r="M8" s="1" t="n"/>
      <c r="N8" s="1" t="n"/>
    </row>
    <row r="9">
      <c r="B9" s="3" t="inlineStr">
        <is>
          <t>Fecha:</t>
        </is>
      </c>
      <c r="C9" s="9" t="n">
        <v>46301</v>
      </c>
      <c r="D9" s="1" t="n"/>
      <c r="E9" s="3" t="inlineStr">
        <is>
          <t>Originador de operación:</t>
        </is>
      </c>
      <c r="G9" s="4" t="inlineStr">
        <is>
          <t>Promotor FASTPLUS</t>
        </is>
      </c>
      <c r="H9" s="5" t="n"/>
      <c r="I9" s="3" t="inlineStr">
        <is>
          <t>Comisión para originador:</t>
        </is>
      </c>
      <c r="L9" s="10" t="n">
        <v>0</v>
      </c>
      <c r="M9" s="1" t="n"/>
      <c r="N9" s="1" t="n"/>
    </row>
    <row r="10">
      <c r="B10" s="1" t="n"/>
      <c r="C10" s="1" t="n"/>
      <c r="D10" s="1" t="n"/>
      <c r="E10" s="1" t="n"/>
      <c r="F10" s="1" t="n"/>
      <c r="G10" s="1" t="n"/>
      <c r="H10" s="1" t="n"/>
      <c r="I10" s="1" t="n"/>
      <c r="J10" s="1" t="n"/>
      <c r="K10" s="1" t="n"/>
      <c r="L10" s="1" t="n"/>
      <c r="M10" s="1" t="n"/>
      <c r="N10" s="1" t="n"/>
    </row>
    <row r="11">
      <c r="B11" s="3" t="inlineStr">
        <is>
          <t>Tipo de activo:</t>
        </is>
      </c>
      <c r="C11" s="4" t="inlineStr">
        <is>
          <t>Automóvil eléctrico / híbrido</t>
        </is>
      </c>
      <c r="D11" s="5" t="n"/>
      <c r="E11" s="5" t="n"/>
      <c r="F11" s="3" t="inlineStr">
        <is>
          <t>Descripción de activo:</t>
        </is>
      </c>
      <c r="H11" s="4" t="inlineStr">
        <is>
          <t>Auto BYD M9 2026</t>
        </is>
      </c>
      <c r="I11" s="5" t="n"/>
      <c r="J11" s="5" t="n"/>
      <c r="K11" s="5" t="n"/>
      <c r="L11" s="5" t="n"/>
      <c r="M11" s="5" t="n"/>
      <c r="N11" s="5" t="n"/>
    </row>
    <row r="12">
      <c r="B12" s="1" t="n"/>
      <c r="C12" s="1" t="n"/>
      <c r="D12" s="1" t="n"/>
      <c r="E12" s="1" t="n"/>
      <c r="F12" s="1" t="n"/>
      <c r="G12" s="1" t="n"/>
      <c r="H12" s="1" t="n"/>
      <c r="I12" s="1" t="n"/>
      <c r="J12" s="1" t="n"/>
      <c r="K12" s="1" t="n"/>
      <c r="L12" s="1" t="n"/>
      <c r="M12" s="1" t="n"/>
      <c r="N12" s="1" t="n"/>
    </row>
    <row r="13">
      <c r="B13" s="3" t="inlineStr">
        <is>
          <t>Estado del bien:</t>
        </is>
      </c>
      <c r="C13" s="4" t="inlineStr">
        <is>
          <t>Nuevo</t>
        </is>
      </c>
      <c r="D13" s="3" t="inlineStr">
        <is>
          <t>Proveedor:</t>
        </is>
      </c>
      <c r="E13" s="4" t="inlineStr"/>
      <c r="F13" s="5" t="n"/>
      <c r="G13" s="5" t="n"/>
      <c r="H13" s="5" t="n"/>
      <c r="I13" s="3" t="inlineStr">
        <is>
          <t>Producto:</t>
        </is>
      </c>
      <c r="J13" s="4" t="inlineStr">
        <is>
          <t>FASTPLUS</t>
        </is>
      </c>
      <c r="K13" s="5" t="n"/>
      <c r="L13" s="3" t="inlineStr">
        <is>
          <t>Ventas anuales:</t>
        </is>
      </c>
      <c r="M13" s="4" t="inlineStr">
        <is>
          <t>Menos de $50 millones</t>
        </is>
      </c>
      <c r="N13" s="5" t="n"/>
    </row>
    <row r="14">
      <c r="B14" s="1" t="n"/>
      <c r="C14" s="1" t="n"/>
      <c r="D14" s="1" t="n"/>
      <c r="E14" s="1" t="n"/>
      <c r="F14" s="1" t="n"/>
      <c r="G14" s="1" t="n"/>
      <c r="H14" s="1" t="n"/>
      <c r="I14" s="1" t="n"/>
      <c r="J14" s="1" t="n"/>
      <c r="K14" s="1" t="n"/>
      <c r="L14" s="1" t="n"/>
      <c r="M14" s="1" t="n"/>
      <c r="N14" s="1" t="n"/>
    </row>
    <row r="15">
      <c r="B15" s="3" t="inlineStr">
        <is>
          <t>Correo del cliente:</t>
        </is>
      </c>
      <c r="C15" s="4" t="inlineStr"/>
      <c r="D15" s="5" t="n"/>
      <c r="E15" s="5" t="n"/>
      <c r="F15" s="3" t="inlineStr">
        <is>
          <t>Obligado solidario:</t>
        </is>
      </c>
      <c r="H15" s="4" t="inlineStr">
        <is>
          <t>Por definir</t>
        </is>
      </c>
      <c r="I15" s="5" t="n"/>
      <c r="J15" s="5" t="n"/>
      <c r="K15" s="5" t="n"/>
      <c r="L15" s="3" t="inlineStr">
        <is>
          <t>Tipo:</t>
        </is>
      </c>
      <c r="M15" s="4" t="inlineStr">
        <is>
          <t>Arrendamiento Puro</t>
        </is>
      </c>
      <c r="N15" s="5" t="n"/>
    </row>
    <row r="16">
      <c r="B16" s="1" t="n"/>
      <c r="C16" s="1" t="n"/>
      <c r="D16" s="1" t="n"/>
      <c r="E16" s="1" t="n"/>
      <c r="F16" s="1" t="n"/>
      <c r="G16" s="1" t="n"/>
      <c r="H16" s="1" t="n"/>
      <c r="I16" s="1" t="n"/>
      <c r="J16" s="1" t="n"/>
      <c r="K16" s="1" t="n"/>
      <c r="L16" s="1" t="n"/>
      <c r="M16" s="1" t="n"/>
      <c r="N16" s="1" t="n"/>
    </row>
    <row r="17" ht="17" customHeight="1">
      <c r="B17" s="8" t="inlineStr">
        <is>
          <t>Introducir datos para el cálculo (valores IVA incluido, excepto anticipo)</t>
        </is>
      </c>
    </row>
    <row r="18">
      <c r="B18" s="1" t="n"/>
      <c r="C18" s="1" t="n"/>
      <c r="D18" s="1" t="n"/>
      <c r="E18" s="1" t="n"/>
      <c r="F18" s="1" t="n"/>
      <c r="G18" s="1" t="n"/>
      <c r="H18" s="1" t="n"/>
      <c r="I18" s="1" t="n"/>
      <c r="J18" s="1" t="n"/>
      <c r="K18" s="1" t="n"/>
      <c r="L18" s="1" t="n"/>
      <c r="M18" s="1" t="n"/>
      <c r="N18" s="1" t="n"/>
    </row>
    <row r="19">
      <c r="B19" s="3" t="inlineStr">
        <is>
          <t>Precio equipo:</t>
        </is>
      </c>
      <c r="C19" s="11" t="n">
        <v>879802</v>
      </c>
      <c r="D19" s="5" t="n"/>
      <c r="E19" s="3" t="inlineStr">
        <is>
          <t>Descuento para FASTPLUS (con IVA):</t>
        </is>
      </c>
      <c r="H19" s="11" t="n">
        <v>0</v>
      </c>
      <c r="I19" s="5" t="n"/>
      <c r="J19" s="3" t="inlineStr">
        <is>
          <t>Renta proporcional:</t>
        </is>
      </c>
      <c r="L19" s="12" t="n">
        <v>0</v>
      </c>
      <c r="M19" s="1" t="n"/>
      <c r="N19" s="1" t="n"/>
    </row>
    <row r="20">
      <c r="B20" s="1" t="n"/>
      <c r="C20" s="1" t="n"/>
      <c r="D20" s="1" t="n"/>
      <c r="E20" s="1" t="n"/>
      <c r="F20" s="1" t="n"/>
      <c r="G20" s="1" t="n"/>
      <c r="H20" s="1" t="n"/>
      <c r="I20" s="1" t="n"/>
      <c r="J20" s="1" t="n"/>
      <c r="K20" s="1" t="n"/>
      <c r="L20" s="1" t="n"/>
      <c r="M20" s="1" t="n"/>
      <c r="N20" s="1" t="n"/>
    </row>
    <row r="21">
      <c r="B21" s="3" t="inlineStr">
        <is>
          <t>Valor sin IVA:</t>
        </is>
      </c>
      <c r="C21" s="13">
        <f>inp_Precio/(1+inp_IVAEquipo)</f>
        <v>758450</v>
      </c>
      <c r="D21" s="7" t="n"/>
      <c r="E21" s="3" t="inlineStr">
        <is>
          <t>Tarifa aplicable de IVA equipo:</t>
        </is>
      </c>
      <c r="H21" s="10" t="n">
        <v>0.16</v>
      </c>
      <c r="I21" s="1" t="n"/>
      <c r="J21" s="3" t="inlineStr">
        <is>
          <t>Uso del anticipo:</t>
        </is>
      </c>
      <c r="L21" s="4" t="inlineStr">
        <is>
          <t>Como renta extraordinaria</t>
        </is>
      </c>
      <c r="M21" s="5" t="n"/>
      <c r="N21" s="5" t="n"/>
    </row>
    <row r="22">
      <c r="B22" s="1" t="n"/>
      <c r="C22" s="1" t="n"/>
      <c r="D22" s="1" t="n"/>
      <c r="E22" s="1" t="n"/>
      <c r="F22" s="1" t="n"/>
      <c r="G22" s="1" t="n"/>
      <c r="H22" s="1" t="n"/>
      <c r="I22" s="1" t="n"/>
      <c r="J22" s="1" t="n"/>
      <c r="K22" s="1" t="n"/>
      <c r="L22" s="1" t="n"/>
      <c r="M22" s="1" t="n"/>
      <c r="N22" s="1" t="n"/>
    </row>
    <row r="23">
      <c r="B23" s="3" t="inlineStr">
        <is>
          <t>Renta extraordinaria (sin IVA):</t>
        </is>
      </c>
      <c r="C23" s="11" t="n">
        <v>75845</v>
      </c>
      <c r="D23" s="5" t="n"/>
      <c r="E23" s="3" t="inlineStr">
        <is>
          <t>Tasa IVA rentas:</t>
        </is>
      </c>
      <c r="H23" s="14">
        <f>par_IVA</f>
        <v>0.16</v>
      </c>
      <c r="I23" s="1" t="n"/>
      <c r="J23" s="3" t="inlineStr">
        <is>
          <t>Seguro financiado:</t>
        </is>
      </c>
      <c r="L23" s="4" t="inlineStr">
        <is>
          <t>No financiado</t>
        </is>
      </c>
      <c r="M23" s="5" t="n"/>
      <c r="N23" s="1" t="n"/>
    </row>
    <row r="24">
      <c r="B24" s="1" t="n"/>
      <c r="C24" s="1" t="n"/>
      <c r="D24" s="1" t="n"/>
      <c r="E24" s="1" t="n"/>
      <c r="F24" s="1" t="n"/>
      <c r="G24" s="1" t="n"/>
      <c r="H24" s="1" t="n"/>
      <c r="I24" s="1" t="n"/>
      <c r="J24" s="1" t="n"/>
      <c r="K24" s="1" t="n"/>
      <c r="L24" s="1" t="n"/>
      <c r="M24" s="1" t="n"/>
      <c r="N24" s="1" t="n"/>
    </row>
    <row r="25">
      <c r="B25" s="3" t="inlineStr">
        <is>
          <t>Depósito en garantía:</t>
        </is>
      </c>
      <c r="C25" s="13">
        <f>CHOOSE(inp_EscTabla,'Corrida 1'!$C$30,'Corrida 2'!$C$30,'Corrida 3'!$C$30,'Corrida 4'!$C$30)</f>
        <v>0</v>
      </c>
      <c r="D25" s="7" t="n"/>
      <c r="E25" s="3" t="inlineStr">
        <is>
          <t>TIIE:</t>
        </is>
      </c>
      <c r="H25" s="15" t="n">
        <v>0.08599999999999999</v>
      </c>
      <c r="I25" s="1" t="n"/>
      <c r="J25" s="3" t="inlineStr">
        <is>
          <t>Plazo solicitado:</t>
        </is>
      </c>
      <c r="L25" s="16" t="n">
        <v>24</v>
      </c>
      <c r="M25" s="1" t="n"/>
      <c r="N25" s="1" t="n"/>
    </row>
    <row r="26">
      <c r="B26" s="1" t="n"/>
      <c r="C26" s="17" t="str">
        <f>"Anticipo total: "&amp;TEXT(inp_Anticipo*(1+par_IVA)+C25,"$#,##0.00")&amp;" ("&amp;TEXT(IF(inp_Precio=0,0,(inp_Anticipo*(1+par_IVA)+C25)/inp_Precio),"0.00%")&amp;")"</f>
        <v>Anticipo total: $87,980.20 (10.00%)</v>
      </c>
      <c r="H26" s="1" t="n"/>
      <c r="I26" s="1" t="n"/>
      <c r="J26" s="1" t="n"/>
      <c r="K26" s="1" t="n"/>
      <c r="L26" s="1" t="n"/>
      <c r="M26" s="1" t="n"/>
      <c r="N26" s="1" t="n"/>
    </row>
    <row r="27">
      <c r="B27" s="3" t="inlineStr">
        <is>
          <t>Total:</t>
        </is>
      </c>
      <c r="C27" s="13">
        <f>CHOOSE(inp_EscTabla,'Corrida 1'!$C$19,'Corrida 2'!$C$19,'Corrida 3'!$C$19,'Corrida 4'!$C$19)</f>
        <v>682605</v>
      </c>
      <c r="D27" s="7" t="n"/>
      <c r="E27" s="3" t="inlineStr">
        <is>
          <t>Modalidad de rentas:</t>
        </is>
      </c>
      <c r="H27" s="4" t="inlineStr">
        <is>
          <t>Vencido</t>
        </is>
      </c>
      <c r="I27" s="1" t="n"/>
      <c r="J27" s="3" t="inlineStr">
        <is>
          <t>Fondeo (interno):</t>
        </is>
      </c>
      <c r="L27" s="10" t="n">
        <v>0.205</v>
      </c>
      <c r="M27" s="1" t="n"/>
      <c r="N27" s="1" t="n"/>
    </row>
    <row r="28">
      <c r="B28" s="1" t="n"/>
      <c r="C28" s="1" t="n"/>
      <c r="D28" s="1" t="n"/>
      <c r="E28" s="1" t="n"/>
      <c r="F28" s="1" t="n"/>
      <c r="G28" s="1" t="n"/>
      <c r="H28" s="1" t="n"/>
      <c r="I28" s="1" t="n"/>
      <c r="J28" s="1" t="n"/>
      <c r="K28" s="1" t="n"/>
      <c r="L28" s="1" t="n"/>
      <c r="M28" s="1" t="n"/>
      <c r="N28" s="1" t="n"/>
    </row>
    <row r="29">
      <c r="B29" s="3" t="inlineStr">
        <is>
          <t>Otros gastos (financiados):</t>
        </is>
      </c>
      <c r="C29" s="11" t="n">
        <v>0</v>
      </c>
      <c r="D29" s="5" t="n"/>
      <c r="E29" s="3" t="inlineStr">
        <is>
          <t>Descripción otros gastos:</t>
        </is>
      </c>
      <c r="H29" s="4" t="inlineStr"/>
      <c r="I29" s="5" t="n"/>
      <c r="J29" s="3" t="inlineStr">
        <is>
          <t>GPS (financiado):</t>
        </is>
      </c>
      <c r="L29" s="11" t="n">
        <v>0</v>
      </c>
      <c r="M29" s="5" t="n"/>
      <c r="N29" s="1" t="n"/>
    </row>
    <row r="30">
      <c r="B30" s="1" t="n"/>
      <c r="C30" s="1" t="n"/>
      <c r="D30" s="1" t="n"/>
      <c r="E30" s="1" t="n"/>
      <c r="F30" s="1" t="n"/>
      <c r="G30" s="1" t="n"/>
      <c r="H30" s="1" t="n"/>
      <c r="I30" s="1" t="n"/>
      <c r="J30" s="1" t="n"/>
      <c r="K30" s="1" t="n"/>
      <c r="L30" s="1" t="n"/>
      <c r="M30" s="1" t="n"/>
      <c r="N30" s="1" t="n"/>
    </row>
    <row r="31">
      <c r="B31" s="3" t="inlineStr">
        <is>
          <t>Validación / investigación:</t>
        </is>
      </c>
      <c r="C31" s="11" t="n">
        <v>0</v>
      </c>
      <c r="D31" s="5" t="n"/>
      <c r="E31" s="3" t="inlineStr">
        <is>
          <t>Comisión banco / alianza:</t>
        </is>
      </c>
      <c r="H31" s="11" t="n">
        <v>0</v>
      </c>
      <c r="I31" s="5" t="n"/>
      <c r="J31" s="3" t="inlineStr">
        <is>
          <t>Margen objetivo manual:</t>
        </is>
      </c>
      <c r="L31" s="10" t="n"/>
      <c r="M31" s="1" t="n"/>
      <c r="N31" s="1" t="n"/>
    </row>
    <row r="32">
      <c r="B32" s="1" t="n"/>
      <c r="C32" s="1" t="n"/>
      <c r="D32" s="1" t="n"/>
      <c r="E32" s="1" t="n"/>
      <c r="F32" s="1" t="n"/>
      <c r="G32" s="1" t="n"/>
      <c r="H32" s="1" t="n"/>
      <c r="I32" s="1" t="n"/>
      <c r="J32" s="1" t="n"/>
      <c r="K32" s="1" t="n"/>
      <c r="L32" s="1" t="n"/>
      <c r="M32" s="1" t="n"/>
      <c r="N32" s="1" t="n"/>
    </row>
    <row r="33" ht="17" customHeight="1">
      <c r="B33" s="8" t="inlineStr">
        <is>
          <t>Introducir datos para el seguro y tipo de cambio</t>
        </is>
      </c>
    </row>
    <row r="34">
      <c r="B34" s="1" t="n"/>
      <c r="C34" s="1" t="n"/>
      <c r="D34" s="1" t="n"/>
      <c r="E34" s="1" t="n"/>
      <c r="F34" s="1" t="n"/>
      <c r="G34" s="1" t="n"/>
      <c r="H34" s="1" t="n"/>
      <c r="I34" s="1" t="n"/>
      <c r="J34" s="1" t="n"/>
      <c r="K34" s="1" t="n"/>
      <c r="L34" s="1" t="n"/>
      <c r="M34" s="1" t="n"/>
      <c r="N34" s="1" t="n"/>
    </row>
    <row r="35">
      <c r="B35" s="18" t="str">
        <f>IF(inp_SeguroFin="No financiado","Valor del seguro pago de contado (primer año) IVA incluido:","Seguro por los "&amp;inp_PlazoSol&amp;" meses de financiamiento IVA incluido:")</f>
        <v>Valor del seguro pago de contado (primer año) IVA incluido:</v>
      </c>
      <c r="G35" s="11" t="n">
        <v>0</v>
      </c>
      <c r="H35" s="5" t="n"/>
      <c r="I35" s="3" t="inlineStr">
        <is>
          <t>Nombre aseguradora:</t>
        </is>
      </c>
      <c r="K35" s="4" t="inlineStr"/>
      <c r="L35" s="5" t="n"/>
      <c r="M35" s="5" t="n"/>
      <c r="N35" s="5" t="n"/>
    </row>
    <row r="36">
      <c r="B36" s="1" t="n"/>
      <c r="C36" s="1" t="n"/>
      <c r="D36" s="1" t="n"/>
      <c r="E36" s="1" t="n"/>
      <c r="F36" s="1" t="n"/>
      <c r="G36" s="1" t="n"/>
      <c r="H36" s="1" t="n"/>
      <c r="I36" s="1" t="n"/>
      <c r="J36" s="1" t="n"/>
      <c r="K36" s="1" t="n"/>
      <c r="L36" s="1" t="n"/>
      <c r="M36" s="1" t="n"/>
      <c r="N36" s="1" t="n"/>
    </row>
    <row r="37">
      <c r="B37" s="3" t="inlineStr">
        <is>
          <t>Aseguradora por parte de:</t>
        </is>
      </c>
      <c r="C37" s="4" t="inlineStr">
        <is>
          <t>Cliente</t>
        </is>
      </c>
      <c r="D37" s="5" t="n"/>
      <c r="E37" s="3" t="inlineStr">
        <is>
          <t>Moneda:</t>
        </is>
      </c>
      <c r="F37" s="4" t="inlineStr">
        <is>
          <t>Moneda Nacional</t>
        </is>
      </c>
      <c r="G37" s="5" t="n"/>
      <c r="H37" s="3" t="inlineStr">
        <is>
          <t>Tipo de cambio:</t>
        </is>
      </c>
      <c r="I37" s="19" t="n">
        <v>1</v>
      </c>
      <c r="J37" s="1" t="n"/>
      <c r="K37" s="1" t="n"/>
      <c r="L37" s="1" t="n"/>
      <c r="M37" s="1" t="n"/>
      <c r="N37" s="1" t="n"/>
    </row>
    <row r="38">
      <c r="B38" s="1" t="n"/>
      <c r="C38" s="1" t="n"/>
      <c r="D38" s="1" t="n"/>
      <c r="E38" s="1" t="n"/>
      <c r="F38" s="1" t="n"/>
      <c r="G38" s="1" t="n"/>
      <c r="H38" s="1" t="n"/>
      <c r="I38" s="1" t="n"/>
      <c r="J38" s="1" t="n"/>
      <c r="K38" s="1" t="n"/>
      <c r="L38" s="1" t="n"/>
      <c r="M38" s="1" t="n"/>
      <c r="N38" s="1" t="n"/>
    </row>
    <row r="39" ht="17" customHeight="1">
      <c r="B39" s="8" t="inlineStr">
        <is>
          <t>Condiciones de la operación: resultados del cálculo por plazo</t>
        </is>
      </c>
    </row>
    <row r="40">
      <c r="B40" s="1" t="n"/>
      <c r="C40" s="1" t="n"/>
      <c r="D40" s="1" t="n"/>
      <c r="E40" s="1" t="n"/>
      <c r="F40" s="1" t="n"/>
      <c r="G40" s="1" t="n"/>
      <c r="H40" s="1" t="n"/>
      <c r="I40" s="1" t="n"/>
      <c r="J40" s="1" t="n"/>
      <c r="K40" s="1" t="n"/>
      <c r="L40" s="1" t="n"/>
      <c r="M40" s="1" t="n"/>
      <c r="N40" s="1" t="n"/>
    </row>
    <row r="41">
      <c r="B41" s="20" t="inlineStr">
        <is>
          <t>Conceptos</t>
        </is>
      </c>
      <c r="C41" s="20" t="str">
        <f>IF(inp_EscTabla=1,"Plazo elegido","")</f>
        <v/>
      </c>
      <c r="D41" s="20" t="n"/>
      <c r="E41" s="20" t="str">
        <f>IF(inp_EscTabla=2,"Plazo elegido","")</f>
        <v>Plazo elegido</v>
      </c>
      <c r="F41" s="20" t="n"/>
      <c r="G41" s="20" t="str">
        <f>IF(inp_EscTabla=3,"Plazo elegido","")</f>
        <v/>
      </c>
      <c r="H41" s="20" t="n"/>
      <c r="I41" s="20" t="str">
        <f>IF(inp_EscTabla=4,"Plazo elegido","")</f>
        <v/>
      </c>
      <c r="J41" s="20" t="n"/>
      <c r="K41" s="20" t="n"/>
      <c r="L41" s="1" t="n"/>
      <c r="M41" s="1" t="n"/>
      <c r="N41" s="1" t="n"/>
    </row>
    <row r="42">
      <c r="B42" s="21" t="inlineStr">
        <is>
          <t>Plazo</t>
        </is>
      </c>
      <c r="C42" s="22" t="str">
        <f>INDEX(esc_Plazo,1)&amp;" meses"</f>
        <v>12 meses</v>
      </c>
      <c r="D42" s="23" t="n"/>
      <c r="E42" s="22" t="str">
        <f>INDEX(esc_Plazo,2)&amp;" meses"</f>
        <v>24 meses</v>
      </c>
      <c r="F42" s="23" t="n"/>
      <c r="G42" s="22" t="str">
        <f>INDEX(esc_Plazo,3)&amp;" meses"</f>
        <v>36 meses</v>
      </c>
      <c r="H42" s="23" t="n"/>
      <c r="I42" s="22" t="str">
        <f>INDEX(esc_Plazo,4)&amp;" meses"</f>
        <v>48 meses</v>
      </c>
      <c r="J42" s="23" t="n"/>
      <c r="K42" s="1" t="n"/>
      <c r="L42" s="1" t="n"/>
      <c r="M42" s="1" t="n"/>
      <c r="N42" s="1" t="n"/>
    </row>
    <row r="43">
      <c r="B43" s="21" t="inlineStr">
        <is>
          <t>Anticipo (sin IVA)</t>
        </is>
      </c>
      <c r="C43" s="24">
        <f>'Corrida 1'!$C$16</f>
        <v>75845</v>
      </c>
      <c r="D43" s="23" t="n"/>
      <c r="E43" s="24">
        <f>'Corrida 2'!$C$16</f>
        <v>75845</v>
      </c>
      <c r="F43" s="23" t="n"/>
      <c r="G43" s="24">
        <f>'Corrida 3'!$C$16</f>
        <v>75845</v>
      </c>
      <c r="H43" s="23" t="n"/>
      <c r="I43" s="24">
        <f>'Corrida 4'!$C$16</f>
        <v>75845</v>
      </c>
      <c r="J43" s="23" t="n"/>
      <c r="K43" s="1" t="n"/>
      <c r="L43" s="1" t="n"/>
      <c r="M43" s="1" t="n"/>
      <c r="N43" s="1" t="n"/>
    </row>
    <row r="44">
      <c r="B44" s="21" t="inlineStr">
        <is>
          <t>Depósito en garantía</t>
        </is>
      </c>
      <c r="C44" s="24">
        <f>'Corrida 1'!$C$30</f>
        <v>0</v>
      </c>
      <c r="D44" s="23" t="n"/>
      <c r="E44" s="24">
        <f>'Corrida 2'!$C$30</f>
        <v>0</v>
      </c>
      <c r="F44" s="23" t="n"/>
      <c r="G44" s="24">
        <f>'Corrida 3'!$C$30</f>
        <v>0</v>
      </c>
      <c r="H44" s="23" t="n"/>
      <c r="I44" s="24">
        <f>'Corrida 4'!$C$30</f>
        <v>0</v>
      </c>
      <c r="J44" s="23" t="n"/>
      <c r="K44" s="1" t="n"/>
      <c r="L44" s="1" t="n"/>
      <c r="M44" s="1" t="n"/>
      <c r="N44" s="1" t="n"/>
    </row>
    <row r="45">
      <c r="B45" s="21" t="inlineStr">
        <is>
          <t>Renta</t>
        </is>
      </c>
      <c r="C45" s="24">
        <f>'Corrida 1'!$C$48+'Corrida 1'!$C$53</f>
        <v>47827.948464197</v>
      </c>
      <c r="D45" s="23" t="n"/>
      <c r="E45" s="24">
        <f>'Corrida 2'!$C$48+'Corrida 2'!$C$53</f>
        <v>31143.0048352941</v>
      </c>
      <c r="F45" s="23" t="n"/>
      <c r="G45" s="24">
        <f>'Corrida 3'!$C$48+'Corrida 3'!$C$53</f>
        <v>24435.2517367162</v>
      </c>
      <c r="H45" s="23" t="n"/>
      <c r="I45" s="24">
        <f>'Corrida 4'!$C$48+'Corrida 4'!$C$53</f>
        <v>20940.8257120068</v>
      </c>
      <c r="J45" s="23" t="n"/>
      <c r="K45" s="1" t="n"/>
      <c r="L45" s="1" t="n"/>
      <c r="M45" s="1" t="n"/>
      <c r="N45" s="1" t="n"/>
    </row>
    <row r="46">
      <c r="B46" s="21" t="inlineStr">
        <is>
          <t>Seguro</t>
        </is>
      </c>
      <c r="C46" s="24">
        <f>'Corrida 1'!$C$49</f>
        <v>0</v>
      </c>
      <c r="D46" s="23" t="n"/>
      <c r="E46" s="24">
        <f>'Corrida 2'!$C$49</f>
        <v>0</v>
      </c>
      <c r="F46" s="23" t="n"/>
      <c r="G46" s="24">
        <f>'Corrida 3'!$C$49</f>
        <v>0</v>
      </c>
      <c r="H46" s="23" t="n"/>
      <c r="I46" s="24">
        <f>'Corrida 4'!$C$49</f>
        <v>0</v>
      </c>
      <c r="J46" s="23" t="n"/>
      <c r="K46" s="1" t="n"/>
      <c r="L46" s="1" t="n"/>
      <c r="M46" s="1" t="n"/>
      <c r="N46" s="1" t="n"/>
    </row>
    <row r="47">
      <c r="B47" s="21" t="inlineStr">
        <is>
          <t>Otros gastos</t>
        </is>
      </c>
      <c r="C47" s="24">
        <f>'Corrida 1'!$C$50</f>
        <v>0</v>
      </c>
      <c r="D47" s="23" t="n"/>
      <c r="E47" s="24">
        <f>'Corrida 2'!$C$50</f>
        <v>0</v>
      </c>
      <c r="F47" s="23" t="n"/>
      <c r="G47" s="24">
        <f>'Corrida 3'!$C$50</f>
        <v>0</v>
      </c>
      <c r="H47" s="23" t="n"/>
      <c r="I47" s="24">
        <f>'Corrida 4'!$C$50</f>
        <v>0</v>
      </c>
      <c r="J47" s="23" t="n"/>
      <c r="K47" s="1" t="n"/>
      <c r="L47" s="1" t="n"/>
      <c r="M47" s="1" t="n"/>
      <c r="N47" s="1" t="n"/>
    </row>
    <row r="48">
      <c r="B48" s="21" t="inlineStr">
        <is>
          <t>Total pago mensual (sin IVA)</t>
        </is>
      </c>
      <c r="C48" s="25">
        <f>'Corrida 1'!$C$24</f>
        <v>47827.948464197</v>
      </c>
      <c r="D48" s="23" t="n"/>
      <c r="E48" s="25">
        <f>'Corrida 2'!$C$24</f>
        <v>31143.0048352941</v>
      </c>
      <c r="F48" s="23" t="n"/>
      <c r="G48" s="25">
        <f>'Corrida 3'!$C$24</f>
        <v>24435.2517367162</v>
      </c>
      <c r="H48" s="23" t="n"/>
      <c r="I48" s="25">
        <f>'Corrida 4'!$C$24</f>
        <v>20940.8257120068</v>
      </c>
      <c r="J48" s="23" t="n"/>
      <c r="K48" s="1" t="n"/>
      <c r="L48" s="1" t="n"/>
      <c r="M48" s="1" t="n"/>
      <c r="N48" s="1" t="n"/>
    </row>
    <row r="49">
      <c r="B49" s="21" t="inlineStr">
        <is>
          <t>Total pago mensual (IVA incluido)</t>
        </is>
      </c>
      <c r="C49" s="25">
        <f>'Corrida 1'!$C$24+'Corrida 1'!$I$21</f>
        <v>55480.4202184685</v>
      </c>
      <c r="D49" s="23" t="n"/>
      <c r="E49" s="25">
        <f>'Corrida 2'!$C$24+'Corrida 2'!$I$21</f>
        <v>36125.8856089412</v>
      </c>
      <c r="F49" s="23" t="n"/>
      <c r="G49" s="25">
        <f>'Corrida 3'!$C$24+'Corrida 3'!$I$21</f>
        <v>28344.8920145908</v>
      </c>
      <c r="H49" s="23" t="n"/>
      <c r="I49" s="25">
        <f>'Corrida 4'!$C$24+'Corrida 4'!$I$21</f>
        <v>24291.3578259279</v>
      </c>
      <c r="J49" s="23" t="n"/>
      <c r="K49" s="1" t="n"/>
      <c r="L49" s="1" t="n"/>
      <c r="M49" s="1" t="n"/>
      <c r="N49" s="1" t="n"/>
    </row>
    <row r="50">
      <c r="B50" s="21" t="inlineStr">
        <is>
          <t>Comisión</t>
        </is>
      </c>
      <c r="C50" s="24">
        <f>'Corrida 1'!$C$28</f>
        <v>13652.1</v>
      </c>
      <c r="D50" s="23" t="n"/>
      <c r="E50" s="24">
        <f>'Corrida 2'!$C$28</f>
        <v>13652.1</v>
      </c>
      <c r="F50" s="23" t="n"/>
      <c r="G50" s="24">
        <f>'Corrida 3'!$C$28</f>
        <v>13652.1</v>
      </c>
      <c r="H50" s="23" t="n"/>
      <c r="I50" s="24">
        <f>'Corrida 4'!$C$28</f>
        <v>13652.1</v>
      </c>
      <c r="J50" s="23" t="n"/>
      <c r="K50" s="1" t="n"/>
      <c r="L50" s="1" t="n"/>
      <c r="M50" s="1" t="n"/>
      <c r="N50" s="1" t="n"/>
    </row>
    <row r="51">
      <c r="B51" s="21" t="inlineStr">
        <is>
          <t>Valor residual</t>
        </is>
      </c>
      <c r="C51" s="24">
        <f>'Corrida 1'!$C$21</f>
        <v>227535</v>
      </c>
      <c r="D51" s="23" t="n"/>
      <c r="E51" s="24">
        <f>'Corrida 2'!$C$21</f>
        <v>151690</v>
      </c>
      <c r="F51" s="23" t="n"/>
      <c r="G51" s="24">
        <f>'Corrida 3'!$C$21</f>
        <v>113767.5</v>
      </c>
      <c r="H51" s="23" t="n"/>
      <c r="I51" s="24">
        <f>'Corrida 4'!$C$21</f>
        <v>75845</v>
      </c>
      <c r="J51" s="23" t="n"/>
      <c r="K51" s="1" t="n"/>
      <c r="L51" s="1" t="n"/>
      <c r="M51" s="1" t="n"/>
      <c r="N51" s="1" t="n"/>
    </row>
    <row r="52">
      <c r="B52" s="21" t="inlineStr">
        <is>
          <t>Pago inicial total (IVA incluido)</t>
        </is>
      </c>
      <c r="C52" s="24">
        <f>'Corrida 1'!$I$20</f>
        <v>103816.636</v>
      </c>
      <c r="D52" s="23" t="n"/>
      <c r="E52" s="24">
        <f>'Corrida 2'!$I$20</f>
        <v>103816.636</v>
      </c>
      <c r="F52" s="23" t="n"/>
      <c r="G52" s="24">
        <f>'Corrida 3'!$I$20</f>
        <v>103816.636</v>
      </c>
      <c r="H52" s="23" t="n"/>
      <c r="I52" s="24">
        <f>'Corrida 4'!$I$20</f>
        <v>103816.636</v>
      </c>
      <c r="J52" s="23" t="n"/>
      <c r="K52" s="1" t="n"/>
      <c r="L52" s="1" t="n"/>
      <c r="M52" s="1" t="n"/>
      <c r="N52" s="1" t="n"/>
    </row>
    <row r="53">
      <c r="B53" s="21" t="inlineStr">
        <is>
          <t>Dictamen rate card</t>
        </is>
      </c>
      <c r="C53" s="22" t="str">
        <f>'Corrida 1'!$I$27</f>
        <v>CUMPLE</v>
      </c>
      <c r="D53" s="23" t="n"/>
      <c r="E53" s="22" t="str">
        <f>'Corrida 2'!$I$27</f>
        <v>CUMPLE</v>
      </c>
      <c r="F53" s="23" t="n"/>
      <c r="G53" s="22" t="str">
        <f>'Corrida 3'!$I$27</f>
        <v>CUMPLE</v>
      </c>
      <c r="H53" s="23" t="n"/>
      <c r="I53" s="22" t="str">
        <f>'Corrida 4'!$I$27</f>
        <v>NO CUMPLE</v>
      </c>
      <c r="J53" s="23" t="n"/>
      <c r="K53" s="1" t="n"/>
      <c r="L53" s="1" t="n"/>
      <c r="M53" s="1" t="n"/>
      <c r="N53" s="1" t="n"/>
    </row>
    <row r="54">
      <c r="B54" s="1" t="n"/>
      <c r="C54" s="1" t="n"/>
      <c r="D54" s="1" t="n"/>
      <c r="E54" s="1" t="n"/>
      <c r="F54" s="1" t="n"/>
      <c r="G54" s="1" t="n"/>
      <c r="H54" s="1" t="n"/>
      <c r="I54" s="1" t="n"/>
      <c r="J54" s="1" t="n"/>
      <c r="K54" s="1" t="n"/>
      <c r="L54" s="1" t="n"/>
      <c r="M54" s="1" t="n"/>
      <c r="N54" s="1" t="n"/>
    </row>
    <row r="55">
      <c r="B55" s="26" t="inlineStr">
        <is>
          <t>La columna resaltada es el plazo solicitado; con ese plazo se generan Propuesta, Pago Inicial, Venta, Bonos y Riesgo.</t>
        </is>
      </c>
      <c r="C55" s="1" t="n"/>
      <c r="D55" s="1" t="n"/>
      <c r="E55" s="1" t="n"/>
      <c r="F55" s="1" t="n"/>
      <c r="G55" s="1" t="n"/>
      <c r="H55" s="1" t="n"/>
      <c r="I55" s="1" t="n"/>
      <c r="J55" s="1" t="n"/>
      <c r="K55" s="1" t="n"/>
      <c r="L55" s="1" t="n"/>
      <c r="M55" s="1" t="n"/>
      <c r="N55" s="1" t="n"/>
    </row>
    <row r="56">
      <c r="B56" s="1" t="n"/>
      <c r="C56" s="1" t="n"/>
      <c r="D56" s="1" t="n"/>
      <c r="E56" s="1" t="n"/>
      <c r="F56" s="1" t="n"/>
      <c r="G56" s="1" t="n"/>
      <c r="H56" s="1" t="n"/>
      <c r="I56" s="1" t="n"/>
      <c r="J56" s="1" t="n"/>
      <c r="K56" s="1" t="n"/>
      <c r="L56" s="1" t="n"/>
      <c r="M56" s="1" t="n"/>
      <c r="N56" s="1" t="n"/>
    </row>
    <row r="57">
      <c r="B57" s="1" t="n"/>
      <c r="C57" s="1" t="n"/>
      <c r="D57" s="1" t="n"/>
      <c r="E57" s="1" t="n"/>
      <c r="F57" s="1" t="n"/>
      <c r="G57" s="1" t="n"/>
      <c r="H57" s="1" t="n"/>
      <c r="I57" s="1" t="n"/>
      <c r="J57" s="1" t="n"/>
      <c r="K57" s="1" t="n"/>
      <c r="L57" s="1" t="n"/>
      <c r="M57" s="1" t="n"/>
      <c r="N57" s="1" t="n"/>
    </row>
    <row r="58">
      <c r="B58" s="1" t="n"/>
      <c r="C58" s="1" t="n"/>
      <c r="D58" s="1" t="n"/>
      <c r="E58" s="1" t="n"/>
      <c r="F58" s="1" t="n"/>
      <c r="G58" s="1" t="n"/>
      <c r="H58" s="1" t="n"/>
      <c r="I58" s="1" t="n"/>
      <c r="J58" s="1" t="n"/>
      <c r="K58" s="1" t="n"/>
      <c r="L58" s="1" t="n"/>
      <c r="M58" s="1" t="n"/>
      <c r="N58" s="1" t="n"/>
    </row>
    <row r="59">
      <c r="B59" s="1" t="n"/>
      <c r="C59" s="1" t="n"/>
      <c r="D59" s="1" t="n"/>
      <c r="E59" s="1" t="n"/>
      <c r="F59" s="1" t="n"/>
      <c r="G59" s="1" t="n"/>
      <c r="H59" s="1" t="n"/>
      <c r="I59" s="1" t="n"/>
      <c r="J59" s="1" t="n"/>
      <c r="K59" s="1" t="n"/>
      <c r="L59" s="1" t="n"/>
      <c r="M59" s="1" t="n"/>
      <c r="N59" s="1" t="n"/>
    </row>
    <row r="60">
      <c r="B60" s="1" t="n"/>
      <c r="C60" s="1" t="n"/>
      <c r="D60" s="1" t="n"/>
      <c r="E60" s="1" t="n"/>
      <c r="F60" s="1" t="n"/>
      <c r="G60" s="1" t="n"/>
      <c r="H60" s="1" t="n"/>
      <c r="I60" s="1" t="n"/>
      <c r="J60" s="1" t="n"/>
      <c r="K60" s="1" t="n"/>
      <c r="L60" s="1" t="n"/>
      <c r="M60" s="1" t="n"/>
      <c r="N60" s="1" t="n"/>
    </row>
    <row r="61">
      <c r="B61" s="1" t="n"/>
      <c r="C61" s="1" t="n"/>
      <c r="D61" s="1" t="n"/>
      <c r="E61" s="1" t="n"/>
      <c r="F61" s="1" t="n"/>
      <c r="G61" s="1" t="n"/>
      <c r="H61" s="1" t="n"/>
      <c r="I61" s="1" t="n"/>
      <c r="J61" s="1" t="n"/>
      <c r="K61" s="1" t="n"/>
      <c r="L61" s="1" t="n"/>
      <c r="M61" s="1" t="n"/>
      <c r="N61" s="1" t="n"/>
    </row>
    <row r="62">
      <c r="B62" s="1" t="n"/>
      <c r="C62" s="1" t="n"/>
      <c r="D62" s="1" t="n"/>
      <c r="E62" s="1" t="n"/>
      <c r="F62" s="1" t="n"/>
      <c r="G62" s="1" t="n"/>
      <c r="H62" s="1" t="n"/>
      <c r="I62" s="1" t="n"/>
      <c r="J62" s="1" t="n"/>
      <c r="K62" s="1" t="n"/>
      <c r="L62" s="1" t="n"/>
      <c r="M62" s="1" t="n"/>
      <c r="N62" s="1" t="n"/>
    </row>
    <row r="63">
      <c r="B63" s="1" t="n"/>
      <c r="C63" s="1" t="n"/>
      <c r="D63" s="1" t="n"/>
      <c r="E63" s="1" t="n"/>
      <c r="F63" s="1" t="n"/>
      <c r="G63" s="1" t="n"/>
      <c r="H63" s="1" t="n"/>
      <c r="I63" s="1" t="n"/>
      <c r="J63" s="1" t="n"/>
      <c r="K63" s="1" t="n"/>
      <c r="L63" s="1" t="n"/>
      <c r="M63" s="1" t="n"/>
      <c r="N63" s="1" t="n"/>
    </row>
    <row r="64">
      <c r="B64" s="1" t="n"/>
      <c r="C64" s="1" t="n"/>
      <c r="D64" s="1" t="n"/>
      <c r="E64" s="1" t="n"/>
      <c r="F64" s="1" t="n"/>
      <c r="G64" s="1" t="n"/>
      <c r="H64" s="1" t="n"/>
      <c r="I64" s="1" t="n"/>
      <c r="J64" s="1" t="n"/>
      <c r="K64" s="1" t="n"/>
      <c r="L64" s="1" t="n"/>
      <c r="M64" s="1" t="n"/>
      <c r="N64" s="1" t="n"/>
    </row>
    <row r="65">
      <c r="B65" s="1" t="n"/>
      <c r="C65" s="1" t="n"/>
      <c r="D65" s="1" t="n"/>
      <c r="E65" s="1" t="n"/>
      <c r="F65" s="1" t="n"/>
      <c r="G65" s="1" t="n"/>
      <c r="H65" s="1" t="n"/>
      <c r="I65" s="1" t="n"/>
      <c r="J65" s="1" t="n"/>
      <c r="K65" s="1" t="n"/>
      <c r="L65" s="1" t="n"/>
      <c r="M65" s="1" t="n"/>
      <c r="N65" s="1" t="n"/>
    </row>
    <row r="66">
      <c r="B66" s="1" t="n"/>
      <c r="C66" s="1" t="n"/>
      <c r="D66" s="1" t="n"/>
      <c r="E66" s="1" t="n"/>
      <c r="F66" s="1" t="n"/>
      <c r="G66" s="1" t="n"/>
      <c r="H66" s="1" t="n"/>
      <c r="I66" s="1" t="n"/>
      <c r="J66" s="1" t="n"/>
      <c r="K66" s="1" t="n"/>
      <c r="L66" s="1" t="n"/>
      <c r="M66" s="1" t="n"/>
      <c r="N66" s="1" t="n"/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 password="D3B7"/>
  <mergeCells count="110">
    <mergeCell ref="E31:G31"/>
    <mergeCell ref="J19:K19"/>
    <mergeCell ref="B5:N5"/>
    <mergeCell ref="E51:F51"/>
    <mergeCell ref="F15:G15"/>
    <mergeCell ref="C41:D41"/>
    <mergeCell ref="C50:D50"/>
    <mergeCell ref="C43:D43"/>
    <mergeCell ref="L29:M29"/>
    <mergeCell ref="I42:J42"/>
    <mergeCell ref="C27:D27"/>
    <mergeCell ref="K35:N35"/>
    <mergeCell ref="E49:F49"/>
    <mergeCell ref="J31:K31"/>
    <mergeCell ref="B39:N39"/>
    <mergeCell ref="I52:J52"/>
    <mergeCell ref="I44:J44"/>
    <mergeCell ref="C7:G7"/>
    <mergeCell ref="J21:K21"/>
    <mergeCell ref="I2:K2"/>
    <mergeCell ref="C19:D19"/>
    <mergeCell ref="H11:N11"/>
    <mergeCell ref="E53:F53"/>
    <mergeCell ref="G44:H44"/>
    <mergeCell ref="J23:K23"/>
    <mergeCell ref="I46:J46"/>
    <mergeCell ref="C45:D45"/>
    <mergeCell ref="B33:N33"/>
    <mergeCell ref="E48:F48"/>
    <mergeCell ref="H15:K15"/>
    <mergeCell ref="G48:H48"/>
    <mergeCell ref="C47:D47"/>
    <mergeCell ref="I41:J41"/>
    <mergeCell ref="J27:K27"/>
    <mergeCell ref="M13:N13"/>
    <mergeCell ref="G49:H49"/>
    <mergeCell ref="M7:N7"/>
    <mergeCell ref="I43:J43"/>
    <mergeCell ref="H19:I19"/>
    <mergeCell ref="C15:E15"/>
    <mergeCell ref="G35:H35"/>
    <mergeCell ref="I35:J35"/>
    <mergeCell ref="C53:D53"/>
    <mergeCell ref="G9:H9"/>
    <mergeCell ref="E50:F50"/>
    <mergeCell ref="E19:G19"/>
    <mergeCell ref="J29:K29"/>
    <mergeCell ref="G42:H42"/>
    <mergeCell ref="I45:J45"/>
    <mergeCell ref="E52:F52"/>
    <mergeCell ref="H31:I31"/>
    <mergeCell ref="C26:G26"/>
    <mergeCell ref="E44:F44"/>
    <mergeCell ref="M2:N2"/>
    <mergeCell ref="C11:E11"/>
    <mergeCell ref="C29:D29"/>
    <mergeCell ref="I47:J47"/>
    <mergeCell ref="C44:D44"/>
    <mergeCell ref="C31:D31"/>
    <mergeCell ref="M15:N15"/>
    <mergeCell ref="C21:D21"/>
    <mergeCell ref="C46:D46"/>
    <mergeCell ref="E46:F46"/>
    <mergeCell ref="C51:D51"/>
    <mergeCell ref="J25:K25"/>
    <mergeCell ref="E21:G21"/>
    <mergeCell ref="D2:G2"/>
    <mergeCell ref="C23:D23"/>
    <mergeCell ref="C48:D48"/>
    <mergeCell ref="E13:H13"/>
    <mergeCell ref="G51:H51"/>
    <mergeCell ref="I51:J51"/>
    <mergeCell ref="E23:G23"/>
    <mergeCell ref="E41:F41"/>
    <mergeCell ref="G41:H41"/>
    <mergeCell ref="G50:H50"/>
    <mergeCell ref="I50:J50"/>
    <mergeCell ref="I7:K7"/>
    <mergeCell ref="C49:D49"/>
    <mergeCell ref="E43:F43"/>
    <mergeCell ref="F11:G11"/>
    <mergeCell ref="G43:H43"/>
    <mergeCell ref="G52:H52"/>
    <mergeCell ref="H29:I29"/>
    <mergeCell ref="C42:D42"/>
    <mergeCell ref="I49:J49"/>
    <mergeCell ref="E42:F42"/>
    <mergeCell ref="J13:K13"/>
    <mergeCell ref="E27:G27"/>
    <mergeCell ref="C25:D25"/>
    <mergeCell ref="G53:H53"/>
    <mergeCell ref="L23:M23"/>
    <mergeCell ref="I53:J53"/>
    <mergeCell ref="E9:F9"/>
    <mergeCell ref="E25:G25"/>
    <mergeCell ref="L21:N21"/>
    <mergeCell ref="I9:K9"/>
    <mergeCell ref="E45:F45"/>
    <mergeCell ref="G45:H45"/>
    <mergeCell ref="M3:N3"/>
    <mergeCell ref="C52:D52"/>
    <mergeCell ref="I48:J48"/>
    <mergeCell ref="F37:G37"/>
    <mergeCell ref="G47:H47"/>
    <mergeCell ref="B17:N17"/>
    <mergeCell ref="C37:D37"/>
    <mergeCell ref="G46:H46"/>
    <mergeCell ref="E29:G29"/>
    <mergeCell ref="E47:F47"/>
    <mergeCell ref="B35:F35"/>
  </mergeCells>
  <conditionalFormatting sqref="C42:D53">
    <cfRule type="expression" priority="1" dxfId="0">
      <formula>inp_EscTabla=1</formula>
    </cfRule>
  </conditionalFormatting>
  <conditionalFormatting sqref="E42:F53">
    <cfRule type="expression" priority="2" dxfId="0">
      <formula>inp_EscTabla=2</formula>
    </cfRule>
  </conditionalFormatting>
  <conditionalFormatting sqref="G42:H53">
    <cfRule type="expression" priority="3" dxfId="0">
      <formula>inp_EscTabla=3</formula>
    </cfRule>
  </conditionalFormatting>
  <conditionalFormatting sqref="I42:J53">
    <cfRule type="expression" priority="4" dxfId="0">
      <formula>inp_EscTabla=4</formula>
    </cfRule>
  </conditionalFormatting>
  <conditionalFormatting sqref="C53:J53">
    <cfRule type="cellIs" priority="5" operator="equal" dxfId="1">
      <formula>"NO CUMPLE"</formula>
    </cfRule>
  </conditionalFormatting>
  <dataValidations count="13">
    <dataValidation sqref="I2" showDropDown="0" showInputMessage="0" showErrorMessage="0" allowBlank="1" errorTitle="Valor no válido" error="Seleccione un valor de la lista." type="list">
      <formula1>=lst_Promotores</formula1>
    </dataValidation>
    <dataValidation sqref="G9" showDropDown="0" showInputMessage="0" showErrorMessage="0" allowBlank="1" errorTitle="Valor no válido" error="Seleccione un valor de la lista." type="list">
      <formula1>=lst_Originador</formula1>
    </dataValidation>
    <dataValidation sqref="C11" showDropDown="0" showInputMessage="0" showErrorMessage="0" allowBlank="1" errorTitle="Valor no válido" error="Seleccione un valor de la lista." type="list">
      <formula1>=lst_TipoActivo</formula1>
    </dataValidation>
    <dataValidation sqref="C13" showDropDown="0" showInputMessage="0" showErrorMessage="0" allowBlank="1" errorTitle="Valor no válido" error="Seleccione un valor de la lista." type="list">
      <formula1>=lst_Estado</formula1>
    </dataValidation>
    <dataValidation sqref="J13" showDropDown="0" showInputMessage="0" showErrorMessage="0" allowBlank="1" errorTitle="Valor no válido" error="Seleccione un valor de la lista." type="list">
      <formula1>=lst_Producto</formula1>
    </dataValidation>
    <dataValidation sqref="M13" showDropDown="0" showInputMessage="0" showErrorMessage="0" allowBlank="1" errorTitle="Valor no válido" error="Seleccione un valor de la lista." type="list">
      <formula1>=rc_Tiers</formula1>
    </dataValidation>
    <dataValidation sqref="M15" showDropDown="0" showInputMessage="0" showErrorMessage="0" allowBlank="1" errorTitle="Valor no válido" error="Seleccione un valor de la lista." type="list">
      <formula1>=lst_Tipo</formula1>
    </dataValidation>
    <dataValidation sqref="L21" showDropDown="0" showInputMessage="0" showErrorMessage="0" allowBlank="1" errorTitle="Valor no válido" error="Seleccione un valor de la lista." type="list">
      <formula1>=lst_UsoAnticipo</formula1>
    </dataValidation>
    <dataValidation sqref="L23" showDropDown="0" showInputMessage="0" showErrorMessage="0" allowBlank="1" errorTitle="Valor no válido" error="Seleccione un valor de la lista." type="list">
      <formula1>=lst_Seguro</formula1>
    </dataValidation>
    <dataValidation sqref="L25" showDropDown="0" showInputMessage="0" showErrorMessage="0" allowBlank="1" errorTitle="Valor no válido" error="Seleccione un valor de la lista." type="list">
      <formula1>=esc_Plazo</formula1>
    </dataValidation>
    <dataValidation sqref="H27" showDropDown="0" showInputMessage="0" showErrorMessage="0" allowBlank="1" errorTitle="Valor no válido" error="Seleccione un valor de la lista." type="list">
      <formula1>=lst_Modalidad</formula1>
    </dataValidation>
    <dataValidation sqref="C37" showDropDown="0" showInputMessage="0" showErrorMessage="0" allowBlank="1" errorTitle="Valor no válido" error="Seleccione un valor de la lista." type="list">
      <formula1>=lst_AsegPor</formula1>
    </dataValidation>
    <dataValidation sqref="F37" showDropDown="0" showInputMessage="0" showErrorMessage="0" allowBlank="1" errorTitle="Valor no válido" error="Seleccione un valor de la lista." type="list">
      <formula1>=lst_Moneda</formula1>
    </dataValidation>
  </dataValidations>
  <pageMargins left="0.75" right="0.75" top="1" bottom="1" header="0.5" footer="0.5"/>
  <pageSetup orientation="landscape" paperSize="1" fitToHeight="1" fitToWidth="1"/>
  <drawing xmlns:r="http://schemas.openxmlformats.org/officeDocument/2006/relationships" r:id="rId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tabColor rgb="00FFC000"/>
    <outlinePr summaryBelow="1" summaryRight="1"/>
    <pageSetUpPr fitToPage="1"/>
  </sheetPr>
  <dimension ref="B2:W68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30" customWidth="1" min="2" max="2"/>
    <col width="15" customWidth="1" min="3" max="3"/>
    <col width="15" customWidth="1" min="4" max="4"/>
    <col width="15" customWidth="1" min="5" max="5"/>
    <col width="15" customWidth="1" min="6" max="6"/>
    <col width="15" customWidth="1" min="7" max="7"/>
    <col width="15" customWidth="1" min="8" max="8"/>
    <col width="15" customWidth="1" min="9" max="9"/>
    <col width="15" customWidth="1" min="10" max="10"/>
    <col width="15" customWidth="1" min="11" max="11"/>
    <col width="2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</cols>
  <sheetData>
    <row r="2">
      <c r="B2" s="27" t="inlineStr">
        <is>
          <t>Tabla de Factores Cotizador Master FASTPLUS</t>
        </is>
      </c>
      <c r="C2" s="28" t="n"/>
      <c r="D2" s="28" t="n"/>
      <c r="E2" s="28" t="n"/>
      <c r="F2" s="28" t="n"/>
      <c r="G2" s="28" t="n"/>
      <c r="H2" s="28" t="n"/>
      <c r="I2" s="28" t="n"/>
      <c r="J2" s="28" t="n"/>
      <c r="K2" s="28" t="n"/>
    </row>
    <row r="4">
      <c r="B4" s="29" t="inlineStr">
        <is>
          <t>Cliente:</t>
        </is>
      </c>
      <c r="C4" s="30" t="str">
        <f>inp_Cliente</f>
        <v>CLIENTE DE EJEMPLO, S.A. DE C.V.</v>
      </c>
      <c r="D4" s="31" t="n"/>
      <c r="E4" s="31" t="n"/>
      <c r="F4" s="31" t="n"/>
      <c r="H4" s="29" t="inlineStr">
        <is>
          <t>Plazo:</t>
        </is>
      </c>
      <c r="I4" s="31" t="n"/>
      <c r="J4" s="30" t="str">
        <f>inp_PlazoSol&amp;" meses"</f>
        <v>24 meses</v>
      </c>
    </row>
    <row r="5">
      <c r="B5" s="29" t="inlineStr">
        <is>
          <t>Equipo:</t>
        </is>
      </c>
      <c r="C5" s="30" t="str">
        <f>inp_TipoActivo&amp;" "&amp;inp_Equipo</f>
        <v>Automóvil eléctrico / híbrido Auto BYD M9 2026</v>
      </c>
      <c r="D5" s="31" t="n"/>
      <c r="E5" s="31" t="n"/>
      <c r="F5" s="31" t="n"/>
      <c r="H5" s="29" t="inlineStr">
        <is>
          <t>Anticipo:</t>
        </is>
      </c>
      <c r="I5" s="31" t="n"/>
      <c r="J5" s="32">
        <f>inp_Anticipo</f>
        <v>75845</v>
      </c>
    </row>
    <row r="6">
      <c r="B6" s="29" t="inlineStr">
        <is>
          <t>Ventas anuales solicitante:</t>
        </is>
      </c>
      <c r="C6" s="30" t="str">
        <f>inp_Tier</f>
        <v>Menos de $50 millones</v>
      </c>
      <c r="D6" s="31" t="n"/>
      <c r="E6" s="31" t="n"/>
      <c r="F6" s="31" t="n"/>
      <c r="H6" s="29" t="inlineStr">
        <is>
          <t>Depósito en garantía:</t>
        </is>
      </c>
      <c r="I6" s="31" t="n"/>
      <c r="J6" s="32">
        <f>CHOOSE(inp_EscTabla,'Corrida 1'!$C$30,'Corrida 2'!$C$30,'Corrida 3'!$C$30,'Corrida 4'!$C$30)</f>
        <v>0</v>
      </c>
    </row>
    <row r="8" ht="17" customHeight="1">
      <c r="B8" s="8" t="inlineStr">
        <is>
          <t>Pagos mensuales (no incluyen IVA)</t>
        </is>
      </c>
      <c r="G8" s="8" t="inlineStr">
        <is>
          <t>Residual</t>
        </is>
      </c>
    </row>
    <row r="9">
      <c r="B9" s="33" t="inlineStr">
        <is>
          <t>Renta básica</t>
        </is>
      </c>
      <c r="C9" s="31" t="n"/>
      <c r="D9" s="34">
        <f>CHOOSE(inp_EscTabla,'Corrida 1'!$C$48,'Corrida 2'!$C$48,'Corrida 3'!$C$48,'Corrida 4'!$C$48)+CHOOSE(inp_EscTabla,'Corrida 1'!$C$53,'Corrida 2'!$C$53,'Corrida 3'!$C$53,'Corrida 4'!$C$53)</f>
        <v>31143.0048352941</v>
      </c>
      <c r="G9" s="33" t="inlineStr">
        <is>
          <t>Valor residual nominal</t>
        </is>
      </c>
      <c r="H9" s="31" t="n"/>
      <c r="I9" s="34">
        <f>CHOOSE(inp_EscTabla,'Corrida 1'!$C$21,'Corrida 2'!$C$21,'Corrida 3'!$C$21,'Corrida 4'!$C$21)</f>
        <v>151690</v>
      </c>
    </row>
    <row r="10">
      <c r="B10" s="33" t="inlineStr">
        <is>
          <t>Pago por seguro</t>
        </is>
      </c>
      <c r="C10" s="31" t="n"/>
      <c r="D10" s="34">
        <f>CHOOSE(inp_EscTabla,'Corrida 1'!$C$49,'Corrida 2'!$C$49,'Corrida 3'!$C$49,'Corrida 4'!$C$49)</f>
        <v>0</v>
      </c>
      <c r="G10" s="33" t="inlineStr">
        <is>
          <t>Porcentaje</t>
        </is>
      </c>
      <c r="H10" s="31" t="n"/>
      <c r="I10" s="35">
        <f>CHOOSE(inp_EscTabla,'Corrida 1'!$C$20,'Corrida 2'!$C$20,'Corrida 3'!$C$20,'Corrida 4'!$C$20)</f>
        <v>0.2</v>
      </c>
    </row>
    <row r="11">
      <c r="B11" s="33" t="inlineStr">
        <is>
          <t>Otros gastos</t>
        </is>
      </c>
      <c r="C11" s="31" t="n"/>
      <c r="D11" s="34">
        <f>CHOOSE(inp_EscTabla,'Corrida 1'!$C$50,'Corrida 2'!$C$50,'Corrida 3'!$C$50,'Corrida 4'!$C$50)</f>
        <v>0</v>
      </c>
      <c r="G11" s="33" t="inlineStr">
        <is>
          <t>IVA</t>
        </is>
      </c>
      <c r="H11" s="31" t="n"/>
      <c r="I11" s="34">
        <f>CHOOSE(inp_EscTabla,'Corrida 1'!$C$21,'Corrida 2'!$C$21,'Corrida 3'!$C$21,'Corrida 4'!$C$21)*par_IVA</f>
        <v>24270.4</v>
      </c>
    </row>
    <row r="12">
      <c r="B12" s="36" t="inlineStr">
        <is>
          <t>Total pago mensual</t>
        </is>
      </c>
      <c r="C12" s="37" t="n"/>
      <c r="D12" s="38">
        <f>CHOOSE(inp_EscTabla,'Corrida 1'!$C$24,'Corrida 2'!$C$24,'Corrida 3'!$C$24,'Corrida 4'!$C$24)</f>
        <v>31143.0048352941</v>
      </c>
      <c r="G12" s="36" t="inlineStr">
        <is>
          <t>Residual neto con IVA</t>
        </is>
      </c>
      <c r="H12" s="37" t="n"/>
      <c r="I12" s="38">
        <f>CHOOSE(inp_EscTabla,'Corrida 1'!$C$21,'Corrida 2'!$C$21,'Corrida 3'!$C$21,'Corrida 4'!$C$21)*(1+par_IVA)</f>
        <v>175960.4</v>
      </c>
    </row>
    <row r="13">
      <c r="B13" s="33" t="inlineStr">
        <is>
          <t>IVA</t>
        </is>
      </c>
      <c r="C13" s="31" t="n"/>
      <c r="D13" s="34">
        <f>CHOOSE(inp_EscTabla,'Corrida 1'!$I$21,'Corrida 2'!$I$21,'Corrida 3'!$I$21,'Corrida 4'!$I$21)</f>
        <v>4982.88077364706</v>
      </c>
      <c r="G13" s="36" t="inlineStr">
        <is>
          <t>Deducibilidad de la renta</t>
        </is>
      </c>
      <c r="H13" s="37" t="n"/>
      <c r="I13" s="39">
        <f>CHOOSE(inp_EscTabla,'Corrida 1'!$C$51,'Corrida 2'!$C$51,'Corrida 3'!$C$51,'Corrida 4'!$C$51)</f>
        <v>0.274539982420398</v>
      </c>
    </row>
    <row r="14">
      <c r="B14" s="36" t="inlineStr">
        <is>
          <t>Pago mensual IVA incluido</t>
        </is>
      </c>
      <c r="C14" s="37" t="n"/>
      <c r="D14" s="38">
        <f>CHOOSE(inp_EscTabla,'Corrida 1'!$C$24,'Corrida 2'!$C$24,'Corrida 3'!$C$24,'Corrida 4'!$C$24)+CHOOSE(inp_EscTabla,'Corrida 1'!$I$21,'Corrida 2'!$I$21,'Corrida 3'!$I$21,'Corrida 4'!$I$21)</f>
        <v>36125.8856089412</v>
      </c>
    </row>
    <row r="19" ht="17" customHeight="1">
      <c r="B19" s="8" t="inlineStr">
        <is>
          <t>Factores por plazo (editar celdas blancas)</t>
        </is>
      </c>
    </row>
    <row r="20" ht="42" customHeight="1">
      <c r="B20" s="40" t="inlineStr">
        <is>
          <t>Plazo (meses)</t>
        </is>
      </c>
      <c r="C20" s="40" t="inlineStr">
        <is>
          <t>Margen renta sobre TIIE</t>
        </is>
      </c>
      <c r="D20" s="40" t="inlineStr">
        <is>
          <t>Tasa de cálculo renta</t>
        </is>
      </c>
      <c r="E20" s="40" t="inlineStr">
        <is>
          <t>% Residual</t>
        </is>
      </c>
      <c r="F20" s="40" t="inlineStr">
        <is>
          <t>Residual máximo (rate card)</t>
        </is>
      </c>
      <c r="G20" s="40" t="inlineStr">
        <is>
          <t>% Comisión por apertura</t>
        </is>
      </c>
      <c r="H20" s="40" t="inlineStr">
        <is>
          <t>% Depósito (del total financiado)</t>
        </is>
      </c>
      <c r="I20" s="40" t="inlineStr">
        <is>
          <t>Depósito (# rentas con IVA)</t>
        </is>
      </c>
      <c r="J20" s="40" t="inlineStr">
        <is>
          <t>Incluir</t>
        </is>
      </c>
      <c r="M20" s="41" t="inlineStr">
        <is>
          <t>esc_Enganche</t>
        </is>
      </c>
      <c r="N20" s="41" t="inlineStr">
        <is>
          <t>esc_Sucesivo</t>
        </is>
      </c>
      <c r="O20" s="41" t="inlineStr">
        <is>
          <t>esc_Tasa</t>
        </is>
      </c>
      <c r="P20" s="41" t="inlineStr">
        <is>
          <t>esc_TasaSuc</t>
        </is>
      </c>
      <c r="Q20" s="41" t="inlineStr">
        <is>
          <t>esc_PagoFinal</t>
        </is>
      </c>
      <c r="R20" s="41" t="inlineStr">
        <is>
          <t>esc_Seguro</t>
        </is>
      </c>
      <c r="S20" s="41" t="inlineStr">
        <is>
          <t>esc_SeguroForma</t>
        </is>
      </c>
      <c r="T20" s="41" t="inlineStr">
        <is>
          <t>esc_GPS</t>
        </is>
      </c>
      <c r="U20" s="41" t="inlineStr">
        <is>
          <t>esc_GPSForma</t>
        </is>
      </c>
      <c r="V20" s="41" t="inlineStr">
        <is>
          <t>esc_Otros</t>
        </is>
      </c>
      <c r="W20" s="41" t="inlineStr">
        <is>
          <t>esc_OtrosForma</t>
        </is>
      </c>
    </row>
    <row r="21">
      <c r="B21" s="42" t="n">
        <v>12</v>
      </c>
      <c r="C21" s="43" t="n">
        <v>0.16</v>
      </c>
      <c r="D21" s="44">
        <f>inp_TIIE+C21</f>
        <v>0.246</v>
      </c>
      <c r="E21" s="43" t="n">
        <v>0.3</v>
      </c>
      <c r="F21" s="44">
        <f>INDEX(rc_ResMax,1,IFERROR(MATCH(B21,rc_Plazos,1),1))</f>
        <v>0.4</v>
      </c>
      <c r="G21" s="43" t="n">
        <v>0.02</v>
      </c>
      <c r="H21" s="43" t="n">
        <v>0</v>
      </c>
      <c r="I21" s="45" t="n">
        <v>0</v>
      </c>
      <c r="J21" s="46" t="inlineStr">
        <is>
          <t>Sí</t>
        </is>
      </c>
      <c r="M21" s="41">
        <f>IF(inp_Valor=0,0,inp_Anticipo/inp_Valor)</f>
        <v>0.1</v>
      </c>
      <c r="N21" s="41" t="n">
        <v>0</v>
      </c>
      <c r="O21" s="41">
        <f>D21</f>
        <v>0.246</v>
      </c>
      <c r="P21" s="41">
        <f>D21</f>
        <v>0.246</v>
      </c>
      <c r="Q21" s="41" t="n"/>
      <c r="R21" s="41">
        <f>inp_SeguroMonto/(1+par_IVA)</f>
        <v>0</v>
      </c>
      <c r="S21" s="41" t="str">
        <f>IF(inp_SeguroFin="Financiado","Financiado","Contado")</f>
        <v>Contado</v>
      </c>
      <c r="T21" s="41">
        <f>inp_GPSMonto/(1+par_IVA)</f>
        <v>0</v>
      </c>
      <c r="U21" s="41" t="inlineStr">
        <is>
          <t>Financiado</t>
        </is>
      </c>
      <c r="V21" s="41">
        <f>inp_OtrosMonto/(1+par_IVA)</f>
        <v>0</v>
      </c>
      <c r="W21" s="41" t="inlineStr">
        <is>
          <t>Financiado</t>
        </is>
      </c>
    </row>
    <row r="22">
      <c r="B22" s="42" t="n">
        <v>24</v>
      </c>
      <c r="C22" s="43" t="n">
        <v>0.155</v>
      </c>
      <c r="D22" s="44">
        <f>inp_TIIE+C22</f>
        <v>0.241</v>
      </c>
      <c r="E22" s="43" t="n">
        <v>0.2</v>
      </c>
      <c r="F22" s="44">
        <f>INDEX(rc_ResMax,1,IFERROR(MATCH(B22,rc_Plazos,1),1))</f>
        <v>0.38</v>
      </c>
      <c r="G22" s="43" t="n">
        <v>0.02</v>
      </c>
      <c r="H22" s="43" t="n">
        <v>0</v>
      </c>
      <c r="I22" s="45" t="n">
        <v>0</v>
      </c>
      <c r="J22" s="46" t="inlineStr">
        <is>
          <t>Sí</t>
        </is>
      </c>
      <c r="M22" s="41">
        <f>IF(inp_Valor=0,0,inp_Anticipo/inp_Valor)</f>
        <v>0.1</v>
      </c>
      <c r="N22" s="41" t="n">
        <v>0</v>
      </c>
      <c r="O22" s="41">
        <f>D22</f>
        <v>0.241</v>
      </c>
      <c r="P22" s="41">
        <f>D22</f>
        <v>0.241</v>
      </c>
      <c r="Q22" s="41" t="n"/>
      <c r="R22" s="41">
        <f>inp_SeguroMonto/(1+par_IVA)</f>
        <v>0</v>
      </c>
      <c r="S22" s="41" t="str">
        <f>IF(inp_SeguroFin="Financiado","Financiado","Contado")</f>
        <v>Contado</v>
      </c>
      <c r="T22" s="41">
        <f>inp_GPSMonto/(1+par_IVA)</f>
        <v>0</v>
      </c>
      <c r="U22" s="41" t="inlineStr">
        <is>
          <t>Financiado</t>
        </is>
      </c>
      <c r="V22" s="41">
        <f>inp_OtrosMonto/(1+par_IVA)</f>
        <v>0</v>
      </c>
      <c r="W22" s="41" t="inlineStr">
        <is>
          <t>Financiado</t>
        </is>
      </c>
    </row>
    <row r="23">
      <c r="B23" s="42" t="n">
        <v>36</v>
      </c>
      <c r="C23" s="43" t="n">
        <v>0.15</v>
      </c>
      <c r="D23" s="44">
        <f>inp_TIIE+C23</f>
        <v>0.236</v>
      </c>
      <c r="E23" s="43" t="n">
        <v>0.15</v>
      </c>
      <c r="F23" s="44">
        <f>INDEX(rc_ResMax,1,IFERROR(MATCH(B23,rc_Plazos,1),1))</f>
        <v>0.35</v>
      </c>
      <c r="G23" s="43" t="n">
        <v>0.02</v>
      </c>
      <c r="H23" s="43" t="n">
        <v>0</v>
      </c>
      <c r="I23" s="45" t="n">
        <v>0</v>
      </c>
      <c r="J23" s="46" t="inlineStr">
        <is>
          <t>Sí</t>
        </is>
      </c>
      <c r="M23" s="41">
        <f>IF(inp_Valor=0,0,inp_Anticipo/inp_Valor)</f>
        <v>0.1</v>
      </c>
      <c r="N23" s="41" t="n">
        <v>0</v>
      </c>
      <c r="O23" s="41">
        <f>D23</f>
        <v>0.236</v>
      </c>
      <c r="P23" s="41">
        <f>D23</f>
        <v>0.236</v>
      </c>
      <c r="Q23" s="41" t="n"/>
      <c r="R23" s="41">
        <f>inp_SeguroMonto/(1+par_IVA)</f>
        <v>0</v>
      </c>
      <c r="S23" s="41" t="str">
        <f>IF(inp_SeguroFin="Financiado","Financiado","Contado")</f>
        <v>Contado</v>
      </c>
      <c r="T23" s="41">
        <f>inp_GPSMonto/(1+par_IVA)</f>
        <v>0</v>
      </c>
      <c r="U23" s="41" t="inlineStr">
        <is>
          <t>Financiado</t>
        </is>
      </c>
      <c r="V23" s="41">
        <f>inp_OtrosMonto/(1+par_IVA)</f>
        <v>0</v>
      </c>
      <c r="W23" s="41" t="inlineStr">
        <is>
          <t>Financiado</t>
        </is>
      </c>
    </row>
    <row r="24">
      <c r="B24" s="42" t="n">
        <v>48</v>
      </c>
      <c r="C24" s="43" t="n">
        <v>0.145</v>
      </c>
      <c r="D24" s="44">
        <f>inp_TIIE+C24</f>
        <v>0.231</v>
      </c>
      <c r="E24" s="43" t="n">
        <v>0.1</v>
      </c>
      <c r="F24" s="44">
        <f>INDEX(rc_ResMax,1,IFERROR(MATCH(B24,rc_Plazos,1),1))</f>
        <v>0.3</v>
      </c>
      <c r="G24" s="43" t="n">
        <v>0.02</v>
      </c>
      <c r="H24" s="43" t="n">
        <v>0</v>
      </c>
      <c r="I24" s="45" t="n">
        <v>0</v>
      </c>
      <c r="J24" s="46" t="inlineStr">
        <is>
          <t>Sí</t>
        </is>
      </c>
      <c r="M24" s="41">
        <f>IF(inp_Valor=0,0,inp_Anticipo/inp_Valor)</f>
        <v>0.1</v>
      </c>
      <c r="N24" s="41" t="n">
        <v>0</v>
      </c>
      <c r="O24" s="41">
        <f>D24</f>
        <v>0.231</v>
      </c>
      <c r="P24" s="41">
        <f>D24</f>
        <v>0.231</v>
      </c>
      <c r="Q24" s="41" t="n"/>
      <c r="R24" s="41">
        <f>inp_SeguroMonto/(1+par_IVA)</f>
        <v>0</v>
      </c>
      <c r="S24" s="41" t="str">
        <f>IF(inp_SeguroFin="Financiado","Financiado","Contado")</f>
        <v>Contado</v>
      </c>
      <c r="T24" s="41">
        <f>inp_GPSMonto/(1+par_IVA)</f>
        <v>0</v>
      </c>
      <c r="U24" s="41" t="inlineStr">
        <is>
          <t>Financiado</t>
        </is>
      </c>
      <c r="V24" s="41">
        <f>inp_OtrosMonto/(1+par_IVA)</f>
        <v>0</v>
      </c>
      <c r="W24" s="41" t="inlineStr">
        <is>
          <t>Financiado</t>
        </is>
      </c>
    </row>
    <row r="26" ht="17" customHeight="1">
      <c r="B26" s="8" t="inlineStr">
        <is>
          <t>Análisis de rentabilidad (plazo solicitado)</t>
        </is>
      </c>
    </row>
    <row r="27">
      <c r="B27" s="47" t="inlineStr">
        <is>
          <t>Concepto</t>
        </is>
      </c>
      <c r="C27" s="47" t="inlineStr">
        <is>
          <t>Operación</t>
        </is>
      </c>
      <c r="D27" s="47" t="inlineStr">
        <is>
          <t>Rate card</t>
        </is>
      </c>
      <c r="E27" s="47" t="inlineStr">
        <is>
          <t>Observaciones</t>
        </is>
      </c>
    </row>
    <row r="28">
      <c r="B28" s="30" t="inlineStr">
        <is>
          <t>TIR real (XIRR)</t>
        </is>
      </c>
      <c r="C28" s="48">
        <f>CHOOSE(inp_EscTabla,'Corrida 1'!$I$8,'Corrida 2'!$I$8,'Corrida 3'!$I$8,'Corrida 4'!$I$8)</f>
        <v>0.292682602211409</v>
      </c>
      <c r="D28" s="48">
        <f>CHOOSE(inp_EscTabla,'Corrida 1'!$C$46,'Corrida 2'!$C$46,'Corrida 3'!$C$46,'Corrida 4'!$C$46)</f>
        <v>0.24</v>
      </c>
      <c r="E28" s="49" t="str">
        <f>IF(N(C28)&lt;D28,"TIR menor a la mínima en "&amp;TEXT(N(C28)-D28,"0.00%"),"")</f>
        <v/>
      </c>
      <c r="F28" s="31" t="n"/>
      <c r="G28" s="31" t="n"/>
      <c r="H28" s="31" t="n"/>
      <c r="I28" s="31" t="n"/>
      <c r="J28" s="31" t="n"/>
    </row>
    <row r="29">
      <c r="B29" s="30" t="inlineStr">
        <is>
          <t>TIR nominal (cap. mensual)</t>
        </is>
      </c>
      <c r="C29" s="48">
        <f>CHOOSE(inp_EscTabla,'Corrida 1'!$I$9,'Corrida 2'!$I$9,'Corrida 3'!$I$9,'Corrida 4'!$I$9)</f>
        <v>0.259485322811181</v>
      </c>
      <c r="D29" s="48">
        <f>CHOOSE(inp_EscTabla,'Corrida 1'!$C$46,'Corrida 2'!$C$46,'Corrida 3'!$C$46,'Corrida 4'!$C$46)</f>
        <v>0.24</v>
      </c>
      <c r="E29" s="49" t="n"/>
      <c r="F29" s="31" t="n"/>
      <c r="G29" s="31" t="n"/>
      <c r="H29" s="31" t="n"/>
      <c r="I29" s="31" t="n"/>
      <c r="J29" s="31" t="n"/>
    </row>
    <row r="30">
      <c r="B30" s="30" t="inlineStr">
        <is>
          <t>Margen antes de comisiones</t>
        </is>
      </c>
      <c r="C30" s="48">
        <f>CHOOSE(inp_EscTabla,'Corrida 1'!$I$5,'Corrida 2'!$I$5,'Corrida 3'!$I$5,'Corrida 4'!$I$5)</f>
        <v>0.0601169894618804</v>
      </c>
      <c r="D30" s="48">
        <f>CHOOSE(inp_EscTabla,'Corrida 1'!$C$45,'Corrida 2'!$C$45,'Corrida 3'!$C$45,'Corrida 4'!$C$45)</f>
        <v>0.05</v>
      </c>
      <c r="E30" s="49" t="str">
        <f>IF(N(C30)&lt;D30,"Margen antes de comisiones menor al mínimo en "&amp;TEXT(N(C30)-D30,"0.00%"),"")</f>
        <v/>
      </c>
      <c r="F30" s="31" t="n"/>
      <c r="G30" s="31" t="n"/>
      <c r="H30" s="31" t="n"/>
      <c r="I30" s="31" t="n"/>
      <c r="J30" s="31" t="n"/>
    </row>
    <row r="31">
      <c r="B31" s="30" t="inlineStr">
        <is>
          <t>Margen de caja neto</t>
        </is>
      </c>
      <c r="C31" s="48">
        <f>CHOOSE(inp_EscTabla,'Corrida 1'!$I$26,'Corrida 2'!$I$26,'Corrida 3'!$I$26,'Corrida 4'!$I$26)</f>
        <v>0.0601169894618804</v>
      </c>
      <c r="D31" s="48">
        <f>CHOOSE(inp_EscTabla,'Corrida 1'!$C$45,'Corrida 2'!$C$45,'Corrida 3'!$C$45,'Corrida 4'!$C$45)</f>
        <v>0.05</v>
      </c>
      <c r="E31" s="49" t="str">
        <f>IF(N(C31)&lt;D31,"Margen de caja neto menor al mínimo en "&amp;TEXT(N(C31)-D31,"0.00%"),"")</f>
        <v/>
      </c>
      <c r="F31" s="31" t="n"/>
      <c r="G31" s="31" t="n"/>
      <c r="H31" s="31" t="n"/>
      <c r="I31" s="31" t="n"/>
      <c r="J31" s="31" t="n"/>
    </row>
    <row r="32">
      <c r="B32" s="30" t="inlineStr">
        <is>
          <t>Tasa de cálculo de la renta</t>
        </is>
      </c>
      <c r="C32" s="48">
        <f>CHOOSE(inp_EscTabla,'Corrida 1'!$C$8,'Corrida 2'!$C$8,'Corrida 3'!$C$8,'Corrida 4'!$C$8)</f>
        <v>0.241</v>
      </c>
      <c r="D32" s="48">
        <f>CHOOSE(inp_EscTabla,'Corrida 1'!$I$15,'Corrida 2'!$I$15,'Corrida 3'!$I$15,'Corrida 4'!$I$15)</f>
        <v>0.231965201482348</v>
      </c>
      <c r="E32" s="49" t="str">
        <f>IF(N(C32)&lt;D32,"Tasa menor a la mínima para cumplir el rate card en "&amp;TEXT(N(C32)-D32,"0.00%"),"")</f>
        <v/>
      </c>
      <c r="F32" s="31" t="n"/>
      <c r="G32" s="31" t="n"/>
      <c r="H32" s="31" t="n"/>
      <c r="I32" s="31" t="n"/>
      <c r="J32" s="31" t="n"/>
    </row>
    <row r="33">
      <c r="B33" s="30" t="inlineStr">
        <is>
          <t>Spread contra fondeo</t>
        </is>
      </c>
      <c r="C33" s="48">
        <f>CHOOSE(inp_EscTabla,'Corrida 1'!$I$23,'Corrida 2'!$I$23,'Corrida 3'!$I$23,'Corrida 4'!$I$23)</f>
        <v>0.036</v>
      </c>
      <c r="D33" s="31" t="n"/>
      <c r="E33" s="49" t="n"/>
      <c r="F33" s="31" t="n"/>
      <c r="G33" s="31" t="n"/>
      <c r="H33" s="31" t="n"/>
      <c r="I33" s="31" t="n"/>
      <c r="J33" s="31" t="n"/>
    </row>
    <row r="34">
      <c r="B34" s="30" t="inlineStr">
        <is>
          <t>Residual</t>
        </is>
      </c>
      <c r="C34" s="48">
        <f>CHOOSE(inp_EscTabla,'Corrida 1'!$C$20,'Corrida 2'!$C$20,'Corrida 3'!$C$20,'Corrida 4'!$C$20)</f>
        <v>0.2</v>
      </c>
      <c r="D34" s="48">
        <f>CHOOSE(inp_EscTabla,'Corrida 1'!$C$47,'Corrida 2'!$C$47,'Corrida 3'!$C$47,'Corrida 4'!$C$47)</f>
        <v>0.38</v>
      </c>
      <c r="E34" s="49" t="str">
        <f>IF(C34&gt;D34,"Residual mayor al máximo permitido en "&amp;TEXT(C34-D34,"0.00%"),"")</f>
        <v/>
      </c>
      <c r="F34" s="31" t="n"/>
      <c r="G34" s="31" t="n"/>
      <c r="H34" s="31" t="n"/>
      <c r="I34" s="31" t="n"/>
      <c r="J34" s="31" t="n"/>
    </row>
    <row r="35">
      <c r="B35" s="50" t="inlineStr">
        <is>
          <t>Dictamen</t>
        </is>
      </c>
      <c r="C35" s="51" t="str">
        <f>CHOOSE(inp_EscTabla,'Corrida 1'!$I$27,'Corrida 2'!$I$27,'Corrida 3'!$I$27,'Corrida 4'!$I$27)</f>
        <v>CUMPLE</v>
      </c>
    </row>
    <row r="38" ht="17" customHeight="1">
      <c r="B38" s="8" t="inlineStr">
        <is>
          <t>Análisis por plazo</t>
        </is>
      </c>
    </row>
    <row r="39">
      <c r="B39" s="52" t="inlineStr">
        <is>
          <t>Concepto</t>
        </is>
      </c>
      <c r="C39" s="47" t="str">
        <f>INDEX(esc_Plazo,1)&amp;" meses"</f>
        <v>12 meses</v>
      </c>
      <c r="D39" s="47" t="str">
        <f>INDEX(esc_Plazo,2)&amp;" meses"</f>
        <v>24 meses</v>
      </c>
      <c r="E39" s="47" t="str">
        <f>INDEX(esc_Plazo,3)&amp;" meses"</f>
        <v>36 meses</v>
      </c>
      <c r="F39" s="47" t="str">
        <f>INDEX(esc_Plazo,4)&amp;" meses"</f>
        <v>48 meses</v>
      </c>
    </row>
    <row r="40">
      <c r="B40" s="53" t="inlineStr">
        <is>
          <t>Renta mensual sin IVA</t>
        </is>
      </c>
      <c r="C40" s="54">
        <f>'Corrida 1'!$C$24</f>
        <v>47827.948464197</v>
      </c>
      <c r="D40" s="54">
        <f>'Corrida 2'!$C$24</f>
        <v>31143.0048352941</v>
      </c>
      <c r="E40" s="54">
        <f>'Corrida 3'!$C$24</f>
        <v>24435.2517367162</v>
      </c>
      <c r="F40" s="54">
        <f>'Corrida 4'!$C$24</f>
        <v>20940.8257120068</v>
      </c>
    </row>
    <row r="41">
      <c r="B41" s="53" t="inlineStr">
        <is>
          <t>Renta mensual IVA incluido</t>
        </is>
      </c>
      <c r="C41" s="54">
        <f>'Corrida 1'!$C$24+'Corrida 1'!$I$21</f>
        <v>55480.4202184685</v>
      </c>
      <c r="D41" s="54">
        <f>'Corrida 2'!$C$24+'Corrida 2'!$I$21</f>
        <v>36125.8856089412</v>
      </c>
      <c r="E41" s="54">
        <f>'Corrida 3'!$C$24+'Corrida 3'!$I$21</f>
        <v>28344.8920145908</v>
      </c>
      <c r="F41" s="54">
        <f>'Corrida 4'!$C$24+'Corrida 4'!$I$21</f>
        <v>24291.3578259279</v>
      </c>
    </row>
    <row r="42">
      <c r="B42" s="53" t="inlineStr">
        <is>
          <t>Tasa de cálculo renta</t>
        </is>
      </c>
      <c r="C42" s="55">
        <f>'Corrida 1'!$I$24</f>
        <v>0.246</v>
      </c>
      <c r="D42" s="55">
        <f>'Corrida 2'!$I$24</f>
        <v>0.241</v>
      </c>
      <c r="E42" s="55">
        <f>'Corrida 3'!$I$24</f>
        <v>0.236</v>
      </c>
      <c r="F42" s="55">
        <f>'Corrida 4'!$I$24</f>
        <v>0.231</v>
      </c>
    </row>
    <row r="43">
      <c r="B43" s="53" t="inlineStr">
        <is>
          <t>TIR real</t>
        </is>
      </c>
      <c r="C43" s="55">
        <f>'Corrida 1'!$I$8</f>
        <v>0.316344776839353</v>
      </c>
      <c r="D43" s="55">
        <f>'Corrida 2'!$I$8</f>
        <v>0.292682602211409</v>
      </c>
      <c r="E43" s="55">
        <f>'Corrida 3'!$I$8</f>
        <v>0.280160008243102</v>
      </c>
      <c r="F43" s="55">
        <f>'Corrida 4'!$I$8</f>
        <v>0.270772640897329</v>
      </c>
    </row>
    <row r="44">
      <c r="B44" s="53" t="inlineStr">
        <is>
          <t>TIR mínima (rate card)</t>
        </is>
      </c>
      <c r="C44" s="55">
        <f>'Corrida 1'!$C$46</f>
        <v>0.24</v>
      </c>
      <c r="D44" s="55">
        <f>'Corrida 2'!$C$46</f>
        <v>0.24</v>
      </c>
      <c r="E44" s="55">
        <f>'Corrida 3'!$C$46</f>
        <v>0.24</v>
      </c>
      <c r="F44" s="55">
        <f>'Corrida 4'!$C$46</f>
        <v>0.24</v>
      </c>
    </row>
    <row r="45">
      <c r="B45" s="53" t="inlineStr">
        <is>
          <t>Margen de caja antes de comisiones (%)</t>
        </is>
      </c>
      <c r="C45" s="55">
        <f>'Corrida 1'!$I$5</f>
        <v>0.0464484712232711</v>
      </c>
      <c r="D45" s="55">
        <f>'Corrida 2'!$I$5</f>
        <v>0.0601169894618804</v>
      </c>
      <c r="E45" s="55">
        <f>'Corrida 3'!$I$5</f>
        <v>0.0672348598621759</v>
      </c>
      <c r="F45" s="55">
        <f>'Corrida 4'!$I$5</f>
        <v>0.0686388963381918</v>
      </c>
    </row>
    <row r="46">
      <c r="B46" s="53" t="inlineStr">
        <is>
          <t>Comisión originador ($)</t>
        </is>
      </c>
      <c r="C46" s="54">
        <f>'Corrida 1'!$C$44</f>
        <v>0</v>
      </c>
      <c r="D46" s="54">
        <f>'Corrida 2'!$C$44</f>
        <v>0</v>
      </c>
      <c r="E46" s="54">
        <f>'Corrida 3'!$C$44</f>
        <v>0</v>
      </c>
      <c r="F46" s="54">
        <f>'Corrida 4'!$C$44</f>
        <v>0</v>
      </c>
    </row>
    <row r="47">
      <c r="B47" s="53" t="inlineStr">
        <is>
          <t>Margen de caja neto ($)</t>
        </is>
      </c>
      <c r="C47" s="54">
        <f>'Corrida 1'!$I$25</f>
        <v>31705.958699361</v>
      </c>
      <c r="D47" s="54">
        <f>'Corrida 2'!$I$25</f>
        <v>41036.1575916269</v>
      </c>
      <c r="E47" s="54">
        <f>'Corrida 3'!$I$25</f>
        <v>45894.8515162206</v>
      </c>
      <c r="F47" s="54">
        <f>'Corrida 4'!$I$25</f>
        <v>46853.2538349314</v>
      </c>
    </row>
    <row r="48">
      <c r="B48" s="53" t="inlineStr">
        <is>
          <t>Margen de caja neto (%)</t>
        </is>
      </c>
      <c r="C48" s="55">
        <f>'Corrida 1'!$I$26</f>
        <v>0.0464484712232711</v>
      </c>
      <c r="D48" s="55">
        <f>'Corrida 2'!$I$26</f>
        <v>0.0601169894618804</v>
      </c>
      <c r="E48" s="55">
        <f>'Corrida 3'!$I$26</f>
        <v>0.0672348598621759</v>
      </c>
      <c r="F48" s="55">
        <f>'Corrida 4'!$I$26</f>
        <v>0.0686388963381918</v>
      </c>
    </row>
    <row r="49">
      <c r="B49" s="53" t="inlineStr">
        <is>
          <t>Margen mínimo (rate card)</t>
        </is>
      </c>
      <c r="C49" s="55">
        <f>'Corrida 1'!$C$45</f>
        <v>0.04</v>
      </c>
      <c r="D49" s="55">
        <f>'Corrida 2'!$C$45</f>
        <v>0.05</v>
      </c>
      <c r="E49" s="55">
        <f>'Corrida 3'!$C$45</f>
        <v>0.06</v>
      </c>
      <c r="F49" s="55">
        <f>'Corrida 4'!$C$45</f>
        <v>0.07</v>
      </c>
    </row>
    <row r="50">
      <c r="B50" s="53" t="inlineStr">
        <is>
          <t>Dictamen</t>
        </is>
      </c>
      <c r="C50" s="56" t="str">
        <f>'Corrida 1'!$I$27</f>
        <v>CUMPLE</v>
      </c>
      <c r="D50" s="56" t="str">
        <f>'Corrida 2'!$I$27</f>
        <v>CUMPLE</v>
      </c>
      <c r="E50" s="56" t="str">
        <f>'Corrida 3'!$I$27</f>
        <v>CUMPLE</v>
      </c>
      <c r="F50" s="56" t="str">
        <f>'Corrida 4'!$I$27</f>
        <v>NO CUMPLE</v>
      </c>
    </row>
    <row r="51">
      <c r="B51" s="53" t="inlineStr">
        <is>
          <t>Tasa mínima para cumplir</t>
        </is>
      </c>
      <c r="C51" s="55">
        <f>'Corrida 1'!$I$15</f>
        <v>0.236026645810292</v>
      </c>
      <c r="D51" s="55">
        <f>'Corrida 2'!$I$15</f>
        <v>0.231965201482348</v>
      </c>
      <c r="E51" s="55">
        <f>'Corrida 3'!$I$15</f>
        <v>0.231286877046168</v>
      </c>
      <c r="F51" s="55">
        <f>'Corrida 4'!$I$15</f>
        <v>0.23172013349624</v>
      </c>
    </row>
    <row r="52">
      <c r="B52" s="53" t="inlineStr">
        <is>
          <t>Margen mínimo sobre TIIE</t>
        </is>
      </c>
      <c r="C52" s="55">
        <f>'Corrida 1'!$I$28</f>
        <v>0.150026645810292</v>
      </c>
      <c r="D52" s="55">
        <f>'Corrida 2'!$I$28</f>
        <v>0.145965201482348</v>
      </c>
      <c r="E52" s="55">
        <f>'Corrida 3'!$I$28</f>
        <v>0.145286877046168</v>
      </c>
      <c r="F52" s="55">
        <f>'Corrida 4'!$I$28</f>
        <v>0.14572013349624</v>
      </c>
    </row>
    <row r="53">
      <c r="B53" s="53" t="inlineStr">
        <is>
          <t>CAT informativo sin IVA</t>
        </is>
      </c>
      <c r="C53" s="55">
        <f>'Corrida 1'!$I$10</f>
        <v>0.316344776839353</v>
      </c>
      <c r="D53" s="55">
        <f>'Corrida 2'!$I$10</f>
        <v>0.292682602211409</v>
      </c>
      <c r="E53" s="55">
        <f>'Corrida 3'!$I$10</f>
        <v>0.280160008243102</v>
      </c>
      <c r="F53" s="55">
        <f>'Corrida 4'!$I$10</f>
        <v>0.270772640897329</v>
      </c>
    </row>
    <row r="54">
      <c r="B54" s="53" t="inlineStr">
        <is>
          <t>Cuadre de la corrida</t>
        </is>
      </c>
      <c r="C54" s="56" t="str">
        <f>IF(ABS('Corrida 1'!$I$16)&lt;0.01,"OK","Dif. "&amp;TEXT('Corrida 1'!$I$16,"#,##0.00"))</f>
        <v>OK</v>
      </c>
      <c r="D54" s="56" t="str">
        <f>IF(ABS('Corrida 2'!$I$16)&lt;0.01,"OK","Dif. "&amp;TEXT('Corrida 2'!$I$16,"#,##0.00"))</f>
        <v>OK</v>
      </c>
      <c r="E54" s="56" t="str">
        <f>IF(ABS('Corrida 3'!$I$16)&lt;0.01,"OK","Dif. "&amp;TEXT('Corrida 3'!$I$16,"#,##0.00"))</f>
        <v>OK</v>
      </c>
      <c r="F54" s="56" t="str">
        <f>IF(ABS('Corrida 4'!$I$16)&lt;0.01,"OK","Dif. "&amp;TEXT('Corrida 4'!$I$16,"#,##0.00"))</f>
        <v>OK</v>
      </c>
    </row>
    <row r="55" ht="60" customHeight="1">
      <c r="B55" s="57" t="inlineStr">
        <is>
          <t>Alertas</t>
        </is>
      </c>
      <c r="C55" s="58" t="str">
        <f>IF(IF(inp_Valor&lt;=0,"Capture el precio del equipo. ","")&amp;IF('Corrida 1'!$C$8&lt;inp_Fondeo,"Spread negativo (tasa &lt; fondeo). ","")&amp;IF('Corrida 1'!$I$26&lt;'Corrida 1'!$C$45,"Margen neto por debajo del mínimo. ","")&amp;IF(N('Corrida 1'!$I$8)&lt;'Corrida 1'!$C$46,"TIR por debajo de la mínima. ","")&amp;IF(INDEX(esc_Residual,1)&gt;'Corrida 1'!$C$47,"Residual mayor al máximo. ","")&amp;IF(inp_Anticipo&gt;=inp_Valor,"Anticipo mayor o igual al valor. ","")&amp;IF(ABS('Corrida 1'!$I$16)&gt;=0.01,"La corrida no cuadra. ","")="","Sin alertas",IF(inp_Valor&lt;=0,"Capture el precio del equipo. ","")&amp;IF('Corrida 1'!$C$8&lt;inp_Fondeo,"Spread negativo (tasa &lt; fondeo). ","")&amp;IF('Corrida 1'!$I$26&lt;'Corrida 1'!$C$45,"Margen neto por debajo del mínimo. ","")&amp;IF(N('Corrida 1'!$I$8)&lt;'Corrida 1'!$C$46,"TIR por debajo de la mínima. ","")&amp;IF(INDEX(esc_Residual,1)&gt;'Corrida 1'!$C$47,"Residual mayor al máximo. ","")&amp;IF(inp_Anticipo&gt;=inp_Valor,"Anticipo mayor o igual al valor. ","")&amp;IF(ABS('Corrida 1'!$I$16)&gt;=0.01,"La corrida no cuadra. ",""))</f>
        <v>Sin alertas</v>
      </c>
      <c r="D55" s="58" t="str">
        <f>IF(IF(inp_Valor&lt;=0,"Capture el precio del equipo. ","")&amp;IF('Corrida 2'!$C$8&lt;inp_Fondeo,"Spread negativo (tasa &lt; fondeo). ","")&amp;IF('Corrida 2'!$I$26&lt;'Corrida 2'!$C$45,"Margen neto por debajo del mínimo. ","")&amp;IF(N('Corrida 2'!$I$8)&lt;'Corrida 2'!$C$46,"TIR por debajo de la mínima. ","")&amp;IF(INDEX(esc_Residual,2)&gt;'Corrida 2'!$C$47,"Residual mayor al máximo. ","")&amp;IF(inp_Anticipo&gt;=inp_Valor,"Anticipo mayor o igual al valor. ","")&amp;IF(ABS('Corrida 2'!$I$16)&gt;=0.01,"La corrida no cuadra. ","")="","Sin alertas",IF(inp_Valor&lt;=0,"Capture el precio del equipo. ","")&amp;IF('Corrida 2'!$C$8&lt;inp_Fondeo,"Spread negativo (tasa &lt; fondeo). ","")&amp;IF('Corrida 2'!$I$26&lt;'Corrida 2'!$C$45,"Margen neto por debajo del mínimo. ","")&amp;IF(N('Corrida 2'!$I$8)&lt;'Corrida 2'!$C$46,"TIR por debajo de la mínima. ","")&amp;IF(INDEX(esc_Residual,2)&gt;'Corrida 2'!$C$47,"Residual mayor al máximo. ","")&amp;IF(inp_Anticipo&gt;=inp_Valor,"Anticipo mayor o igual al valor. ","")&amp;IF(ABS('Corrida 2'!$I$16)&gt;=0.01,"La corrida no cuadra. ",""))</f>
        <v>Sin alertas</v>
      </c>
      <c r="E55" s="58" t="str">
        <f>IF(IF(inp_Valor&lt;=0,"Capture el precio del equipo. ","")&amp;IF('Corrida 3'!$C$8&lt;inp_Fondeo,"Spread negativo (tasa &lt; fondeo). ","")&amp;IF('Corrida 3'!$I$26&lt;'Corrida 3'!$C$45,"Margen neto por debajo del mínimo. ","")&amp;IF(N('Corrida 3'!$I$8)&lt;'Corrida 3'!$C$46,"TIR por debajo de la mínima. ","")&amp;IF(INDEX(esc_Residual,3)&gt;'Corrida 3'!$C$47,"Residual mayor al máximo. ","")&amp;IF(inp_Anticipo&gt;=inp_Valor,"Anticipo mayor o igual al valor. ","")&amp;IF(ABS('Corrida 3'!$I$16)&gt;=0.01,"La corrida no cuadra. ","")="","Sin alertas",IF(inp_Valor&lt;=0,"Capture el precio del equipo. ","")&amp;IF('Corrida 3'!$C$8&lt;inp_Fondeo,"Spread negativo (tasa &lt; fondeo). ","")&amp;IF('Corrida 3'!$I$26&lt;'Corrida 3'!$C$45,"Margen neto por debajo del mínimo. ","")&amp;IF(N('Corrida 3'!$I$8)&lt;'Corrida 3'!$C$46,"TIR por debajo de la mínima. ","")&amp;IF(INDEX(esc_Residual,3)&gt;'Corrida 3'!$C$47,"Residual mayor al máximo. ","")&amp;IF(inp_Anticipo&gt;=inp_Valor,"Anticipo mayor o igual al valor. ","")&amp;IF(ABS('Corrida 3'!$I$16)&gt;=0.01,"La corrida no cuadra. ",""))</f>
        <v>Sin alertas</v>
      </c>
      <c r="F55" s="58" t="str">
        <f>IF(IF(inp_Valor&lt;=0,"Capture el precio del equipo. ","")&amp;IF('Corrida 4'!$C$8&lt;inp_Fondeo,"Spread negativo (tasa &lt; fondeo). ","")&amp;IF('Corrida 4'!$I$26&lt;'Corrida 4'!$C$45,"Margen neto por debajo del mínimo. ","")&amp;IF(N('Corrida 4'!$I$8)&lt;'Corrida 4'!$C$46,"TIR por debajo de la mínima. ","")&amp;IF(INDEX(esc_Residual,4)&gt;'Corrida 4'!$C$47,"Residual mayor al máximo. ","")&amp;IF(inp_Anticipo&gt;=inp_Valor,"Anticipo mayor o igual al valor. ","")&amp;IF(ABS('Corrida 4'!$I$16)&gt;=0.01,"La corrida no cuadra. ","")="","Sin alertas",IF(inp_Valor&lt;=0,"Capture el precio del equipo. ","")&amp;IF('Corrida 4'!$C$8&lt;inp_Fondeo,"Spread negativo (tasa &lt; fondeo). ","")&amp;IF('Corrida 4'!$I$26&lt;'Corrida 4'!$C$45,"Margen neto por debajo del mínimo. ","")&amp;IF(N('Corrida 4'!$I$8)&lt;'Corrida 4'!$C$46,"TIR por debajo de la mínima. ","")&amp;IF(INDEX(esc_Residual,4)&gt;'Corrida 4'!$C$47,"Residual mayor al máximo. ","")&amp;IF(inp_Anticipo&gt;=inp_Valor,"Anticipo mayor o igual al valor. ","")&amp;IF(ABS('Corrida 4'!$I$16)&gt;=0.01,"La corrida no cuadra. ",""))</f>
        <v>Margen neto por debajo del mínimo. </v>
      </c>
    </row>
    <row r="57" ht="17" customHeight="1">
      <c r="B57" s="8" t="inlineStr">
        <is>
          <t>Rate Card FASTPLUS (mínimos de rentabilidad – administrador)</t>
        </is>
      </c>
    </row>
    <row r="58">
      <c r="B58" s="47" t="inlineStr">
        <is>
          <t>TIER</t>
        </is>
      </c>
      <c r="C58" s="47" t="inlineStr">
        <is>
          <t>Ventas anuales del solicitante</t>
        </is>
      </c>
      <c r="D58" s="47" t="inlineStr">
        <is>
          <t>TIR mínima</t>
        </is>
      </c>
      <c r="E58" s="59" t="n">
        <v>12</v>
      </c>
      <c r="F58" s="59" t="n">
        <v>24</v>
      </c>
      <c r="G58" s="59" t="n">
        <v>36</v>
      </c>
      <c r="H58" s="59" t="n">
        <v>48</v>
      </c>
    </row>
    <row r="59">
      <c r="B59" s="60" t="inlineStr">
        <is>
          <t>1</t>
        </is>
      </c>
      <c r="C59" s="61" t="inlineStr">
        <is>
          <t>Más de $500 millones</t>
        </is>
      </c>
      <c r="D59" s="62" t="n">
        <v>0.2</v>
      </c>
      <c r="E59" s="62" t="n">
        <v>0.02</v>
      </c>
      <c r="F59" s="62" t="n">
        <v>0.03</v>
      </c>
      <c r="G59" s="62" t="n">
        <v>0.04</v>
      </c>
      <c r="H59" s="62" t="n">
        <v>0.05</v>
      </c>
    </row>
    <row r="60">
      <c r="B60" s="60" t="inlineStr">
        <is>
          <t>2</t>
        </is>
      </c>
      <c r="C60" s="61" t="inlineStr">
        <is>
          <t>$300 a $500 millones</t>
        </is>
      </c>
      <c r="D60" s="62" t="n">
        <v>0.21</v>
      </c>
      <c r="E60" s="62" t="n">
        <v>0.025</v>
      </c>
      <c r="F60" s="62" t="n">
        <v>0.035</v>
      </c>
      <c r="G60" s="62" t="n">
        <v>0.045</v>
      </c>
      <c r="H60" s="62" t="n">
        <v>0.055</v>
      </c>
    </row>
    <row r="61">
      <c r="B61" s="60" t="inlineStr">
        <is>
          <t>3</t>
        </is>
      </c>
      <c r="C61" s="61" t="inlineStr">
        <is>
          <t>$100 a $300 millones</t>
        </is>
      </c>
      <c r="D61" s="62" t="n">
        <v>0.22</v>
      </c>
      <c r="E61" s="62" t="n">
        <v>0.03</v>
      </c>
      <c r="F61" s="62" t="n">
        <v>0.04</v>
      </c>
      <c r="G61" s="62" t="n">
        <v>0.05</v>
      </c>
      <c r="H61" s="62" t="n">
        <v>0.06</v>
      </c>
    </row>
    <row r="62">
      <c r="B62" s="60" t="inlineStr">
        <is>
          <t>4</t>
        </is>
      </c>
      <c r="C62" s="61" t="inlineStr">
        <is>
          <t>$50 a $100 millones</t>
        </is>
      </c>
      <c r="D62" s="62" t="n">
        <v>0.23</v>
      </c>
      <c r="E62" s="62" t="n">
        <v>0.035</v>
      </c>
      <c r="F62" s="62" t="n">
        <v>0.045</v>
      </c>
      <c r="G62" s="62" t="n">
        <v>0.055</v>
      </c>
      <c r="H62" s="62" t="n">
        <v>0.065</v>
      </c>
    </row>
    <row r="63">
      <c r="B63" s="60" t="inlineStr">
        <is>
          <t>5</t>
        </is>
      </c>
      <c r="C63" s="61" t="inlineStr">
        <is>
          <t>Menos de $50 millones</t>
        </is>
      </c>
      <c r="D63" s="62" t="n">
        <v>0.24</v>
      </c>
      <c r="E63" s="62" t="n">
        <v>0.04</v>
      </c>
      <c r="F63" s="62" t="n">
        <v>0.05</v>
      </c>
      <c r="G63" s="62" t="n">
        <v>0.06</v>
      </c>
      <c r="H63" s="62" t="n">
        <v>0.07000000000000001</v>
      </c>
    </row>
    <row r="64">
      <c r="C64" s="57" t="inlineStr">
        <is>
          <t>Residual máximo por plazo</t>
        </is>
      </c>
      <c r="E64" s="62" t="n">
        <v>0.4</v>
      </c>
      <c r="F64" s="62" t="n">
        <v>0.38</v>
      </c>
      <c r="G64" s="62" t="n">
        <v>0.35</v>
      </c>
      <c r="H64" s="62" t="n">
        <v>0.3</v>
      </c>
    </row>
    <row r="65">
      <c r="B65" s="41" t="inlineStr">
        <is>
          <t>¹ Margen de caja mínimo después de la comisión del originador. Valores sugeridos: ajústelos a la política de FASTPLUS.</t>
        </is>
      </c>
    </row>
    <row r="68">
      <c r="B68" s="57" t="inlineStr">
        <is>
          <t>Aprobado por:</t>
        </is>
      </c>
      <c r="C68" s="63" t="n"/>
      <c r="D68" s="63" t="n"/>
      <c r="E68" s="63" t="n"/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 password="D3B7"/>
  <mergeCells count="30">
    <mergeCell ref="G12:H12"/>
    <mergeCell ref="E28:J28"/>
    <mergeCell ref="B8:D8"/>
    <mergeCell ref="G11:H11"/>
    <mergeCell ref="E31:J31"/>
    <mergeCell ref="B57:J57"/>
    <mergeCell ref="E34:J34"/>
    <mergeCell ref="E30:J30"/>
    <mergeCell ref="C35:D35"/>
    <mergeCell ref="B12:C12"/>
    <mergeCell ref="B19:J19"/>
    <mergeCell ref="B11:C11"/>
    <mergeCell ref="G10:H10"/>
    <mergeCell ref="E27:J27"/>
    <mergeCell ref="C6:F6"/>
    <mergeCell ref="B14:C14"/>
    <mergeCell ref="G13:H13"/>
    <mergeCell ref="C5:F5"/>
    <mergeCell ref="B13:C13"/>
    <mergeCell ref="E32:J32"/>
    <mergeCell ref="B38:F38"/>
    <mergeCell ref="C4:F4"/>
    <mergeCell ref="B10:C10"/>
    <mergeCell ref="B26:J26"/>
    <mergeCell ref="B2:H2"/>
    <mergeCell ref="B9:C9"/>
    <mergeCell ref="E33:J33"/>
    <mergeCell ref="G8:I8"/>
    <mergeCell ref="G9:H9"/>
    <mergeCell ref="E29:J29"/>
  </mergeCells>
  <conditionalFormatting sqref="E28:J28">
    <cfRule type="expression" priority="1" dxfId="2">
      <formula>$E28&lt;&gt;""</formula>
    </cfRule>
  </conditionalFormatting>
  <conditionalFormatting sqref="E29:J29">
    <cfRule type="expression" priority="2" dxfId="2">
      <formula>$E29&lt;&gt;""</formula>
    </cfRule>
  </conditionalFormatting>
  <conditionalFormatting sqref="E30:J30">
    <cfRule type="expression" priority="3" dxfId="2">
      <formula>$E30&lt;&gt;""</formula>
    </cfRule>
  </conditionalFormatting>
  <conditionalFormatting sqref="E31:J31">
    <cfRule type="expression" priority="4" dxfId="2">
      <formula>$E31&lt;&gt;""</formula>
    </cfRule>
  </conditionalFormatting>
  <conditionalFormatting sqref="E32:J32">
    <cfRule type="expression" priority="5" dxfId="2">
      <formula>$E32&lt;&gt;""</formula>
    </cfRule>
  </conditionalFormatting>
  <conditionalFormatting sqref="E33:J33">
    <cfRule type="expression" priority="6" dxfId="2">
      <formula>$E33&lt;&gt;""</formula>
    </cfRule>
  </conditionalFormatting>
  <conditionalFormatting sqref="E34:J34">
    <cfRule type="expression" priority="7" dxfId="2">
      <formula>$E34&lt;&gt;""</formula>
    </cfRule>
  </conditionalFormatting>
  <conditionalFormatting sqref="C35">
    <cfRule type="cellIs" priority="8" operator="equal" dxfId="3">
      <formula>"CUMPLE"</formula>
    </cfRule>
    <cfRule type="cellIs" priority="9" operator="notEqual" dxfId="4">
      <formula>"CUMPLE"</formula>
    </cfRule>
  </conditionalFormatting>
  <conditionalFormatting sqref="C50:F50">
    <cfRule type="cellIs" priority="10" operator="equal" dxfId="5">
      <formula>"CUMPLE"</formula>
    </cfRule>
    <cfRule type="cellIs" priority="11" operator="notEqual" dxfId="6">
      <formula>"CUMPLE"</formula>
    </cfRule>
  </conditionalFormatting>
  <dataValidations count="3">
    <dataValidation sqref="J21:J24" showDropDown="0" showInputMessage="0" showErrorMessage="0" allowBlank="1" errorTitle="Valor no válido" error="Seleccione un valor de la lista." type="list">
      <formula1>=lst_SiNo</formula1>
    </dataValidation>
    <dataValidation sqref="B21:B24" showDropDown="0" showInputMessage="0" showErrorMessage="0" allowBlank="1" errorTitle="Valor fuera de rango" error="Capture un valor entre 1 y 84." type="whole" operator="between">
      <formula1>1</formula1>
      <formula2>84</formula2>
    </dataValidation>
    <dataValidation sqref="E21:E24" showDropDown="0" showInputMessage="0" showErrorMessage="0" allowBlank="1" errorTitle="Valor fuera de rango" error="Capture un valor entre 0 y 0.9." type="decimal" operator="between">
      <formula1>0</formula1>
      <formula2>0.9</formula2>
    </dataValidation>
  </dataValidations>
  <pageMargins left="0.75" right="0.75" top="1" bottom="1" header="0.5" footer="0.5"/>
  <pageSetup orientation="portrait" paperSize="1" fitToHeight="1" fitToWidth="1"/>
  <drawing xmlns:r="http://schemas.openxmlformats.org/officeDocument/2006/relationships" r:id="rIdBtnDr"/>
</worksheet>
</file>

<file path=xl/worksheets/sheet3.xml><?xml version="1.0" encoding="utf-8"?>
<worksheet xmlns="http://schemas.openxmlformats.org/spreadsheetml/2006/main">
  <sheetPr codeName="Hoja3">
    <tabColor rgb="0070AD47"/>
    <outlinePr summaryBelow="1" summaryRight="1"/>
    <pageSetUpPr fitToPage="1"/>
  </sheetPr>
  <dimension ref="B1:F52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33" customWidth="1" min="2" max="2"/>
    <col width="16" customWidth="1" min="3" max="3"/>
    <col width="3" customWidth="1" min="4" max="4"/>
    <col width="33" customWidth="1" min="5" max="5"/>
    <col width="18" customWidth="1" min="6" max="6"/>
    <col width="2" customWidth="1" min="7" max="7"/>
  </cols>
  <sheetData>
    <row r="1">
      <c r="B1" s="64" t="str">
        <f>par_Arrendador</f>
        <v>SOFOPLUS, S.A.P.I. DE C.V., E.R.</v>
      </c>
    </row>
    <row r="2">
      <c r="B2" s="64" t="str">
        <f>sel_Dir1</f>
        <v>Paseo de los Tamarindos No. 90 Piso 24 Torre 1</v>
      </c>
    </row>
    <row r="3">
      <c r="B3" s="64" t="str">
        <f>sel_Dir2&amp;" "&amp;sel_Dir3</f>
        <v>Col. Bosques de las Lomas CDMX, C.P. 05120</v>
      </c>
    </row>
    <row r="4">
      <c r="B4" s="64" t="str">
        <f>IF(sel_Tel="","","Teléfono: "&amp;sel_Tel)</f>
        <v/>
      </c>
    </row>
    <row r="5">
      <c r="B5" s="64" t="str">
        <f>sel_PromCorreo</f>
        <v>promotor@empresa.com.mx</v>
      </c>
    </row>
    <row r="6">
      <c r="B6" s="64" t="str">
        <f>IF(par_Contacto="","","Visite "&amp;par_Contacto)</f>
        <v/>
      </c>
    </row>
    <row r="7">
      <c r="B7" s="65" t="str">
        <f>par_Comercial</f>
        <v>FASTPLUS</v>
      </c>
    </row>
    <row r="9">
      <c r="B9" s="66" t="str">
        <f>"Apreciable:   "&amp;IF(inp_Contacto="",inp_Cliente,inp_Contacto)</f>
        <v>Apreciable:   CLIENTE DE EJEMPLO, S.A. DE C.V.</v>
      </c>
      <c r="E9" s="67" t="str">
        <f>DAY(inp_Fecha)&amp;" de "&amp;CHOOSE(MONTH(inp_Fecha),"enero","febrero","marzo","abril","mayo","junio","julio","agosto","septiembre","octubre","noviembre","diciembre")&amp;" de "&amp;YEAR(inp_Fecha)</f>
        <v>6 de octubre de 2026</v>
      </c>
    </row>
    <row r="11">
      <c r="B11" s="66" t="inlineStr">
        <is>
          <t>P r e s e n t e</t>
        </is>
      </c>
      <c r="F11" s="68" t="str">
        <f>"Folio: "&amp;inp_Folio</f>
        <v>Folio: FP-0001</v>
      </c>
    </row>
    <row r="13" ht="30" customHeight="1">
      <c r="B13" s="69" t="str">
        <f>par_Arrendador&amp;", a través de su producto "&amp;par_Comercial&amp;", se complace en poner a su amable consideración la presente propuesta para celebrar una operación de "&amp;LOWER(inp_Tipo)&amp;" sobre el equipo que a continuación se describe:"</f>
        <v>SOFOPLUS, S.A.P.I. DE C.V., E.R., a través de su producto FASTPLUS, se complace en poner a su amable consideración la presente propuesta para celebrar una operación de arrendamiento puro sobre el equipo que a continuación se describe:</v>
      </c>
    </row>
    <row r="15">
      <c r="B15" s="70" t="inlineStr">
        <is>
          <t>Descripción de equipo</t>
        </is>
      </c>
    </row>
    <row r="16">
      <c r="B16" s="71" t="inlineStr">
        <is>
          <t>Tipo de activo</t>
        </is>
      </c>
      <c r="C16" s="71" t="str">
        <f>inp_TipoActivo</f>
        <v>Automóvil eléctrico / híbrido</v>
      </c>
    </row>
    <row r="17">
      <c r="B17" s="71" t="inlineStr">
        <is>
          <t>Descripción de activo</t>
        </is>
      </c>
      <c r="C17" s="71" t="str">
        <f>inp_Equipo</f>
        <v>Auto BYD M9 2026</v>
      </c>
    </row>
    <row r="19">
      <c r="B19" s="70" t="inlineStr">
        <is>
          <t>Valor equipos y conceptos financiados (IVA incluido)</t>
        </is>
      </c>
      <c r="E19" s="72" t="inlineStr">
        <is>
          <t>Plazo del arrendamiento:</t>
        </is>
      </c>
      <c r="F19" s="73" t="str">
        <f>inp_PlazoSol&amp;" meses"</f>
        <v>24 meses</v>
      </c>
    </row>
    <row r="20">
      <c r="B20" s="71" t="inlineStr">
        <is>
          <t>Valor del activo</t>
        </is>
      </c>
      <c r="C20" s="74">
        <f>inp_Precio</f>
        <v>879802</v>
      </c>
      <c r="E20" s="70" t="inlineStr">
        <is>
          <t>Pago inicial</t>
        </is>
      </c>
    </row>
    <row r="21">
      <c r="B21" s="71" t="inlineStr">
        <is>
          <t>Seguro financiado¹</t>
        </is>
      </c>
      <c r="C21" s="74">
        <f>CHOOSE(inp_EscTabla,'Corrida 1'!$C$17,'Corrida 2'!$C$17,'Corrida 3'!$C$17,'Corrida 4'!$C$17)*(1+par_IVA)</f>
        <v>0</v>
      </c>
      <c r="E21" s="71" t="inlineStr">
        <is>
          <t>Depósito en garantía</t>
        </is>
      </c>
      <c r="F21" s="74">
        <f>CHOOSE(inp_EscTabla,'Corrida 1'!$C$30,'Corrida 2'!$C$30,'Corrida 3'!$C$30,'Corrida 4'!$C$30)</f>
        <v>0</v>
      </c>
    </row>
    <row r="22">
      <c r="B22" s="71" t="str">
        <f>"Otros gastos¹"&amp;IF(inp_OtrosDesc="",""," ("&amp;inp_OtrosDesc&amp;")")</f>
        <v>Otros gastos¹</v>
      </c>
      <c r="C22" s="74">
        <f>(CHOOSE(inp_EscTabla,'Corrida 1'!$C$18,'Corrida 2'!$C$18,'Corrida 3'!$C$18,'Corrida 4'!$C$18)+CHOOSE(inp_EscTabla,'Corrida 1'!$C$42,'Corrida 2'!$C$42,'Corrida 3'!$C$42,'Corrida 4'!$C$42))*(1+par_IVA)</f>
        <v>0</v>
      </c>
      <c r="E22" s="71" t="inlineStr">
        <is>
          <t>Renta proporcional</t>
        </is>
      </c>
      <c r="F22" s="74">
        <f>CHOOSE(inp_EscTabla,'Corrida 1'!$C$35,'Corrida 2'!$C$35,'Corrida 3'!$C$35,'Corrida 4'!$C$35)</f>
        <v>0</v>
      </c>
    </row>
    <row r="23">
      <c r="B23" s="71" t="str">
        <f>IF(inp_UsoAnticipo="Como enganche","(-menos) Enganche","(-menos) Renta extraordinaria")</f>
        <v>(-menos) Renta extraordinaria</v>
      </c>
      <c r="C23" s="74">
        <f>-CHOOSE(inp_EscTabla,'Corrida 1'!$C$16,'Corrida 2'!$C$16,'Corrida 3'!$C$16,'Corrida 4'!$C$16)*(1+par_IVA)</f>
        <v>-87980.2</v>
      </c>
      <c r="E23" s="71" t="str">
        <f>IF(inp_SeguroFin="Financiado","Seguro primer año (financiado)","Seguro primer año")</f>
        <v>Seguro primer año</v>
      </c>
      <c r="F23" s="74">
        <f>CHOOSE(inp_EscTabla,'Corrida 1'!$I$29,'Corrida 2'!$I$29,'Corrida 3'!$I$29,'Corrida 4'!$I$29)</f>
        <v>0</v>
      </c>
    </row>
    <row r="24">
      <c r="B24" s="72" t="inlineStr">
        <is>
          <t>Monto Total Financiado</t>
        </is>
      </c>
      <c r="C24" s="75">
        <f>SUM(C20:C23)</f>
        <v>791821.8</v>
      </c>
      <c r="E24" s="71" t="str">
        <f>IF(inp_UsoAnticipo="Como enganche","Enganche","Renta extraordinaria")</f>
        <v>Renta extraordinaria</v>
      </c>
      <c r="F24" s="74">
        <f>CHOOSE(inp_EscTabla,'Corrida 1'!$C$16,'Corrida 2'!$C$16,'Corrida 3'!$C$16,'Corrida 4'!$C$16)</f>
        <v>75845</v>
      </c>
    </row>
    <row r="25">
      <c r="E25" s="71" t="inlineStr">
        <is>
          <t>Comisión por apertura</t>
        </is>
      </c>
      <c r="F25" s="74">
        <f>CHOOSE(inp_EscTabla,'Corrida 1'!$C$28,'Corrida 2'!$C$28,'Corrida 3'!$C$28,'Corrida 4'!$C$28)</f>
        <v>13652.1</v>
      </c>
    </row>
    <row r="26">
      <c r="E26" s="71" t="inlineStr">
        <is>
          <t>Validación de cuenta²</t>
        </is>
      </c>
      <c r="F26" s="74">
        <f>CHOOSE(inp_EscTabla,'Corrida 1'!$C$43,'Corrida 2'!$C$43,'Corrida 3'!$C$43,'Corrida 4'!$C$43)</f>
        <v>0</v>
      </c>
    </row>
    <row r="27">
      <c r="E27" s="66" t="inlineStr">
        <is>
          <t>Sub-total pago inicial</t>
        </is>
      </c>
      <c r="F27" s="76">
        <f>SUM(F21:F26)</f>
        <v>89497.1</v>
      </c>
    </row>
    <row r="28">
      <c r="E28" s="71" t="inlineStr">
        <is>
          <t>Impuesto al Valor Agregado</t>
        </is>
      </c>
      <c r="F28" s="74">
        <f>SUM(F22:F26)*par_IVA</f>
        <v>14319.536</v>
      </c>
    </row>
    <row r="29">
      <c r="E29" s="72" t="inlineStr">
        <is>
          <t>Total Pago Inicial</t>
        </is>
      </c>
      <c r="F29" s="75">
        <f>F27+F28</f>
        <v>103816.636</v>
      </c>
    </row>
    <row r="31">
      <c r="B31" s="70" t="inlineStr">
        <is>
          <t>Pagos mensuales (no incluyen IVA)</t>
        </is>
      </c>
    </row>
    <row r="32">
      <c r="B32" s="71" t="inlineStr">
        <is>
          <t>Renta básica</t>
        </is>
      </c>
      <c r="C32" s="74">
        <f>CHOOSE(inp_EscTabla,'Corrida 1'!$C$48,'Corrida 2'!$C$48,'Corrida 3'!$C$48,'Corrida 4'!$C$48)+CHOOSE(inp_EscTabla,'Corrida 1'!$C$53,'Corrida 2'!$C$53,'Corrida 3'!$C$53,'Corrida 4'!$C$53)</f>
        <v>31143.0048352941</v>
      </c>
    </row>
    <row r="33">
      <c r="B33" s="71" t="inlineStr">
        <is>
          <t>Pago por seguro</t>
        </is>
      </c>
      <c r="C33" s="74">
        <f>CHOOSE(inp_EscTabla,'Corrida 1'!$C$49,'Corrida 2'!$C$49,'Corrida 3'!$C$49,'Corrida 4'!$C$49)</f>
        <v>0</v>
      </c>
      <c r="E33" s="70" t="inlineStr">
        <is>
          <t>Valor residual (no incluye IVA)</t>
        </is>
      </c>
    </row>
    <row r="34">
      <c r="B34" s="71" t="inlineStr">
        <is>
          <t>Otros gastos</t>
        </is>
      </c>
      <c r="C34" s="74">
        <f>CHOOSE(inp_EscTabla,'Corrida 1'!$C$50,'Corrida 2'!$C$50,'Corrida 3'!$C$50,'Corrida 4'!$C$50)</f>
        <v>0</v>
      </c>
      <c r="E34" s="71" t="inlineStr">
        <is>
          <t>Valor residual</t>
        </is>
      </c>
      <c r="F34" s="74">
        <f>CHOOSE(inp_EscTabla,'Corrida 1'!$C$21,'Corrida 2'!$C$21,'Corrida 3'!$C$21,'Corrida 4'!$C$21)</f>
        <v>151690</v>
      </c>
    </row>
    <row r="35">
      <c r="B35" s="72" t="inlineStr">
        <is>
          <t>Total Pago Mensual</t>
        </is>
      </c>
      <c r="C35" s="75">
        <f>SUM(C32:C34)</f>
        <v>31143.0048352941</v>
      </c>
      <c r="E35" s="71" t="inlineStr">
        <is>
          <t>Vigencia propuesta</t>
        </is>
      </c>
      <c r="F35" s="77">
        <f>inp_Fecha+par_Vigencia</f>
        <v>46316.0</v>
      </c>
    </row>
    <row r="38" ht="14" customHeight="1">
      <c r="B38" s="78" t="str">
        <f>"¹/  Montos financiados por el plazo total del arrendamiento."</f>
        <v>¹/  Montos financiados por el plazo total del arrendamiento.</v>
      </c>
    </row>
    <row r="39" ht="14" customHeight="1">
      <c r="B39" s="78" t="str">
        <f>"²/  La validación de la cuenta se cobra por separado, a través de la cuenta domiciliada para el cobro de las rentas."</f>
        <v>²/  La validación de la cuenta se cobra por separado, a través de la cuenta domiciliada para el cobro de las rentas.</v>
      </c>
    </row>
    <row r="41" ht="26" customHeight="1">
      <c r="B41" s="69" t="inlineStr">
        <is>
          <t>Cualquier cambio respecto a las condiciones establecidas dentro de la aprobación de crédito correspondiente invalida la presente propuesta, misma que únicamente será posible ejercer durante su vigencia.</t>
        </is>
      </c>
    </row>
    <row r="42" ht="26" customHeight="1">
      <c r="B42" s="69" t="str">
        <f>"Para formalizar la presente operación será necesario: 1) Realizar el pago inicial por la cantidad de "&amp;TEXT(F29,"$#,##0.00")&amp;" y 2) Firmar el contrato de arrendamiento correspondiente."</f>
        <v>Para formalizar la presente operación será necesario: 1) Realizar el pago inicial por la cantidad de $103,816.64 y 2) Firmar el contrato de arrendamiento correspondiente.</v>
      </c>
    </row>
    <row r="43" ht="26" customHeight="1">
      <c r="B43" s="69" t="str">
        <f>"En "&amp;par_Comercial&amp;" nos esforzamos por otorgarle un buen servicio; si tiene cualquier duda o comentario respecto a la presente propuesta, no dude en contactar a su ejecutivo "&amp;sel_PromNombre&amp;IF(sel_PromCorreo="",""," ("&amp;sel_PromCorreo&amp;")")&amp;"."</f>
        <v>En FASTPLUS nos esforzamos por otorgarle un buen servicio; si tiene cualquier duda o comentario respecto a la presente propuesta, no dude en contactar a su ejecutivo Nombre Del Promotor (promotor@empresa.com.mx).</v>
      </c>
    </row>
    <row r="46">
      <c r="B46" s="66" t="inlineStr">
        <is>
          <t>Cordialmente</t>
        </is>
      </c>
      <c r="E46" s="66" t="inlineStr">
        <is>
          <t>Propuesta aceptada por:</t>
        </is>
      </c>
    </row>
    <row r="49">
      <c r="B49" s="79" t="str">
        <f>sel_PromNombre</f>
        <v>Nombre Del Promotor</v>
      </c>
      <c r="E49" s="79" t="str">
        <f>IF(inp_Contacto="","Representante legal",inp_Contacto)</f>
        <v>Representante legal</v>
      </c>
    </row>
    <row r="50">
      <c r="B50" s="79" t="str">
        <f>par_Arrendador</f>
        <v>SOFOPLUS, S.A.P.I. DE C.V., E.R.</v>
      </c>
      <c r="E50" s="79" t="str">
        <f>inp_Cliente</f>
        <v>CLIENTE DE EJEMPLO, S.A. DE C.V.</v>
      </c>
    </row>
    <row r="52" ht="40" customHeight="1">
      <c r="B52" s="80" t="str">
        <f>IF(inp_SeguroFin="No financiado","Nota importante: bajo la opción de pago de la prima de seguro anual de contado, es posible que las anualidades siguientes sufran incrementos, dependiendo de la siniestralidad del bien o de las políticas de la aseguradora; bajo esta modalidad se acepta que dicha prima pudiera incrementarse en las anualidades subsecuentes.","")</f>
        <v>Nota importante: bajo la opción de pago de la prima de seguro anual de contado, es posible que las anualidades siguientes sufran incrementos, dependiendo de la siniestralidad del bien o de las políticas de la aseguradora; bajo esta modalidad se acepta que dicha prima pudiera incrementarse en las anualidades subsecuentes.</v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 password="D3B7"/>
  <mergeCells count="19">
    <mergeCell ref="E50:F50"/>
    <mergeCell ref="C17:F17"/>
    <mergeCell ref="E33:F33"/>
    <mergeCell ref="B31:C31"/>
    <mergeCell ref="B52:F52"/>
    <mergeCell ref="B43:F43"/>
    <mergeCell ref="E20:F20"/>
    <mergeCell ref="B39:F39"/>
    <mergeCell ref="B42:F42"/>
    <mergeCell ref="E9:F9"/>
    <mergeCell ref="B13:F13"/>
    <mergeCell ref="B38:F38"/>
    <mergeCell ref="B19:C19"/>
    <mergeCell ref="E49:F49"/>
    <mergeCell ref="C16:F16"/>
    <mergeCell ref="B49:C49"/>
    <mergeCell ref="B15:F15"/>
    <mergeCell ref="B50:C50"/>
    <mergeCell ref="B41:F41"/>
  </mergeCells>
  <pageMargins left="0.45" right="0.45" top="0.45" bottom="0.5" header="0.5" footer="0.5"/>
  <pageSetup orientation="portrait" paperSize="1" fitToHeight="1" fitToWidth="1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Hoja4">
    <tabColor rgb="0070AD47"/>
    <outlinePr summaryBelow="1" summaryRight="1"/>
    <pageSetUpPr fitToPage="1"/>
  </sheetPr>
  <dimension ref="B2:G32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28" customWidth="1" min="2" max="2"/>
    <col width="16" customWidth="1" min="3" max="3"/>
    <col width="22" customWidth="1" min="4" max="4"/>
    <col width="16" customWidth="1" min="5" max="5"/>
    <col width="22" customWidth="1" min="6" max="6"/>
    <col width="16" customWidth="1" min="7" max="7"/>
    <col width="2" customWidth="1" min="8" max="8"/>
  </cols>
  <sheetData>
    <row r="2">
      <c r="D2" s="81" t="inlineStr">
        <is>
          <t>Nombre del cliente</t>
        </is>
      </c>
      <c r="E2" s="30" t="str">
        <f>inp_Cliente</f>
        <v>CLIENTE DE EJEMPLO, S.A. DE C.V.</v>
      </c>
      <c r="F2" s="31" t="n"/>
      <c r="G2" s="31" t="n"/>
    </row>
    <row r="3">
      <c r="D3" s="81" t="inlineStr">
        <is>
          <t>Representante</t>
        </is>
      </c>
      <c r="E3" s="30" t="str">
        <f>inp_Contacto&amp;""</f>
        <v/>
      </c>
      <c r="F3" s="31" t="n"/>
      <c r="G3" s="31" t="n"/>
    </row>
    <row r="4">
      <c r="D4" s="81" t="inlineStr">
        <is>
          <t>Bien arrendado</t>
        </is>
      </c>
      <c r="E4" s="30" t="str">
        <f>inp_TipoActivo&amp;" "&amp;inp_Equipo</f>
        <v>Automóvil eléctrico / híbrido Auto BYD M9 2026</v>
      </c>
      <c r="F4" s="31" t="n"/>
      <c r="G4" s="31" t="n"/>
    </row>
    <row r="5">
      <c r="D5" s="81" t="inlineStr">
        <is>
          <t>Opción tomada para el anticipo</t>
        </is>
      </c>
      <c r="E5" s="30" t="str">
        <f>inp_UsoAnticipo</f>
        <v>Como renta extraordinaria</v>
      </c>
      <c r="F5" s="31" t="n"/>
      <c r="G5" s="31" t="n"/>
    </row>
    <row r="8">
      <c r="B8" s="70" t="inlineStr">
        <is>
          <t>Conceptos de Pago Inicial</t>
        </is>
      </c>
      <c r="E8" s="70" t="inlineStr">
        <is>
          <t>Datos para Depósito Pago Inicial</t>
        </is>
      </c>
    </row>
    <row r="9">
      <c r="B9" s="33" t="inlineStr">
        <is>
          <t>Depósito en garantía</t>
        </is>
      </c>
      <c r="C9" s="82">
        <f>Propuesta!F21</f>
        <v>0</v>
      </c>
      <c r="E9" s="40" t="inlineStr">
        <is>
          <t>Transferencia electrónica:</t>
        </is>
      </c>
      <c r="F9" s="37" t="n"/>
      <c r="G9" s="37" t="n"/>
    </row>
    <row r="10">
      <c r="B10" s="33" t="inlineStr">
        <is>
          <t>Renta proporcional</t>
        </is>
      </c>
      <c r="C10" s="82">
        <f>Propuesta!F22</f>
        <v>0</v>
      </c>
      <c r="E10" s="30" t="inlineStr">
        <is>
          <t>Banco</t>
        </is>
      </c>
      <c r="F10" s="83" t="str">
        <f>IF(par_Banco="","(por definir)",par_Banco)</f>
        <v>(por definir)</v>
      </c>
      <c r="G10" s="31" t="n"/>
    </row>
    <row r="11">
      <c r="B11" s="33" t="str">
        <f>Propuesta!E23</f>
        <v>Seguro primer año</v>
      </c>
      <c r="C11" s="82">
        <f>Propuesta!F23</f>
        <v>0</v>
      </c>
      <c r="E11" s="30" t="inlineStr">
        <is>
          <t>CLABE</t>
        </is>
      </c>
      <c r="F11" s="83" t="str">
        <f>IF(par_CLABE="","(por definir)",par_CLABE)</f>
        <v>(por definir)</v>
      </c>
      <c r="G11" s="31" t="n"/>
    </row>
    <row r="12">
      <c r="B12" s="33" t="inlineStr">
        <is>
          <t>Comisión por apertura</t>
        </is>
      </c>
      <c r="C12" s="82">
        <f>Propuesta!F25</f>
        <v>13652.1</v>
      </c>
      <c r="E12" s="40" t="inlineStr">
        <is>
          <t>Depósito en sucursal bancaria:</t>
        </is>
      </c>
      <c r="F12" s="37" t="n"/>
      <c r="G12" s="37" t="n"/>
    </row>
    <row r="13">
      <c r="B13" s="33" t="inlineStr">
        <is>
          <t>Validación de cuenta</t>
        </is>
      </c>
      <c r="C13" s="82">
        <f>Propuesta!F26</f>
        <v>0</v>
      </c>
      <c r="E13" s="30" t="inlineStr">
        <is>
          <t>Banco</t>
        </is>
      </c>
      <c r="F13" s="83" t="str">
        <f>IF(par_BancoSuc="","(por definir)",par_BancoSuc)</f>
        <v>(por definir)</v>
      </c>
      <c r="G13" s="31" t="n"/>
    </row>
    <row r="14">
      <c r="B14" s="33" t="str">
        <f>Propuesta!E24</f>
        <v>Renta extraordinaria</v>
      </c>
      <c r="C14" s="82">
        <f>Propuesta!F24</f>
        <v>75845</v>
      </c>
      <c r="E14" s="30" t="inlineStr">
        <is>
          <t>Cuenta</t>
        </is>
      </c>
      <c r="F14" s="83" t="str">
        <f>IF(par_Cuenta="","(por definir)",par_Cuenta)</f>
        <v>(por definir)</v>
      </c>
      <c r="G14" s="31" t="n"/>
    </row>
    <row r="15">
      <c r="B15" s="33" t="inlineStr">
        <is>
          <t>Subtotal antes de IVA</t>
        </is>
      </c>
      <c r="C15" s="82">
        <f>Propuesta!F27</f>
        <v>89497.1</v>
      </c>
      <c r="E15" s="30" t="inlineStr">
        <is>
          <t>Convenio</t>
        </is>
      </c>
      <c r="F15" s="83" t="str">
        <f>IF(par_Convenio="","N/A",par_Convenio)</f>
        <v>N/A</v>
      </c>
      <c r="G15" s="31" t="n"/>
    </row>
    <row r="16">
      <c r="B16" s="33" t="inlineStr">
        <is>
          <t>IVA conceptos anteriores</t>
        </is>
      </c>
      <c r="C16" s="82">
        <f>Propuesta!F28</f>
        <v>14319.536</v>
      </c>
      <c r="E16" s="30" t="inlineStr">
        <is>
          <t>Referencia</t>
        </is>
      </c>
      <c r="F16" s="83" t="str">
        <f>inp_Folio</f>
        <v>FP-0001</v>
      </c>
      <c r="G16" s="31" t="n"/>
    </row>
    <row r="17">
      <c r="B17" s="84" t="inlineStr">
        <is>
          <t>Total Pago Inicial</t>
        </is>
      </c>
      <c r="C17" s="85">
        <f>Propuesta!F29</f>
        <v>103816.636</v>
      </c>
      <c r="E17" s="40" t="inlineStr">
        <is>
          <t>En ambos casos:</t>
        </is>
      </c>
      <c r="F17" s="37" t="n"/>
      <c r="G17" s="37" t="n"/>
    </row>
    <row r="18">
      <c r="E18" s="30" t="inlineStr">
        <is>
          <t>Beneficiario</t>
        </is>
      </c>
      <c r="F18" s="83" t="str">
        <f>par_Beneficiario</f>
        <v>SOFOPLUS, S.A.P.I. DE C.V., E.R.</v>
      </c>
      <c r="G18" s="31" t="n"/>
    </row>
    <row r="19">
      <c r="E19" s="30" t="inlineStr">
        <is>
          <t>Moneda</t>
        </is>
      </c>
      <c r="F19" s="83" t="str">
        <f>inp_Moneda</f>
        <v>Moneda Nacional</v>
      </c>
      <c r="G19" s="31" t="n"/>
    </row>
    <row r="20" ht="40" customHeight="1">
      <c r="E20" s="30" t="inlineStr">
        <is>
          <t>Pago seguro</t>
        </is>
      </c>
      <c r="F20" s="83" t="str">
        <f>IF(inp_SeguroFin="Financiado","Seguro financiado en la renta mensual.","Seguro no financiado: primer pago anual incluido en el pago inicial; anualidades siguientes pendientes de pago.")</f>
        <v>Seguro no financiado: primer pago anual incluido en el pago inicial; anualidades siguientes pendientes de pago.</v>
      </c>
      <c r="G20" s="31" t="n"/>
    </row>
    <row r="23" ht="44" customHeight="1">
      <c r="B23" s="86" t="inlineStr">
        <is>
          <t>Bajo la opción de pago de la prima de seguro anual de contado, las anualidades subsecuentes pueden sufrir incrementos, dependiendo de la siniestralidad del bien o de cambios en las políticas de la aseguradora; bajo esta modalidad se acepta que dicha prima pudiera incrementarse en las anualidades subsecuentes.</t>
        </is>
      </c>
    </row>
    <row r="25" ht="44" customHeight="1">
      <c r="B25" s="86" t="inlineStr">
        <is>
          <t>El pago inicial no incluye los gastos generados por concepto de placas, tenencia (en su caso) y gestoría. Estos conceptos, una vez determinados conforme a la reglamentación vigente en cada localidad, serán cargados a la cuenta a domiciliar.</t>
        </is>
      </c>
    </row>
    <row r="28">
      <c r="B28" s="66" t="inlineStr">
        <is>
          <t>Cordialmente</t>
        </is>
      </c>
      <c r="E28" s="66" t="inlineStr">
        <is>
          <t>Propuesta aceptada por</t>
        </is>
      </c>
    </row>
    <row r="31">
      <c r="B31" s="79" t="str">
        <f>sel_PromNombre</f>
        <v>Nombre Del Promotor</v>
      </c>
      <c r="E31" s="79" t="str">
        <f>IF(inp_Contacto="","Representante legal",inp_Contacto)</f>
        <v>Representante legal</v>
      </c>
    </row>
    <row r="32">
      <c r="B32" s="79" t="str">
        <f>par_Arrendador</f>
        <v>SOFOPLUS, S.A.P.I. DE C.V., E.R.</v>
      </c>
      <c r="E32" s="79" t="str">
        <f>inp_Cliente</f>
        <v>CLIENTE DE EJEMPLO, S.A. DE C.V.</v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 password="D3B7"/>
  <mergeCells count="24">
    <mergeCell ref="F11:G11"/>
    <mergeCell ref="F10:G10"/>
    <mergeCell ref="F16:G16"/>
    <mergeCell ref="F19:G19"/>
    <mergeCell ref="B23:G23"/>
    <mergeCell ref="E9:G9"/>
    <mergeCell ref="B31:C31"/>
    <mergeCell ref="E2:G2"/>
    <mergeCell ref="F15:G15"/>
    <mergeCell ref="F20:G20"/>
    <mergeCell ref="F18:G18"/>
    <mergeCell ref="B8:C8"/>
    <mergeCell ref="E31:F31"/>
    <mergeCell ref="E12:G12"/>
    <mergeCell ref="E3:G3"/>
    <mergeCell ref="F13:G13"/>
    <mergeCell ref="B25:G25"/>
    <mergeCell ref="E32:F32"/>
    <mergeCell ref="E5:G5"/>
    <mergeCell ref="E8:G8"/>
    <mergeCell ref="E17:G17"/>
    <mergeCell ref="E4:G4"/>
    <mergeCell ref="F14:G14"/>
    <mergeCell ref="B32:C32"/>
  </mergeCells>
  <pageMargins left="0.45" right="0.45" top="0.45" bottom="0.5" header="0.5" footer="0.5"/>
  <pageSetup orientation="portrait" paperSize="1" fitToHeight="1" fitToWidth="1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Hoja5">
    <tabColor rgb="0070AD47"/>
    <outlinePr summaryBelow="1" summaryRight="1"/>
    <pageSetUpPr fitToPage="1"/>
  </sheetPr>
  <dimension ref="B1:F35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33" customWidth="1" min="2" max="2"/>
    <col width="16" customWidth="1" min="3" max="3"/>
    <col width="3" customWidth="1" min="4" max="4"/>
    <col width="33" customWidth="1" min="5" max="5"/>
    <col width="18" customWidth="1" min="6" max="6"/>
    <col width="2" customWidth="1" min="7" max="7"/>
  </cols>
  <sheetData>
    <row r="1">
      <c r="B1" s="64" t="str">
        <f>par_Arrendador</f>
        <v>SOFOPLUS, S.A.P.I. DE C.V., E.R.</v>
      </c>
    </row>
    <row r="2">
      <c r="B2" s="64" t="str">
        <f>sel_Dir1</f>
        <v>Paseo de los Tamarindos No. 90 Piso 24 Torre 1</v>
      </c>
    </row>
    <row r="3">
      <c r="B3" s="64" t="str">
        <f>sel_Dir2&amp;" "&amp;sel_Dir3</f>
        <v>Col. Bosques de las Lomas CDMX, C.P. 05120</v>
      </c>
    </row>
    <row r="4">
      <c r="B4" s="64" t="str">
        <f>IF(sel_Tel="","","Teléfono: "&amp;sel_Tel)</f>
        <v/>
      </c>
    </row>
    <row r="5">
      <c r="B5" s="64" t="str">
        <f>sel_PromCorreo</f>
        <v>promotor@empresa.com.mx</v>
      </c>
    </row>
    <row r="6">
      <c r="B6" s="64" t="str">
        <f>IF(par_Contacto="","","Visite "&amp;par_Contacto)</f>
        <v/>
      </c>
    </row>
    <row r="7">
      <c r="B7" s="65" t="str">
        <f>par_Comercial</f>
        <v>FASTPLUS</v>
      </c>
    </row>
    <row r="9">
      <c r="B9" s="66" t="str">
        <f>"Apreciable:   "&amp;IF(inp_Contacto="",inp_Cliente,inp_Contacto)</f>
        <v>Apreciable:   CLIENTE DE EJEMPLO, S.A. DE C.V.</v>
      </c>
      <c r="E9" s="67" t="str">
        <f>DAY(inp_Fecha)&amp;" de "&amp;CHOOSE(MONTH(inp_Fecha),"enero","febrero","marzo","abril","mayo","junio","julio","agosto","septiembre","octubre","noviembre","diciembre")&amp;" de "&amp;YEAR(inp_Fecha)</f>
        <v>6 de octubre de 2026</v>
      </c>
    </row>
    <row r="11">
      <c r="B11" s="66" t="inlineStr">
        <is>
          <t>P r e s e n t e .</t>
        </is>
      </c>
    </row>
    <row r="13" ht="44" customHeight="1">
      <c r="B13" s="69" t="str">
        <f>par_Arrendador&amp;", (el promitente vendedor) venderá al término del contrato de arrendamiento celebrado con "&amp;inp_Cliente&amp;" a la persona que éste designe y que se conocerá como (el promitente comprador), el bien usado que a continuación se describe."</f>
        <v>SOFOPLUS, S.A.P.I. DE C.V., E.R., (el promitente vendedor) venderá al término del contrato de arrendamiento celebrado con CLIENTE DE EJEMPLO, S.A. DE C.V. a la persona que éste designe y que se conocerá como (el promitente comprador), el bien usado que a continuación se describe.</v>
      </c>
    </row>
    <row r="15">
      <c r="B15" s="87" t="inlineStr">
        <is>
          <t>Tipo de bien:</t>
        </is>
      </c>
      <c r="E15" s="67" t="str">
        <f>inp_TipoActivo&amp;" "&amp;inp_Equipo</f>
        <v>Automóvil eléctrico / híbrido Auto BYD M9 2026</v>
      </c>
    </row>
    <row r="17">
      <c r="B17" s="87" t="inlineStr">
        <is>
          <t>Valor para venta de la unidad IVA incluido:</t>
        </is>
      </c>
      <c r="E17" s="76">
        <f>CHOOSE(inp_EscTabla,'Corrida 1'!$C$23,'Corrida 2'!$C$23,'Corrida 3'!$C$23,'Corrida 4'!$C$23)*(1+par_IVA)</f>
        <v>175960.4</v>
      </c>
    </row>
    <row r="19">
      <c r="B19" s="87" t="inlineStr">
        <is>
          <t>Plazo para la venta después de:</t>
        </is>
      </c>
      <c r="E19" s="67" t="str">
        <f>inp_PlazoSol&amp;" meses"</f>
        <v>24 meses</v>
      </c>
    </row>
    <row r="21">
      <c r="B21" s="87" t="inlineStr">
        <is>
          <t>Fecha de pago de esta propuesta:</t>
        </is>
      </c>
      <c r="E21" s="88">
        <f>CHOOSE(inp_EscTabla,'Corrida 1'!$C$52,'Corrida 2'!$C$52,'Corrida 3'!$C$52,'Corrida 4'!$C$52)</f>
        <v>47032.0</v>
      </c>
    </row>
    <row r="24">
      <c r="B24" s="70" t="inlineStr">
        <is>
          <t>Términos y condiciones</t>
        </is>
      </c>
    </row>
    <row r="26" ht="44" customHeight="1">
      <c r="B26" s="69" t="inlineStr">
        <is>
          <t>El bien será entregado por "el promitente vendedor" en el estado en que lo reciba del arrendatario al término del contrato. El cambio de propietario, así como todos los derechos e impuestos que cause la compraventa, serán a cargo de "el promitente comprador", quien deberá estar al corriente en todos los pagos del contrato de arrendamiento.</t>
        </is>
      </c>
    </row>
    <row r="27" ht="30" customHeight="1">
      <c r="B27" s="69" t="inlineStr">
        <is>
          <t>Las partes celebrarán un contrato de promesa de compraventa bajo los términos anteriores. El precio podrá ajustarse si existen rentas u otros adeudos pendientes a la fecha de la venta.</t>
        </is>
      </c>
    </row>
    <row r="28" ht="30" customHeight="1">
      <c r="B28" s="69" t="inlineStr">
        <is>
          <t>Esperamos que la presente propuesta cubra sus expectativas y podamos contar con una respuesta afirmativa. Si tiene cualquier pregunta o aclaración, no dude en comunicarse con nosotros.</t>
        </is>
      </c>
    </row>
    <row r="30">
      <c r="B30" s="66" t="inlineStr">
        <is>
          <t>Cordialmente:</t>
        </is>
      </c>
      <c r="E30" s="66" t="inlineStr">
        <is>
          <t>Acepto:</t>
        </is>
      </c>
    </row>
    <row r="33">
      <c r="B33" s="79" t="str">
        <f>sel_PromNombre</f>
        <v>Nombre Del Promotor</v>
      </c>
      <c r="E33" s="79" t="str">
        <f>IF(inp_Contacto="","Representante legal",inp_Contacto)</f>
        <v>Representante legal</v>
      </c>
    </row>
    <row r="34">
      <c r="B34" s="79" t="str">
        <f>par_Arrendador</f>
        <v>SOFOPLUS, S.A.P.I. DE C.V., E.R.</v>
      </c>
      <c r="E34" s="79" t="str">
        <f>inp_Cliente</f>
        <v>CLIENTE DE EJEMPLO, S.A. DE C.V.</v>
      </c>
    </row>
    <row r="35">
      <c r="B35" s="79" t="inlineStr">
        <is>
          <t>Promitente Vendedor</t>
        </is>
      </c>
      <c r="E35" s="79" t="inlineStr">
        <is>
          <t>Promitente Comprador</t>
        </is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 password="D3B7"/>
  <mergeCells count="16">
    <mergeCell ref="E34:F34"/>
    <mergeCell ref="E35:F35"/>
    <mergeCell ref="B24:F24"/>
    <mergeCell ref="E15:F15"/>
    <mergeCell ref="B33:C33"/>
    <mergeCell ref="B28:F28"/>
    <mergeCell ref="E19:F19"/>
    <mergeCell ref="E33:F33"/>
    <mergeCell ref="B34:C34"/>
    <mergeCell ref="B35:C35"/>
    <mergeCell ref="E17:F17"/>
    <mergeCell ref="E9:F9"/>
    <mergeCell ref="B26:F26"/>
    <mergeCell ref="B27:F27"/>
    <mergeCell ref="B13:F13"/>
    <mergeCell ref="E21:F21"/>
  </mergeCells>
  <pageMargins left="0.45" right="0.45" top="0.45" bottom="0.5" header="0.5" footer="0.5"/>
  <pageSetup orientation="portrait" paperSize="1" fitToHeight="1" fitToWidth="1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Hoja6">
    <tabColor rgb="005B9BD5"/>
    <outlinePr summaryBelow="1" summaryRight="1"/>
    <pageSetUpPr fitToPage="1"/>
  </sheetPr>
  <dimension ref="B2:E27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32" customWidth="1" min="2" max="2"/>
    <col width="32" customWidth="1" min="3" max="3"/>
    <col width="18" customWidth="1" min="4" max="4"/>
    <col width="14" customWidth="1" min="5" max="5"/>
    <col width="2" customWidth="1" min="6" max="6"/>
  </cols>
  <sheetData>
    <row r="2">
      <c r="B2" s="89" t="inlineStr">
        <is>
          <t>Cliente</t>
        </is>
      </c>
      <c r="C2" s="30" t="str">
        <f>inp_Cliente</f>
        <v>CLIENTE DE EJEMPLO, S.A. DE C.V.</v>
      </c>
      <c r="D2" s="31" t="n"/>
    </row>
    <row r="3">
      <c r="B3" s="89" t="inlineStr">
        <is>
          <t>Promotor</t>
        </is>
      </c>
      <c r="C3" s="30" t="str">
        <f>sel_PromNombre</f>
        <v>Nombre Del Promotor</v>
      </c>
      <c r="D3" s="31" t="n"/>
    </row>
    <row r="4">
      <c r="B4" s="89" t="inlineStr">
        <is>
          <t>Puesto / oficina</t>
        </is>
      </c>
      <c r="C4" s="30" t="str">
        <f>sel_PromPuesto&amp;" · "&amp;sel_PromRegion</f>
        <v>Promotor Fastplus · CDMX</v>
      </c>
      <c r="D4" s="31" t="n"/>
    </row>
    <row r="5">
      <c r="B5" s="89" t="inlineStr">
        <is>
          <t>Originador</t>
        </is>
      </c>
      <c r="C5" s="30" t="str">
        <f>inp_Originador</f>
        <v>Promotor FASTPLUS</v>
      </c>
      <c r="D5" s="31" t="n"/>
    </row>
    <row r="6">
      <c r="B6" s="89" t="inlineStr">
        <is>
          <t>Fecha</t>
        </is>
      </c>
      <c r="C6" s="90">
        <f>inp_Fecha</f>
        <v>46301.0</v>
      </c>
      <c r="D6" s="31" t="n"/>
    </row>
    <row r="8" ht="17" customHeight="1">
      <c r="B8" s="8" t="inlineStr">
        <is>
          <t>Margen generado por la operación</t>
        </is>
      </c>
    </row>
    <row r="9">
      <c r="B9" s="29" t="inlineStr">
        <is>
          <t>Valor de la inversión (monto financiado)</t>
        </is>
      </c>
      <c r="C9" s="31" t="n"/>
      <c r="D9" s="91">
        <f>CHOOSE(inp_EscTabla,'Corrida 1'!$C$19,'Corrida 2'!$C$19,'Corrida 3'!$C$19,'Corrida 4'!$C$19)</f>
        <v>682605</v>
      </c>
    </row>
    <row r="10">
      <c r="B10" s="29" t="inlineStr">
        <is>
          <t>Margen de caja antes de comisiones ($)</t>
        </is>
      </c>
      <c r="C10" s="31" t="n"/>
      <c r="D10" s="91">
        <f>CHOOSE(inp_EscTabla,'Corrida 1'!$I$4,'Corrida 2'!$I$4,'Corrida 3'!$I$4,'Corrida 4'!$I$4)</f>
        <v>41036.1575916269</v>
      </c>
    </row>
    <row r="11">
      <c r="B11" s="29" t="inlineStr">
        <is>
          <t>Margen de caja antes de comisiones (%)</t>
        </is>
      </c>
      <c r="C11" s="31" t="n"/>
      <c r="D11" s="92">
        <f>CHOOSE(inp_EscTabla,'Corrida 1'!$I$5,'Corrida 2'!$I$5,'Corrida 3'!$I$5,'Corrida 4'!$I$5)</f>
        <v>0.0601169894618804</v>
      </c>
    </row>
    <row r="12">
      <c r="B12" s="29" t="inlineStr">
        <is>
          <t>Comisión para originador</t>
        </is>
      </c>
      <c r="C12" s="31" t="n"/>
      <c r="D12" s="91">
        <f>CHOOSE(inp_EscTabla,'Corrida 1'!$C$44,'Corrida 2'!$C$44,'Corrida 3'!$C$44,'Corrida 4'!$C$44)</f>
        <v>0</v>
      </c>
    </row>
    <row r="13">
      <c r="B13" s="29" t="inlineStr">
        <is>
          <t>Margen de caja neto ($)</t>
        </is>
      </c>
      <c r="C13" s="31" t="n"/>
      <c r="D13" s="91">
        <f>CHOOSE(inp_EscTabla,'Corrida 1'!$I$25,'Corrida 2'!$I$25,'Corrida 3'!$I$25,'Corrida 4'!$I$25)</f>
        <v>41036.1575916269</v>
      </c>
    </row>
    <row r="15" ht="17" customHeight="1">
      <c r="B15" s="8" t="inlineStr">
        <is>
          <t>Distribución del margen de caja neto</t>
        </is>
      </c>
    </row>
    <row r="16">
      <c r="B16" s="47" t="inlineStr">
        <is>
          <t>Centro de costos</t>
        </is>
      </c>
      <c r="C16" s="47" t="inlineStr">
        <is>
          <t>Nombre</t>
        </is>
      </c>
      <c r="D16" s="47" t="inlineStr">
        <is>
          <t>Bono ($)</t>
        </is>
      </c>
      <c r="E16" s="47" t="inlineStr">
        <is>
          <t>%</t>
        </is>
      </c>
    </row>
    <row r="17">
      <c r="B17" s="30" t="inlineStr">
        <is>
          <t>Promotor</t>
        </is>
      </c>
      <c r="C17" s="61" t="str">
        <f>sel_PromNombre</f>
        <v>Nombre Del Promotor</v>
      </c>
      <c r="D17" s="32">
        <f>MAX(0,$D$13)*E17</f>
        <v>3282.89260733015</v>
      </c>
      <c r="E17" s="62" t="n">
        <v>0.08</v>
      </c>
    </row>
    <row r="18">
      <c r="B18" s="30" t="inlineStr">
        <is>
          <t>Gerencia regional</t>
        </is>
      </c>
      <c r="C18" s="61" t="n"/>
      <c r="D18" s="32">
        <f>MAX(0,$D$13)*E18</f>
        <v>205.180787958134</v>
      </c>
      <c r="E18" s="62" t="n">
        <v>0.005</v>
      </c>
    </row>
    <row r="19">
      <c r="B19" s="30" t="inlineStr">
        <is>
          <t>Reserva bonos</t>
        </is>
      </c>
      <c r="C19" s="61" t="n"/>
      <c r="D19" s="32">
        <f>MAX(0,$D$13)*E19</f>
        <v>164.144630366507</v>
      </c>
      <c r="E19" s="62" t="n">
        <v>0.004</v>
      </c>
    </row>
    <row r="20">
      <c r="B20" s="30" t="inlineStr">
        <is>
          <t>Gastos de operación</t>
        </is>
      </c>
      <c r="C20" s="61" t="n"/>
      <c r="D20" s="32">
        <f>MAX(0,$D$13)*E20</f>
        <v>0</v>
      </c>
      <c r="E20" s="62" t="n">
        <v>0</v>
      </c>
    </row>
    <row r="21">
      <c r="B21" s="30" t="inlineStr">
        <is>
          <t>Referenciador / agencia</t>
        </is>
      </c>
      <c r="C21" s="61" t="n"/>
      <c r="D21" s="32">
        <f>MAX(0,$D$13)*E21</f>
        <v>0</v>
      </c>
      <c r="E21" s="62" t="n">
        <v>0</v>
      </c>
    </row>
    <row r="22">
      <c r="B22" s="36" t="inlineStr">
        <is>
          <t>Total bonos</t>
        </is>
      </c>
      <c r="C22" s="37" t="n"/>
      <c r="D22" s="93">
        <f>SUM(D17:D21)</f>
        <v>3652.21802565479</v>
      </c>
      <c r="E22" s="94">
        <f>SUM(E17:E21)</f>
        <v>0.089</v>
      </c>
    </row>
    <row r="23">
      <c r="B23" s="36" t="inlineStr">
        <is>
          <t>Margen neto para FASTPLUS</t>
        </is>
      </c>
      <c r="C23" s="37" t="n"/>
      <c r="D23" s="93">
        <f>D13-D22</f>
        <v>37383.9395659721</v>
      </c>
      <c r="E23" s="94">
        <f>1-E22</f>
        <v>0.911</v>
      </c>
    </row>
    <row r="25">
      <c r="B25" s="57" t="inlineStr">
        <is>
          <t>Observaciones bonos:</t>
        </is>
      </c>
      <c r="C25" s="31" t="n"/>
      <c r="D25" s="31" t="n"/>
      <c r="E25" s="31" t="n"/>
    </row>
    <row r="27">
      <c r="B27" s="41" t="inlineStr">
        <is>
          <t>Porcentajes sobre el margen de caja neto (sugeridos; editables). Si el margen es negativo no se generan bonos.</t>
        </is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 password="D3B7"/>
  <mergeCells count="12">
    <mergeCell ref="B13:C13"/>
    <mergeCell ref="C6:D6"/>
    <mergeCell ref="C2:D2"/>
    <mergeCell ref="B11:C11"/>
    <mergeCell ref="B8:D8"/>
    <mergeCell ref="C5:D5"/>
    <mergeCell ref="B10:C10"/>
    <mergeCell ref="B15:E15"/>
    <mergeCell ref="B9:C9"/>
    <mergeCell ref="C3:D3"/>
    <mergeCell ref="B12:C12"/>
    <mergeCell ref="C4:D4"/>
  </mergeCells>
  <pageMargins left="0.45" right="0.45" top="0.45" bottom="0.5" header="0.5" footer="0.5"/>
  <pageSetup orientation="portrait" paperSize="1" fitToHeight="1" fitToWidth="1"/>
  <drawing xmlns:r="http://schemas.openxmlformats.org/officeDocument/2006/relationships" r:id="rIdBtnDr"/>
</worksheet>
</file>

<file path=xl/worksheets/sheet7.xml><?xml version="1.0" encoding="utf-8"?>
<worksheet xmlns="http://schemas.openxmlformats.org/spreadsheetml/2006/main">
  <sheetPr codeName="Hoja7">
    <tabColor rgb="00C00000"/>
    <outlinePr summaryBelow="1" summaryRight="1"/>
    <pageSetUpPr fitToPage="1"/>
  </sheetPr>
  <dimension ref="B2:F30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28" customWidth="1" min="2" max="2"/>
    <col width="26" customWidth="1" min="3" max="3"/>
    <col width="14" customWidth="1" min="4" max="4"/>
    <col width="30" customWidth="1" min="5" max="5"/>
    <col width="18" customWidth="1" min="6" max="6"/>
    <col width="2" customWidth="1" min="7" max="7"/>
  </cols>
  <sheetData>
    <row r="2">
      <c r="B2" s="95" t="inlineStr">
        <is>
          <t>Hoja de Datos Riesgo</t>
        </is>
      </c>
      <c r="C2" s="31" t="n"/>
      <c r="D2" s="31" t="n"/>
      <c r="E2" s="31" t="n"/>
      <c r="F2" s="31" t="n"/>
    </row>
    <row r="3">
      <c r="B3" s="29" t="inlineStr">
        <is>
          <t>Nombre evaluado</t>
        </is>
      </c>
      <c r="C3" s="96" t="str">
        <f>inp_Cliente</f>
        <v>CLIENTE DE EJEMPLO, S.A. DE C.V.</v>
      </c>
      <c r="E3" s="29" t="inlineStr">
        <is>
          <t>TIR real</t>
        </is>
      </c>
      <c r="F3" s="35">
        <f>CHOOSE(inp_EscTabla,'Corrida 1'!$I$8,'Corrida 2'!$I$8,'Corrida 3'!$I$8,'Corrida 4'!$I$8)</f>
        <v>0.292682602211409</v>
      </c>
    </row>
    <row r="4">
      <c r="B4" s="29" t="inlineStr">
        <is>
          <t>Acreditado</t>
        </is>
      </c>
      <c r="C4" s="96" t="str">
        <f>inp_Cliente</f>
        <v>CLIENTE DE EJEMPLO, S.A. DE C.V.</v>
      </c>
      <c r="E4" s="29" t="inlineStr">
        <is>
          <t>TIR mínima (rate card)</t>
        </is>
      </c>
      <c r="F4" s="35">
        <f>CHOOSE(inp_EscTabla,'Corrida 1'!$C$46,'Corrida 2'!$C$46,'Corrida 3'!$C$46,'Corrida 4'!$C$46)</f>
        <v>0.24</v>
      </c>
    </row>
    <row r="5">
      <c r="B5" s="29" t="inlineStr">
        <is>
          <t>RFC</t>
        </is>
      </c>
      <c r="C5" s="96" t="str">
        <f>inp_RFC&amp;""</f>
        <v/>
      </c>
      <c r="E5" s="29" t="inlineStr">
        <is>
          <t>Margen de caja neto</t>
        </is>
      </c>
      <c r="F5" s="35">
        <f>CHOOSE(inp_EscTabla,'Corrida 1'!$I$26,'Corrida 2'!$I$26,'Corrida 3'!$I$26,'Corrida 4'!$I$26)</f>
        <v>0.0601169894618804</v>
      </c>
    </row>
    <row r="6">
      <c r="B6" s="29" t="inlineStr">
        <is>
          <t>Obligado solidario</t>
        </is>
      </c>
      <c r="C6" s="96" t="str">
        <f>inp_Obligado</f>
        <v>Por definir</v>
      </c>
      <c r="E6" s="29" t="inlineStr">
        <is>
          <t>Margen rate card</t>
        </is>
      </c>
      <c r="F6" s="35">
        <f>CHOOSE(inp_EscTabla,'Corrida 1'!$C$45,'Corrida 2'!$C$45,'Corrida 3'!$C$45,'Corrida 4'!$C$45)</f>
        <v>0.05</v>
      </c>
    </row>
    <row r="7">
      <c r="B7" s="29" t="inlineStr">
        <is>
          <t>Unidades</t>
        </is>
      </c>
      <c r="C7" s="97" t="n">
        <v>1</v>
      </c>
      <c r="E7" s="29" t="inlineStr">
        <is>
          <t>Margen de caja neto ($)</t>
        </is>
      </c>
      <c r="F7" s="34">
        <f>CHOOSE(inp_EscTabla,'Corrida 1'!$I$25,'Corrida 2'!$I$25,'Corrida 3'!$I$25,'Corrida 4'!$I$25)</f>
        <v>41036.1575916269</v>
      </c>
    </row>
    <row r="8">
      <c r="B8" s="29" t="inlineStr">
        <is>
          <t>Plazo</t>
        </is>
      </c>
      <c r="C8" s="96" t="str">
        <f>inp_PlazoSol&amp;" meses"</f>
        <v>24 meses</v>
      </c>
      <c r="E8" s="29" t="inlineStr">
        <is>
          <t>Tasa de la operación</t>
        </is>
      </c>
      <c r="F8" s="35">
        <f>CHOOSE(inp_EscTabla,'Corrida 1'!$C$8,'Corrida 2'!$C$8,'Corrida 3'!$C$8,'Corrida 4'!$C$8)</f>
        <v>0.241</v>
      </c>
    </row>
    <row r="9">
      <c r="B9" s="29" t="inlineStr">
        <is>
          <t>Valor equipo (sin IVA)</t>
        </is>
      </c>
      <c r="C9" s="98">
        <f>inp_Valor</f>
        <v>758450</v>
      </c>
      <c r="E9" s="29" t="inlineStr">
        <is>
          <t>TIIE + margen</t>
        </is>
      </c>
      <c r="F9" s="99" t="str">
        <f>TEXT(inp_TIIE,"0.00%")&amp;" + "&amp;TEXT(CHOOSE(inp_EscTabla,'Corrida 1'!$C$8,'Corrida 2'!$C$8,'Corrida 3'!$C$8,'Corrida 4'!$C$8)-inp_TIIE,"0.00%")</f>
        <v>8.60% + 15.50%</v>
      </c>
    </row>
    <row r="10">
      <c r="B10" s="29" t="inlineStr">
        <is>
          <t>Otros financiados</t>
        </is>
      </c>
      <c r="C10" s="98">
        <f>CHOOSE(inp_EscTabla,'Corrida 1'!$C$17,'Corrida 2'!$C$17,'Corrida 3'!$C$17,'Corrida 4'!$C$17)+CHOOSE(inp_EscTabla,'Corrida 1'!$C$18,'Corrida 2'!$C$18,'Corrida 3'!$C$18,'Corrida 4'!$C$18)+CHOOSE(inp_EscTabla,'Corrida 1'!$C$42,'Corrida 2'!$C$42,'Corrida 3'!$C$42,'Corrida 4'!$C$42)</f>
        <v>0</v>
      </c>
      <c r="E10" s="29" t="inlineStr">
        <is>
          <t>Ventas anuales (tier)</t>
        </is>
      </c>
      <c r="F10" s="99" t="str">
        <f>inp_Tier</f>
        <v>Menos de $50 millones</v>
      </c>
    </row>
    <row r="11">
      <c r="B11" s="29" t="inlineStr">
        <is>
          <t>Renta básica</t>
        </is>
      </c>
      <c r="C11" s="98">
        <f>CHOOSE(inp_EscTabla,'Corrida 1'!$C$24,'Corrida 2'!$C$24,'Corrida 3'!$C$24,'Corrida 4'!$C$24)</f>
        <v>31143.0048352941</v>
      </c>
      <c r="E11" s="29" t="inlineStr">
        <is>
          <t>Producto</t>
        </is>
      </c>
      <c r="F11" s="99" t="str">
        <f>inp_Producto</f>
        <v>FASTPLUS</v>
      </c>
    </row>
    <row r="12">
      <c r="B12" s="29" t="inlineStr">
        <is>
          <t>Renta total IVA incluido</t>
        </is>
      </c>
      <c r="C12" s="98">
        <f>CHOOSE(inp_EscTabla,'Corrida 1'!$C$24,'Corrida 2'!$C$24,'Corrida 3'!$C$24,'Corrida 4'!$C$24)+CHOOSE(inp_EscTabla,'Corrida 1'!$I$21,'Corrida 2'!$I$21,'Corrida 3'!$I$21,'Corrida 4'!$I$21)</f>
        <v>36125.8856089412</v>
      </c>
      <c r="E12" s="29" t="inlineStr">
        <is>
          <t>Promotor</t>
        </is>
      </c>
      <c r="F12" s="99" t="str">
        <f>sel_PromNombre</f>
        <v>Nombre Del Promotor</v>
      </c>
    </row>
    <row r="13">
      <c r="B13" s="29" t="inlineStr">
        <is>
          <t>Anticipo</t>
        </is>
      </c>
      <c r="C13" s="98">
        <f>CHOOSE(inp_EscTabla,'Corrida 1'!$C$16,'Corrida 2'!$C$16,'Corrida 3'!$C$16,'Corrida 4'!$C$16)</f>
        <v>75845</v>
      </c>
      <c r="D13" s="100">
        <f>IFERROR(CHOOSE(inp_EscTabla,'Corrida 1'!$C$16,'Corrida 2'!$C$16,'Corrida 3'!$C$16,'Corrida 4'!$C$16)/inp_Valor,0)</f>
        <v>0.1</v>
      </c>
      <c r="E13" s="29" t="inlineStr">
        <is>
          <t>Oficina</t>
        </is>
      </c>
      <c r="F13" s="99" t="str">
        <f>sel_PromRegion</f>
        <v>CDMX</v>
      </c>
    </row>
    <row r="14">
      <c r="B14" s="29" t="inlineStr">
        <is>
          <t>Depósito en garantía</t>
        </is>
      </c>
      <c r="C14" s="98">
        <f>CHOOSE(inp_EscTabla,'Corrida 1'!$C$30,'Corrida 2'!$C$30,'Corrida 3'!$C$30,'Corrida 4'!$C$30)</f>
        <v>0</v>
      </c>
      <c r="D14" s="100">
        <f>IFERROR(CHOOSE(inp_EscTabla,'Corrida 1'!$C$30,'Corrida 2'!$C$30,'Corrida 3'!$C$30,'Corrida 4'!$C$30)/inp_Valor,0)</f>
        <v>0</v>
      </c>
      <c r="E14" s="29" t="inlineStr">
        <is>
          <t>CAT informativo</t>
        </is>
      </c>
      <c r="F14" s="35">
        <f>CHOOSE(inp_EscTabla,'Corrida 1'!$I$10,'Corrida 2'!$I$10,'Corrida 3'!$I$10,'Corrida 4'!$I$10)</f>
        <v>0.292682602211409</v>
      </c>
    </row>
    <row r="15">
      <c r="B15" s="29" t="inlineStr">
        <is>
          <t>Suma anticipo y depósito</t>
        </is>
      </c>
      <c r="C15" s="98">
        <f>CHOOSE(inp_EscTabla,'Corrida 1'!$C$16,'Corrida 2'!$C$16,'Corrida 3'!$C$16,'Corrida 4'!$C$16)+CHOOSE(inp_EscTabla,'Corrida 1'!$C$30,'Corrida 2'!$C$30,'Corrida 3'!$C$30,'Corrida 4'!$C$30)</f>
        <v>75845</v>
      </c>
      <c r="D15" s="100">
        <f>IFERROR((CHOOSE(inp_EscTabla,'Corrida 1'!$C$16,'Corrida 2'!$C$16,'Corrida 3'!$C$16,'Corrida 4'!$C$16)+CHOOSE(inp_EscTabla,'Corrida 1'!$C$30,'Corrida 2'!$C$30,'Corrida 3'!$C$30,'Corrida 4'!$C$30))/inp_Valor,0)</f>
        <v>0.1</v>
      </c>
      <c r="E15" s="29" t="inlineStr">
        <is>
          <t>Deducibilidad de la renta</t>
        </is>
      </c>
      <c r="F15" s="35">
        <f>CHOOSE(inp_EscTabla,'Corrida 1'!$C$51,'Corrida 2'!$C$51,'Corrida 3'!$C$51,'Corrida 4'!$C$51)</f>
        <v>0.274539982420398</v>
      </c>
    </row>
    <row r="16">
      <c r="B16" s="29" t="inlineStr">
        <is>
          <t>Valor residual neto</t>
        </is>
      </c>
      <c r="C16" s="98">
        <f>CHOOSE(inp_EscTabla,'Corrida 1'!$C$21,'Corrida 2'!$C$21,'Corrida 3'!$C$21,'Corrida 4'!$C$21)</f>
        <v>151690</v>
      </c>
      <c r="D16" s="100">
        <f>IFERROR(CHOOSE(inp_EscTabla,'Corrida 1'!$C$20,'Corrida 2'!$C$20,'Corrida 3'!$C$20,'Corrida 4'!$C$20),0)</f>
        <v>0.2</v>
      </c>
    </row>
    <row r="17">
      <c r="B17" s="29" t="inlineStr">
        <is>
          <t>Descripción del bien</t>
        </is>
      </c>
      <c r="C17" s="101" t="str">
        <f>inp_TipoActivo&amp;", "&amp;inp_Equipo</f>
        <v>Automóvil eléctrico / híbrido, Auto BYD M9 2026</v>
      </c>
    </row>
    <row r="19">
      <c r="B19" s="50" t="inlineStr">
        <is>
          <t>Dictamen</t>
        </is>
      </c>
      <c r="C19" s="51" t="str">
        <f>CHOOSE(inp_EscTabla,'Corrida 1'!$I$27,'Corrida 2'!$I$27,'Corrida 3'!$I$27,'Corrida 4'!$I$27)</f>
        <v>CUMPLE</v>
      </c>
      <c r="E19" s="57" t="inlineStr">
        <is>
          <t>Tasa mínima para cumplir</t>
        </is>
      </c>
      <c r="F19" s="102">
        <f>CHOOSE(inp_EscTabla,'Corrida 1'!$I$15,'Corrida 2'!$I$15,'Corrida 3'!$I$15,'Corrida 4'!$I$15)</f>
        <v>0.231965201482348</v>
      </c>
    </row>
    <row r="20" ht="30" customHeight="1">
      <c r="B20" s="57" t="inlineStr">
        <is>
          <t>Alertas</t>
        </is>
      </c>
      <c r="C20" s="103" t="str">
        <f>INDEX(res_Alertas,1,inp_EscTabla)</f>
        <v>Sin alertas</v>
      </c>
    </row>
    <row r="22" ht="17" customHeight="1">
      <c r="B22" s="8" t="inlineStr">
        <is>
          <t>Datos acta de aprobación</t>
        </is>
      </c>
    </row>
    <row r="23">
      <c r="B23" s="104" t="inlineStr">
        <is>
          <t>Unidades</t>
        </is>
      </c>
      <c r="C23" s="104" t="inlineStr">
        <is>
          <t>Plazo</t>
        </is>
      </c>
      <c r="D23" s="104" t="inlineStr">
        <is>
          <t>Equipo básico</t>
        </is>
      </c>
      <c r="E23" s="104" t="inlineStr">
        <is>
          <t>Renta total IVA incl.</t>
        </is>
      </c>
      <c r="F23" s="104" t="inlineStr">
        <is>
          <t>Anticipo + depósito</t>
        </is>
      </c>
    </row>
    <row r="24">
      <c r="B24" s="105">
        <f>C7</f>
        <v>1</v>
      </c>
      <c r="C24" s="105" t="str">
        <f>C8</f>
        <v>24 meses</v>
      </c>
      <c r="D24" s="106">
        <f>C9</f>
        <v>758450</v>
      </c>
      <c r="E24" s="106">
        <f>C12</f>
        <v>36125.8856089412</v>
      </c>
      <c r="F24" s="106">
        <f>C15</f>
        <v>75845</v>
      </c>
    </row>
    <row r="26" ht="17" customHeight="1">
      <c r="B26" s="8" t="inlineStr">
        <is>
          <t>Autorizaciones</t>
        </is>
      </c>
    </row>
    <row r="29">
      <c r="B29" s="63" t="n"/>
      <c r="C29" s="63" t="n"/>
      <c r="E29" s="63" t="n"/>
      <c r="F29" s="63" t="n"/>
    </row>
    <row r="30">
      <c r="B30" s="107" t="inlineStr">
        <is>
          <t>Promotor</t>
        </is>
      </c>
      <c r="C30" s="107" t="inlineStr">
        <is>
          <t>Gerente de Promoción</t>
        </is>
      </c>
      <c r="E30" s="107" t="inlineStr">
        <is>
          <t>Crédito</t>
        </is>
      </c>
      <c r="F30" s="107" t="inlineStr">
        <is>
          <t>Dirección</t>
        </is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 password="D3B7"/>
  <mergeCells count="4">
    <mergeCell ref="B2:F2"/>
    <mergeCell ref="B26:F26"/>
    <mergeCell ref="C20:F20"/>
    <mergeCell ref="B22:F22"/>
  </mergeCells>
  <conditionalFormatting sqref="C19">
    <cfRule type="cellIs" priority="1" operator="equal" dxfId="5">
      <formula>"CUMPLE"</formula>
    </cfRule>
    <cfRule type="cellIs" priority="2" operator="notEqual" dxfId="6">
      <formula>"CUMPLE"</formula>
    </cfRule>
  </conditionalFormatting>
  <pageMargins left="0.45" right="0.45" top="0.45" bottom="0.5" header="0.5" footer="0.5"/>
  <pageSetup orientation="portrait" paperSize="1" fitToHeight="1" fitToWidth="1"/>
  <drawing xmlns:r="http://schemas.openxmlformats.org/officeDocument/2006/relationships" r:id="rIdBtnDr"/>
</worksheet>
</file>

<file path=xl/worksheets/sheet8.xml><?xml version="1.0" encoding="utf-8"?>
<worksheet xmlns="http://schemas.openxmlformats.org/spreadsheetml/2006/main">
  <sheetPr codeName="Hoja8">
    <tabColor rgb="0070AD47"/>
    <outlinePr summaryBelow="1" summaryRight="1"/>
    <pageSetUpPr fitToPage="1"/>
  </sheetPr>
  <dimension ref="B1:H111"/>
  <sheetViews>
    <sheetView showGridLines="0" workbookViewId="0">
      <pane xSplit="1" ySplit="10" topLeftCell="B11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" customWidth="1" min="1" max="1"/>
    <col width="7" customWidth="1" min="2" max="2"/>
    <col width="13" customWidth="1" min="3" max="3"/>
    <col width="22" customWidth="1" min="4" max="4"/>
    <col width="17" customWidth="1" min="5" max="5"/>
    <col width="15" customWidth="1" min="6" max="6"/>
    <col width="17" customWidth="1" min="7" max="7"/>
    <col width="18" customWidth="1" min="8" max="8"/>
    <col width="2" customWidth="1" min="9" max="9"/>
  </cols>
  <sheetData>
    <row r="1">
      <c r="D1" s="108" t="inlineStr">
        <is>
          <t>TABLA DE PAGOS</t>
        </is>
      </c>
    </row>
    <row r="2">
      <c r="D2" s="109" t="str">
        <f>par_Arrendador</f>
        <v>SOFOPLUS, S.A.P.I. DE C.V., E.R.</v>
      </c>
    </row>
    <row r="4">
      <c r="B4" s="57" t="inlineStr">
        <is>
          <t>Cliente:</t>
        </is>
      </c>
      <c r="D4" s="53" t="str">
        <f>inp_Cliente</f>
        <v>CLIENTE DE EJEMPLO, S.A. DE C.V.</v>
      </c>
    </row>
    <row r="5">
      <c r="B5" s="57" t="inlineStr">
        <is>
          <t>Equipo:</t>
        </is>
      </c>
      <c r="D5" s="53" t="str">
        <f>inp_Equipo</f>
        <v>Auto BYD M9 2026</v>
      </c>
    </row>
    <row r="6">
      <c r="B6" s="57" t="inlineStr">
        <is>
          <t>Folio:</t>
        </is>
      </c>
      <c r="D6" s="53" t="str">
        <f>inp_Folio</f>
        <v>FP-0001</v>
      </c>
    </row>
    <row r="7">
      <c r="B7" s="57" t="inlineStr">
        <is>
          <t>Plazo mostrado:</t>
        </is>
      </c>
      <c r="D7" s="110" t="str">
        <f>inp_PlazoSol&amp;" meses"</f>
        <v>24 meses</v>
      </c>
      <c r="F7" s="41" t="inlineStr">
        <is>
          <t>Se elige en el Cotizador (plazo solicitado)</t>
        </is>
      </c>
    </row>
    <row r="8">
      <c r="B8" s="53" t="str">
        <f>"Plazo: "&amp;CHOOSE(inp_EscTabla,'Corrida 1'!$C$5,'Corrida 2'!$C$5,'Corrida 3'!$C$5,'Corrida 4'!$C$5)&amp;" meses + "&amp;CHOOSE(inp_EscTabla,'Corrida 1'!$C$6,'Corrida 2'!$C$6,'Corrida 3'!$C$6,'Corrida 4'!$C$6)&amp;" sucesivo  |  Tasa anual: "&amp;TEXT(CHOOSE(inp_EscTabla,'Corrida 1'!$C$8,'Corrida 2'!$C$8,'Corrida 3'!$C$8,'Corrida 4'!$C$8),"0.00%")&amp;"  |  Pago "&amp;LOWER(inp_Modalidad)&amp;"  |  "&amp;inp_Moneda</f>
        <v>Plazo: 24 meses + 0 sucesivo  |  Tasa anual: 24.10%  |  Pago vencido  |  Moneda Nacional</v>
      </c>
    </row>
    <row r="10">
      <c r="B10" s="111" t="inlineStr">
        <is>
          <t>No.</t>
        </is>
      </c>
      <c r="C10" s="111" t="inlineStr">
        <is>
          <t>Fecha</t>
        </is>
      </c>
      <c r="D10" s="111" t="inlineStr">
        <is>
          <t>Concepto</t>
        </is>
      </c>
      <c r="E10" s="111" t="inlineStr">
        <is>
          <t>Importe sin IVA</t>
        </is>
      </c>
      <c r="F10" s="111" t="inlineStr">
        <is>
          <t>IVA</t>
        </is>
      </c>
      <c r="G10" s="111" t="inlineStr">
        <is>
          <t>Total con IVA</t>
        </is>
      </c>
      <c r="H10" s="111" t="inlineStr">
        <is>
          <t>Acumulado con IVA</t>
        </is>
      </c>
    </row>
    <row r="11">
      <c r="B11" s="112" t="n">
        <v>0</v>
      </c>
      <c r="C11" s="113">
        <f>inp_FechaFirma</f>
        <v>46301.0</v>
      </c>
      <c r="D11" s="112" t="inlineStr">
        <is>
          <t>Pago inicial</t>
        </is>
      </c>
      <c r="E11" s="114">
        <f>CHOOSE(inp_EscTabla,'Corrida 1'!$I$17,'Corrida 2'!$I$17,'Corrida 3'!$I$17,'Corrida 4'!$I$17)+CHOOSE(inp_EscTabla,'Corrida 1'!$I$19,'Corrida 2'!$I$19,'Corrida 3'!$I$19,'Corrida 4'!$I$19)</f>
        <v>89497.1</v>
      </c>
      <c r="F11" s="114">
        <f>CHOOSE(inp_EscTabla,'Corrida 1'!$I$18,'Corrida 2'!$I$18,'Corrida 3'!$I$18,'Corrida 4'!$I$18)</f>
        <v>14319.536</v>
      </c>
      <c r="G11" s="114">
        <f>E11+F11</f>
        <v>103816.636</v>
      </c>
      <c r="H11" s="114">
        <f>G11</f>
        <v>103816.636</v>
      </c>
    </row>
    <row r="12">
      <c r="B12" s="115">
        <f>IF(CHOOSE(inp_EscTabla,'Corrida 1'!$B$60,'Corrida 2'!$B$60,'Corrida 3'!$B$60,'Corrida 4'!$B$60)="","",1)</f>
        <v>1</v>
      </c>
      <c r="C12" s="116">
        <f>IF(B12="","",CHOOSE(inp_EscTabla,'Corrida 1'!$D$60,'Corrida 2'!$D$60,'Corrida 3'!$D$60,'Corrida 4'!$D$60))</f>
        <v>46332.0</v>
      </c>
      <c r="D12" s="115" t="str">
        <f>IF(B12="","",IF(CHOOSE(inp_EscTabla,'Corrida 1'!$B$60,'Corrida 2'!$B$60,'Corrida 3'!$B$60,'Corrida 4'!$B$60)="Básico","Renta mensual",IF(CHOOSE(inp_EscTabla,'Corrida 1'!$B$60,'Corrida 2'!$B$60,'Corrida 3'!$B$60,'Corrida 4'!$B$60)="Sucesivo","Renta plazo sucesivo","Opción de compra")))</f>
        <v>Renta mensual</v>
      </c>
      <c r="E12" s="117">
        <f>IF(B12="","",CHOOSE(inp_EscTabla,'Corrida 1'!$F$60,'Corrida 2'!$F$60,'Corrida 3'!$F$60,'Corrida 4'!$F$60))</f>
        <v>31143.0048352941</v>
      </c>
      <c r="F12" s="117">
        <f>IF(B12="","",CHOOSE(inp_EscTabla,'Corrida 1'!$J$60,'Corrida 2'!$J$60,'Corrida 3'!$J$60,'Corrida 4'!$J$60))</f>
        <v>4982.88077364706</v>
      </c>
      <c r="G12" s="117">
        <f>IF(B12="","",E12+F12)</f>
        <v>36125.8856089412</v>
      </c>
      <c r="H12" s="117">
        <f>IF(B12="","",H11+G12)</f>
        <v>139942.521608941</v>
      </c>
    </row>
    <row r="13">
      <c r="B13" s="115">
        <f>IF(CHOOSE(inp_EscTabla,'Corrida 1'!$B$61,'Corrida 2'!$B$61,'Corrida 3'!$B$61,'Corrida 4'!$B$61)="","",2)</f>
        <v>2</v>
      </c>
      <c r="C13" s="116">
        <f>IF(B13="","",CHOOSE(inp_EscTabla,'Corrida 1'!$D$61,'Corrida 2'!$D$61,'Corrida 3'!$D$61,'Corrida 4'!$D$61))</f>
        <v>46362.0</v>
      </c>
      <c r="D13" s="115" t="str">
        <f>IF(B13="","",IF(CHOOSE(inp_EscTabla,'Corrida 1'!$B$61,'Corrida 2'!$B$61,'Corrida 3'!$B$61,'Corrida 4'!$B$61)="Básico","Renta mensual",IF(CHOOSE(inp_EscTabla,'Corrida 1'!$B$61,'Corrida 2'!$B$61,'Corrida 3'!$B$61,'Corrida 4'!$B$61)="Sucesivo","Renta plazo sucesivo","Opción de compra")))</f>
        <v>Renta mensual</v>
      </c>
      <c r="E13" s="117">
        <f>IF(B13="","",CHOOSE(inp_EscTabla,'Corrida 1'!$F$61,'Corrida 2'!$F$61,'Corrida 3'!$F$61,'Corrida 4'!$F$61))</f>
        <v>31143.0048352941</v>
      </c>
      <c r="F13" s="117">
        <f>IF(B13="","",CHOOSE(inp_EscTabla,'Corrida 1'!$J$61,'Corrida 2'!$J$61,'Corrida 3'!$J$61,'Corrida 4'!$J$61))</f>
        <v>4982.88077364706</v>
      </c>
      <c r="G13" s="117">
        <f>IF(B13="","",E13+F13)</f>
        <v>36125.8856089412</v>
      </c>
      <c r="H13" s="117">
        <f>IF(B13="","",H12+G13)</f>
        <v>176068.407217882</v>
      </c>
    </row>
    <row r="14">
      <c r="B14" s="115">
        <f>IF(CHOOSE(inp_EscTabla,'Corrida 1'!$B$62,'Corrida 2'!$B$62,'Corrida 3'!$B$62,'Corrida 4'!$B$62)="","",3)</f>
        <v>3</v>
      </c>
      <c r="C14" s="116">
        <f>IF(B14="","",CHOOSE(inp_EscTabla,'Corrida 1'!$D$62,'Corrida 2'!$D$62,'Corrida 3'!$D$62,'Corrida 4'!$D$62))</f>
        <v>46393.0</v>
      </c>
      <c r="D14" s="115" t="str">
        <f>IF(B14="","",IF(CHOOSE(inp_EscTabla,'Corrida 1'!$B$62,'Corrida 2'!$B$62,'Corrida 3'!$B$62,'Corrida 4'!$B$62)="Básico","Renta mensual",IF(CHOOSE(inp_EscTabla,'Corrida 1'!$B$62,'Corrida 2'!$B$62,'Corrida 3'!$B$62,'Corrida 4'!$B$62)="Sucesivo","Renta plazo sucesivo","Opción de compra")))</f>
        <v>Renta mensual</v>
      </c>
      <c r="E14" s="117">
        <f>IF(B14="","",CHOOSE(inp_EscTabla,'Corrida 1'!$F$62,'Corrida 2'!$F$62,'Corrida 3'!$F$62,'Corrida 4'!$F$62))</f>
        <v>31143.0048352941</v>
      </c>
      <c r="F14" s="117">
        <f>IF(B14="","",CHOOSE(inp_EscTabla,'Corrida 1'!$J$62,'Corrida 2'!$J$62,'Corrida 3'!$J$62,'Corrida 4'!$J$62))</f>
        <v>4982.88077364706</v>
      </c>
      <c r="G14" s="117">
        <f>IF(B14="","",E14+F14)</f>
        <v>36125.8856089412</v>
      </c>
      <c r="H14" s="117">
        <f>IF(B14="","",H13+G14)</f>
        <v>212194.292826824</v>
      </c>
    </row>
    <row r="15">
      <c r="B15" s="115">
        <f>IF(CHOOSE(inp_EscTabla,'Corrida 1'!$B$63,'Corrida 2'!$B$63,'Corrida 3'!$B$63,'Corrida 4'!$B$63)="","",4)</f>
        <v>4</v>
      </c>
      <c r="C15" s="116">
        <f>IF(B15="","",CHOOSE(inp_EscTabla,'Corrida 1'!$D$63,'Corrida 2'!$D$63,'Corrida 3'!$D$63,'Corrida 4'!$D$63))</f>
        <v>46424.0</v>
      </c>
      <c r="D15" s="115" t="str">
        <f>IF(B15="","",IF(CHOOSE(inp_EscTabla,'Corrida 1'!$B$63,'Corrida 2'!$B$63,'Corrida 3'!$B$63,'Corrida 4'!$B$63)="Básico","Renta mensual",IF(CHOOSE(inp_EscTabla,'Corrida 1'!$B$63,'Corrida 2'!$B$63,'Corrida 3'!$B$63,'Corrida 4'!$B$63)="Sucesivo","Renta plazo sucesivo","Opción de compra")))</f>
        <v>Renta mensual</v>
      </c>
      <c r="E15" s="117">
        <f>IF(B15="","",CHOOSE(inp_EscTabla,'Corrida 1'!$F$63,'Corrida 2'!$F$63,'Corrida 3'!$F$63,'Corrida 4'!$F$63))</f>
        <v>31143.0048352941</v>
      </c>
      <c r="F15" s="117">
        <f>IF(B15="","",CHOOSE(inp_EscTabla,'Corrida 1'!$J$63,'Corrida 2'!$J$63,'Corrida 3'!$J$63,'Corrida 4'!$J$63))</f>
        <v>4982.88077364706</v>
      </c>
      <c r="G15" s="117">
        <f>IF(B15="","",E15+F15)</f>
        <v>36125.8856089412</v>
      </c>
      <c r="H15" s="117">
        <f>IF(B15="","",H14+G15)</f>
        <v>248320.178435765</v>
      </c>
    </row>
    <row r="16">
      <c r="B16" s="115">
        <f>IF(CHOOSE(inp_EscTabla,'Corrida 1'!$B$64,'Corrida 2'!$B$64,'Corrida 3'!$B$64,'Corrida 4'!$B$64)="","",5)</f>
        <v>5</v>
      </c>
      <c r="C16" s="116">
        <f>IF(B16="","",CHOOSE(inp_EscTabla,'Corrida 1'!$D$64,'Corrida 2'!$D$64,'Corrida 3'!$D$64,'Corrida 4'!$D$64))</f>
        <v>46452.0</v>
      </c>
      <c r="D16" s="115" t="str">
        <f>IF(B16="","",IF(CHOOSE(inp_EscTabla,'Corrida 1'!$B$64,'Corrida 2'!$B$64,'Corrida 3'!$B$64,'Corrida 4'!$B$64)="Básico","Renta mensual",IF(CHOOSE(inp_EscTabla,'Corrida 1'!$B$64,'Corrida 2'!$B$64,'Corrida 3'!$B$64,'Corrida 4'!$B$64)="Sucesivo","Renta plazo sucesivo","Opción de compra")))</f>
        <v>Renta mensual</v>
      </c>
      <c r="E16" s="117">
        <f>IF(B16="","",CHOOSE(inp_EscTabla,'Corrida 1'!$F$64,'Corrida 2'!$F$64,'Corrida 3'!$F$64,'Corrida 4'!$F$64))</f>
        <v>31143.0048352941</v>
      </c>
      <c r="F16" s="117">
        <f>IF(B16="","",CHOOSE(inp_EscTabla,'Corrida 1'!$J$64,'Corrida 2'!$J$64,'Corrida 3'!$J$64,'Corrida 4'!$J$64))</f>
        <v>4982.88077364706</v>
      </c>
      <c r="G16" s="117">
        <f>IF(B16="","",E16+F16)</f>
        <v>36125.8856089412</v>
      </c>
      <c r="H16" s="117">
        <f>IF(B16="","",H15+G16)</f>
        <v>284446.064044706</v>
      </c>
    </row>
    <row r="17">
      <c r="B17" s="115">
        <f>IF(CHOOSE(inp_EscTabla,'Corrida 1'!$B$65,'Corrida 2'!$B$65,'Corrida 3'!$B$65,'Corrida 4'!$B$65)="","",6)</f>
        <v>6</v>
      </c>
      <c r="C17" s="116">
        <f>IF(B17="","",CHOOSE(inp_EscTabla,'Corrida 1'!$D$65,'Corrida 2'!$D$65,'Corrida 3'!$D$65,'Corrida 4'!$D$65))</f>
        <v>46483.0</v>
      </c>
      <c r="D17" s="115" t="str">
        <f>IF(B17="","",IF(CHOOSE(inp_EscTabla,'Corrida 1'!$B$65,'Corrida 2'!$B$65,'Corrida 3'!$B$65,'Corrida 4'!$B$65)="Básico","Renta mensual",IF(CHOOSE(inp_EscTabla,'Corrida 1'!$B$65,'Corrida 2'!$B$65,'Corrida 3'!$B$65,'Corrida 4'!$B$65)="Sucesivo","Renta plazo sucesivo","Opción de compra")))</f>
        <v>Renta mensual</v>
      </c>
      <c r="E17" s="117">
        <f>IF(B17="","",CHOOSE(inp_EscTabla,'Corrida 1'!$F$65,'Corrida 2'!$F$65,'Corrida 3'!$F$65,'Corrida 4'!$F$65))</f>
        <v>31143.0048352941</v>
      </c>
      <c r="F17" s="117">
        <f>IF(B17="","",CHOOSE(inp_EscTabla,'Corrida 1'!$J$65,'Corrida 2'!$J$65,'Corrida 3'!$J$65,'Corrida 4'!$J$65))</f>
        <v>4982.88077364706</v>
      </c>
      <c r="G17" s="117">
        <f>IF(B17="","",E17+F17)</f>
        <v>36125.8856089412</v>
      </c>
      <c r="H17" s="117">
        <f>IF(B17="","",H16+G17)</f>
        <v>320571.949653647</v>
      </c>
    </row>
    <row r="18">
      <c r="B18" s="115">
        <f>IF(CHOOSE(inp_EscTabla,'Corrida 1'!$B$66,'Corrida 2'!$B$66,'Corrida 3'!$B$66,'Corrida 4'!$B$66)="","",7)</f>
        <v>7</v>
      </c>
      <c r="C18" s="116">
        <f>IF(B18="","",CHOOSE(inp_EscTabla,'Corrida 1'!$D$66,'Corrida 2'!$D$66,'Corrida 3'!$D$66,'Corrida 4'!$D$66))</f>
        <v>46513.0</v>
      </c>
      <c r="D18" s="115" t="str">
        <f>IF(B18="","",IF(CHOOSE(inp_EscTabla,'Corrida 1'!$B$66,'Corrida 2'!$B$66,'Corrida 3'!$B$66,'Corrida 4'!$B$66)="Básico","Renta mensual",IF(CHOOSE(inp_EscTabla,'Corrida 1'!$B$66,'Corrida 2'!$B$66,'Corrida 3'!$B$66,'Corrida 4'!$B$66)="Sucesivo","Renta plazo sucesivo","Opción de compra")))</f>
        <v>Renta mensual</v>
      </c>
      <c r="E18" s="117">
        <f>IF(B18="","",CHOOSE(inp_EscTabla,'Corrida 1'!$F$66,'Corrida 2'!$F$66,'Corrida 3'!$F$66,'Corrida 4'!$F$66))</f>
        <v>31143.0048352941</v>
      </c>
      <c r="F18" s="117">
        <f>IF(B18="","",CHOOSE(inp_EscTabla,'Corrida 1'!$J$66,'Corrida 2'!$J$66,'Corrida 3'!$J$66,'Corrida 4'!$J$66))</f>
        <v>4982.88077364706</v>
      </c>
      <c r="G18" s="117">
        <f>IF(B18="","",E18+F18)</f>
        <v>36125.8856089412</v>
      </c>
      <c r="H18" s="117">
        <f>IF(B18="","",H17+G18)</f>
        <v>356697.835262588</v>
      </c>
    </row>
    <row r="19">
      <c r="B19" s="115">
        <f>IF(CHOOSE(inp_EscTabla,'Corrida 1'!$B$67,'Corrida 2'!$B$67,'Corrida 3'!$B$67,'Corrida 4'!$B$67)="","",8)</f>
        <v>8</v>
      </c>
      <c r="C19" s="116">
        <f>IF(B19="","",CHOOSE(inp_EscTabla,'Corrida 1'!$D$67,'Corrida 2'!$D$67,'Corrida 3'!$D$67,'Corrida 4'!$D$67))</f>
        <v>46544.0</v>
      </c>
      <c r="D19" s="115" t="str">
        <f>IF(B19="","",IF(CHOOSE(inp_EscTabla,'Corrida 1'!$B$67,'Corrida 2'!$B$67,'Corrida 3'!$B$67,'Corrida 4'!$B$67)="Básico","Renta mensual",IF(CHOOSE(inp_EscTabla,'Corrida 1'!$B$67,'Corrida 2'!$B$67,'Corrida 3'!$B$67,'Corrida 4'!$B$67)="Sucesivo","Renta plazo sucesivo","Opción de compra")))</f>
        <v>Renta mensual</v>
      </c>
      <c r="E19" s="117">
        <f>IF(B19="","",CHOOSE(inp_EscTabla,'Corrida 1'!$F$67,'Corrida 2'!$F$67,'Corrida 3'!$F$67,'Corrida 4'!$F$67))</f>
        <v>31143.0048352941</v>
      </c>
      <c r="F19" s="117">
        <f>IF(B19="","",CHOOSE(inp_EscTabla,'Corrida 1'!$J$67,'Corrida 2'!$J$67,'Corrida 3'!$J$67,'Corrida 4'!$J$67))</f>
        <v>4982.88077364706</v>
      </c>
      <c r="G19" s="117">
        <f>IF(B19="","",E19+F19)</f>
        <v>36125.8856089412</v>
      </c>
      <c r="H19" s="117">
        <f>IF(B19="","",H18+G19)</f>
        <v>392823.720871529</v>
      </c>
    </row>
    <row r="20">
      <c r="B20" s="115">
        <f>IF(CHOOSE(inp_EscTabla,'Corrida 1'!$B$68,'Corrida 2'!$B$68,'Corrida 3'!$B$68,'Corrida 4'!$B$68)="","",9)</f>
        <v>9</v>
      </c>
      <c r="C20" s="116">
        <f>IF(B20="","",CHOOSE(inp_EscTabla,'Corrida 1'!$D$68,'Corrida 2'!$D$68,'Corrida 3'!$D$68,'Corrida 4'!$D$68))</f>
        <v>46574.0</v>
      </c>
      <c r="D20" s="115" t="str">
        <f>IF(B20="","",IF(CHOOSE(inp_EscTabla,'Corrida 1'!$B$68,'Corrida 2'!$B$68,'Corrida 3'!$B$68,'Corrida 4'!$B$68)="Básico","Renta mensual",IF(CHOOSE(inp_EscTabla,'Corrida 1'!$B$68,'Corrida 2'!$B$68,'Corrida 3'!$B$68,'Corrida 4'!$B$68)="Sucesivo","Renta plazo sucesivo","Opción de compra")))</f>
        <v>Renta mensual</v>
      </c>
      <c r="E20" s="117">
        <f>IF(B20="","",CHOOSE(inp_EscTabla,'Corrida 1'!$F$68,'Corrida 2'!$F$68,'Corrida 3'!$F$68,'Corrida 4'!$F$68))</f>
        <v>31143.0048352941</v>
      </c>
      <c r="F20" s="117">
        <f>IF(B20="","",CHOOSE(inp_EscTabla,'Corrida 1'!$J$68,'Corrida 2'!$J$68,'Corrida 3'!$J$68,'Corrida 4'!$J$68))</f>
        <v>4982.88077364706</v>
      </c>
      <c r="G20" s="117">
        <f>IF(B20="","",E20+F20)</f>
        <v>36125.8856089412</v>
      </c>
      <c r="H20" s="117">
        <f>IF(B20="","",H19+G20)</f>
        <v>428949.606480471</v>
      </c>
    </row>
    <row r="21">
      <c r="B21" s="115">
        <f>IF(CHOOSE(inp_EscTabla,'Corrida 1'!$B$69,'Corrida 2'!$B$69,'Corrida 3'!$B$69,'Corrida 4'!$B$69)="","",10)</f>
        <v>10</v>
      </c>
      <c r="C21" s="116">
        <f>IF(B21="","",CHOOSE(inp_EscTabla,'Corrida 1'!$D$69,'Corrida 2'!$D$69,'Corrida 3'!$D$69,'Corrida 4'!$D$69))</f>
        <v>46605.0</v>
      </c>
      <c r="D21" s="115" t="str">
        <f>IF(B21="","",IF(CHOOSE(inp_EscTabla,'Corrida 1'!$B$69,'Corrida 2'!$B$69,'Corrida 3'!$B$69,'Corrida 4'!$B$69)="Básico","Renta mensual",IF(CHOOSE(inp_EscTabla,'Corrida 1'!$B$69,'Corrida 2'!$B$69,'Corrida 3'!$B$69,'Corrida 4'!$B$69)="Sucesivo","Renta plazo sucesivo","Opción de compra")))</f>
        <v>Renta mensual</v>
      </c>
      <c r="E21" s="117">
        <f>IF(B21="","",CHOOSE(inp_EscTabla,'Corrida 1'!$F$69,'Corrida 2'!$F$69,'Corrida 3'!$F$69,'Corrida 4'!$F$69))</f>
        <v>31143.0048352941</v>
      </c>
      <c r="F21" s="117">
        <f>IF(B21="","",CHOOSE(inp_EscTabla,'Corrida 1'!$J$69,'Corrida 2'!$J$69,'Corrida 3'!$J$69,'Corrida 4'!$J$69))</f>
        <v>4982.88077364706</v>
      </c>
      <c r="G21" s="117">
        <f>IF(B21="","",E21+F21)</f>
        <v>36125.8856089412</v>
      </c>
      <c r="H21" s="117">
        <f>IF(B21="","",H20+G21)</f>
        <v>465075.492089412</v>
      </c>
    </row>
    <row r="22">
      <c r="B22" s="115">
        <f>IF(CHOOSE(inp_EscTabla,'Corrida 1'!$B$70,'Corrida 2'!$B$70,'Corrida 3'!$B$70,'Corrida 4'!$B$70)="","",11)</f>
        <v>11</v>
      </c>
      <c r="C22" s="116">
        <f>IF(B22="","",CHOOSE(inp_EscTabla,'Corrida 1'!$D$70,'Corrida 2'!$D$70,'Corrida 3'!$D$70,'Corrida 4'!$D$70))</f>
        <v>46636.0</v>
      </c>
      <c r="D22" s="115" t="str">
        <f>IF(B22="","",IF(CHOOSE(inp_EscTabla,'Corrida 1'!$B$70,'Corrida 2'!$B$70,'Corrida 3'!$B$70,'Corrida 4'!$B$70)="Básico","Renta mensual",IF(CHOOSE(inp_EscTabla,'Corrida 1'!$B$70,'Corrida 2'!$B$70,'Corrida 3'!$B$70,'Corrida 4'!$B$70)="Sucesivo","Renta plazo sucesivo","Opción de compra")))</f>
        <v>Renta mensual</v>
      </c>
      <c r="E22" s="117">
        <f>IF(B22="","",CHOOSE(inp_EscTabla,'Corrida 1'!$F$70,'Corrida 2'!$F$70,'Corrida 3'!$F$70,'Corrida 4'!$F$70))</f>
        <v>31143.0048352941</v>
      </c>
      <c r="F22" s="117">
        <f>IF(B22="","",CHOOSE(inp_EscTabla,'Corrida 1'!$J$70,'Corrida 2'!$J$70,'Corrida 3'!$J$70,'Corrida 4'!$J$70))</f>
        <v>4982.88077364706</v>
      </c>
      <c r="G22" s="117">
        <f>IF(B22="","",E22+F22)</f>
        <v>36125.8856089412</v>
      </c>
      <c r="H22" s="117">
        <f>IF(B22="","",H21+G22)</f>
        <v>501201.377698353</v>
      </c>
    </row>
    <row r="23">
      <c r="B23" s="115">
        <f>IF(CHOOSE(inp_EscTabla,'Corrida 1'!$B$71,'Corrida 2'!$B$71,'Corrida 3'!$B$71,'Corrida 4'!$B$71)="","",12)</f>
        <v>12</v>
      </c>
      <c r="C23" s="116">
        <f>IF(B23="","",CHOOSE(inp_EscTabla,'Corrida 1'!$D$71,'Corrida 2'!$D$71,'Corrida 3'!$D$71,'Corrida 4'!$D$71))</f>
        <v>46666.0</v>
      </c>
      <c r="D23" s="115" t="str">
        <f>IF(B23="","",IF(CHOOSE(inp_EscTabla,'Corrida 1'!$B$71,'Corrida 2'!$B$71,'Corrida 3'!$B$71,'Corrida 4'!$B$71)="Básico","Renta mensual",IF(CHOOSE(inp_EscTabla,'Corrida 1'!$B$71,'Corrida 2'!$B$71,'Corrida 3'!$B$71,'Corrida 4'!$B$71)="Sucesivo","Renta plazo sucesivo","Opción de compra")))</f>
        <v>Renta mensual</v>
      </c>
      <c r="E23" s="117">
        <f>IF(B23="","",CHOOSE(inp_EscTabla,'Corrida 1'!$F$71,'Corrida 2'!$F$71,'Corrida 3'!$F$71,'Corrida 4'!$F$71))</f>
        <v>31143.0048352941</v>
      </c>
      <c r="F23" s="117">
        <f>IF(B23="","",CHOOSE(inp_EscTabla,'Corrida 1'!$J$71,'Corrida 2'!$J$71,'Corrida 3'!$J$71,'Corrida 4'!$J$71))</f>
        <v>4982.88077364706</v>
      </c>
      <c r="G23" s="117">
        <f>IF(B23="","",E23+F23)</f>
        <v>36125.8856089412</v>
      </c>
      <c r="H23" s="117">
        <f>IF(B23="","",H22+G23)</f>
        <v>537327.263307294</v>
      </c>
    </row>
    <row r="24">
      <c r="B24" s="115">
        <f>IF(CHOOSE(inp_EscTabla,'Corrida 1'!$B$72,'Corrida 2'!$B$72,'Corrida 3'!$B$72,'Corrida 4'!$B$72)="","",13)</f>
        <v>13</v>
      </c>
      <c r="C24" s="116">
        <f>IF(B24="","",CHOOSE(inp_EscTabla,'Corrida 1'!$D$72,'Corrida 2'!$D$72,'Corrida 3'!$D$72,'Corrida 4'!$D$72))</f>
        <v>46697.0</v>
      </c>
      <c r="D24" s="115" t="str">
        <f>IF(B24="","",IF(CHOOSE(inp_EscTabla,'Corrida 1'!$B$72,'Corrida 2'!$B$72,'Corrida 3'!$B$72,'Corrida 4'!$B$72)="Básico","Renta mensual",IF(CHOOSE(inp_EscTabla,'Corrida 1'!$B$72,'Corrida 2'!$B$72,'Corrida 3'!$B$72,'Corrida 4'!$B$72)="Sucesivo","Renta plazo sucesivo","Opción de compra")))</f>
        <v>Renta mensual</v>
      </c>
      <c r="E24" s="117">
        <f>IF(B24="","",CHOOSE(inp_EscTabla,'Corrida 1'!$F$72,'Corrida 2'!$F$72,'Corrida 3'!$F$72,'Corrida 4'!$F$72))</f>
        <v>31143.0048352941</v>
      </c>
      <c r="F24" s="117">
        <f>IF(B24="","",CHOOSE(inp_EscTabla,'Corrida 1'!$J$72,'Corrida 2'!$J$72,'Corrida 3'!$J$72,'Corrida 4'!$J$72))</f>
        <v>4982.88077364706</v>
      </c>
      <c r="G24" s="117">
        <f>IF(B24="","",E24+F24)</f>
        <v>36125.8856089412</v>
      </c>
      <c r="H24" s="117">
        <f>IF(B24="","",H23+G24)</f>
        <v>573453.148916235</v>
      </c>
    </row>
    <row r="25">
      <c r="B25" s="115">
        <f>IF(CHOOSE(inp_EscTabla,'Corrida 1'!$B$73,'Corrida 2'!$B$73,'Corrida 3'!$B$73,'Corrida 4'!$B$73)="","",14)</f>
        <v>14</v>
      </c>
      <c r="C25" s="116">
        <f>IF(B25="","",CHOOSE(inp_EscTabla,'Corrida 1'!$D$73,'Corrida 2'!$D$73,'Corrida 3'!$D$73,'Corrida 4'!$D$73))</f>
        <v>46727.0</v>
      </c>
      <c r="D25" s="115" t="str">
        <f>IF(B25="","",IF(CHOOSE(inp_EscTabla,'Corrida 1'!$B$73,'Corrida 2'!$B$73,'Corrida 3'!$B$73,'Corrida 4'!$B$73)="Básico","Renta mensual",IF(CHOOSE(inp_EscTabla,'Corrida 1'!$B$73,'Corrida 2'!$B$73,'Corrida 3'!$B$73,'Corrida 4'!$B$73)="Sucesivo","Renta plazo sucesivo","Opción de compra")))</f>
        <v>Renta mensual</v>
      </c>
      <c r="E25" s="117">
        <f>IF(B25="","",CHOOSE(inp_EscTabla,'Corrida 1'!$F$73,'Corrida 2'!$F$73,'Corrida 3'!$F$73,'Corrida 4'!$F$73))</f>
        <v>31143.0048352941</v>
      </c>
      <c r="F25" s="117">
        <f>IF(B25="","",CHOOSE(inp_EscTabla,'Corrida 1'!$J$73,'Corrida 2'!$J$73,'Corrida 3'!$J$73,'Corrida 4'!$J$73))</f>
        <v>4982.88077364706</v>
      </c>
      <c r="G25" s="117">
        <f>IF(B25="","",E25+F25)</f>
        <v>36125.8856089412</v>
      </c>
      <c r="H25" s="117">
        <f>IF(B25="","",H24+G25)</f>
        <v>609579.034525177</v>
      </c>
    </row>
    <row r="26">
      <c r="B26" s="115">
        <f>IF(CHOOSE(inp_EscTabla,'Corrida 1'!$B$74,'Corrida 2'!$B$74,'Corrida 3'!$B$74,'Corrida 4'!$B$74)="","",15)</f>
        <v>15</v>
      </c>
      <c r="C26" s="116">
        <f>IF(B26="","",CHOOSE(inp_EscTabla,'Corrida 1'!$D$74,'Corrida 2'!$D$74,'Corrida 3'!$D$74,'Corrida 4'!$D$74))</f>
        <v>46758.0</v>
      </c>
      <c r="D26" s="115" t="str">
        <f>IF(B26="","",IF(CHOOSE(inp_EscTabla,'Corrida 1'!$B$74,'Corrida 2'!$B$74,'Corrida 3'!$B$74,'Corrida 4'!$B$74)="Básico","Renta mensual",IF(CHOOSE(inp_EscTabla,'Corrida 1'!$B$74,'Corrida 2'!$B$74,'Corrida 3'!$B$74,'Corrida 4'!$B$74)="Sucesivo","Renta plazo sucesivo","Opción de compra")))</f>
        <v>Renta mensual</v>
      </c>
      <c r="E26" s="117">
        <f>IF(B26="","",CHOOSE(inp_EscTabla,'Corrida 1'!$F$74,'Corrida 2'!$F$74,'Corrida 3'!$F$74,'Corrida 4'!$F$74))</f>
        <v>31143.0048352941</v>
      </c>
      <c r="F26" s="117">
        <f>IF(B26="","",CHOOSE(inp_EscTabla,'Corrida 1'!$J$74,'Corrida 2'!$J$74,'Corrida 3'!$J$74,'Corrida 4'!$J$74))</f>
        <v>4982.88077364706</v>
      </c>
      <c r="G26" s="117">
        <f>IF(B26="","",E26+F26)</f>
        <v>36125.8856089412</v>
      </c>
      <c r="H26" s="117">
        <f>IF(B26="","",H25+G26)</f>
        <v>645704.920134118</v>
      </c>
    </row>
    <row r="27">
      <c r="B27" s="115">
        <f>IF(CHOOSE(inp_EscTabla,'Corrida 1'!$B$75,'Corrida 2'!$B$75,'Corrida 3'!$B$75,'Corrida 4'!$B$75)="","",16)</f>
        <v>16</v>
      </c>
      <c r="C27" s="116">
        <f>IF(B27="","",CHOOSE(inp_EscTabla,'Corrida 1'!$D$75,'Corrida 2'!$D$75,'Corrida 3'!$D$75,'Corrida 4'!$D$75))</f>
        <v>46789.0</v>
      </c>
      <c r="D27" s="115" t="str">
        <f>IF(B27="","",IF(CHOOSE(inp_EscTabla,'Corrida 1'!$B$75,'Corrida 2'!$B$75,'Corrida 3'!$B$75,'Corrida 4'!$B$75)="Básico","Renta mensual",IF(CHOOSE(inp_EscTabla,'Corrida 1'!$B$75,'Corrida 2'!$B$75,'Corrida 3'!$B$75,'Corrida 4'!$B$75)="Sucesivo","Renta plazo sucesivo","Opción de compra")))</f>
        <v>Renta mensual</v>
      </c>
      <c r="E27" s="117">
        <f>IF(B27="","",CHOOSE(inp_EscTabla,'Corrida 1'!$F$75,'Corrida 2'!$F$75,'Corrida 3'!$F$75,'Corrida 4'!$F$75))</f>
        <v>31143.0048352941</v>
      </c>
      <c r="F27" s="117">
        <f>IF(B27="","",CHOOSE(inp_EscTabla,'Corrida 1'!$J$75,'Corrida 2'!$J$75,'Corrida 3'!$J$75,'Corrida 4'!$J$75))</f>
        <v>4982.88077364706</v>
      </c>
      <c r="G27" s="117">
        <f>IF(B27="","",E27+F27)</f>
        <v>36125.8856089412</v>
      </c>
      <c r="H27" s="117">
        <f>IF(B27="","",H26+G27)</f>
        <v>681830.805743059</v>
      </c>
    </row>
    <row r="28">
      <c r="B28" s="115">
        <f>IF(CHOOSE(inp_EscTabla,'Corrida 1'!$B$76,'Corrida 2'!$B$76,'Corrida 3'!$B$76,'Corrida 4'!$B$76)="","",17)</f>
        <v>17</v>
      </c>
      <c r="C28" s="116">
        <f>IF(B28="","",CHOOSE(inp_EscTabla,'Corrida 1'!$D$76,'Corrida 2'!$D$76,'Corrida 3'!$D$76,'Corrida 4'!$D$76))</f>
        <v>46818.0</v>
      </c>
      <c r="D28" s="115" t="str">
        <f>IF(B28="","",IF(CHOOSE(inp_EscTabla,'Corrida 1'!$B$76,'Corrida 2'!$B$76,'Corrida 3'!$B$76,'Corrida 4'!$B$76)="Básico","Renta mensual",IF(CHOOSE(inp_EscTabla,'Corrida 1'!$B$76,'Corrida 2'!$B$76,'Corrida 3'!$B$76,'Corrida 4'!$B$76)="Sucesivo","Renta plazo sucesivo","Opción de compra")))</f>
        <v>Renta mensual</v>
      </c>
      <c r="E28" s="117">
        <f>IF(B28="","",CHOOSE(inp_EscTabla,'Corrida 1'!$F$76,'Corrida 2'!$F$76,'Corrida 3'!$F$76,'Corrida 4'!$F$76))</f>
        <v>31143.0048352941</v>
      </c>
      <c r="F28" s="117">
        <f>IF(B28="","",CHOOSE(inp_EscTabla,'Corrida 1'!$J$76,'Corrida 2'!$J$76,'Corrida 3'!$J$76,'Corrida 4'!$J$76))</f>
        <v>4982.88077364706</v>
      </c>
      <c r="G28" s="117">
        <f>IF(B28="","",E28+F28)</f>
        <v>36125.8856089412</v>
      </c>
      <c r="H28" s="117">
        <f>IF(B28="","",H27+G28)</f>
        <v>717956.691352</v>
      </c>
    </row>
    <row r="29">
      <c r="B29" s="115">
        <f>IF(CHOOSE(inp_EscTabla,'Corrida 1'!$B$77,'Corrida 2'!$B$77,'Corrida 3'!$B$77,'Corrida 4'!$B$77)="","",18)</f>
        <v>18</v>
      </c>
      <c r="C29" s="116">
        <f>IF(B29="","",CHOOSE(inp_EscTabla,'Corrida 1'!$D$77,'Corrida 2'!$D$77,'Corrida 3'!$D$77,'Corrida 4'!$D$77))</f>
        <v>46849.0</v>
      </c>
      <c r="D29" s="115" t="str">
        <f>IF(B29="","",IF(CHOOSE(inp_EscTabla,'Corrida 1'!$B$77,'Corrida 2'!$B$77,'Corrida 3'!$B$77,'Corrida 4'!$B$77)="Básico","Renta mensual",IF(CHOOSE(inp_EscTabla,'Corrida 1'!$B$77,'Corrida 2'!$B$77,'Corrida 3'!$B$77,'Corrida 4'!$B$77)="Sucesivo","Renta plazo sucesivo","Opción de compra")))</f>
        <v>Renta mensual</v>
      </c>
      <c r="E29" s="117">
        <f>IF(B29="","",CHOOSE(inp_EscTabla,'Corrida 1'!$F$77,'Corrida 2'!$F$77,'Corrida 3'!$F$77,'Corrida 4'!$F$77))</f>
        <v>31143.0048352941</v>
      </c>
      <c r="F29" s="117">
        <f>IF(B29="","",CHOOSE(inp_EscTabla,'Corrida 1'!$J$77,'Corrida 2'!$J$77,'Corrida 3'!$J$77,'Corrida 4'!$J$77))</f>
        <v>4982.88077364706</v>
      </c>
      <c r="G29" s="117">
        <f>IF(B29="","",E29+F29)</f>
        <v>36125.8856089412</v>
      </c>
      <c r="H29" s="117">
        <f>IF(B29="","",H28+G29)</f>
        <v>754082.576960941</v>
      </c>
    </row>
    <row r="30">
      <c r="B30" s="115">
        <f>IF(CHOOSE(inp_EscTabla,'Corrida 1'!$B$78,'Corrida 2'!$B$78,'Corrida 3'!$B$78,'Corrida 4'!$B$78)="","",19)</f>
        <v>19</v>
      </c>
      <c r="C30" s="116">
        <f>IF(B30="","",CHOOSE(inp_EscTabla,'Corrida 1'!$D$78,'Corrida 2'!$D$78,'Corrida 3'!$D$78,'Corrida 4'!$D$78))</f>
        <v>46879.0</v>
      </c>
      <c r="D30" s="115" t="str">
        <f>IF(B30="","",IF(CHOOSE(inp_EscTabla,'Corrida 1'!$B$78,'Corrida 2'!$B$78,'Corrida 3'!$B$78,'Corrida 4'!$B$78)="Básico","Renta mensual",IF(CHOOSE(inp_EscTabla,'Corrida 1'!$B$78,'Corrida 2'!$B$78,'Corrida 3'!$B$78,'Corrida 4'!$B$78)="Sucesivo","Renta plazo sucesivo","Opción de compra")))</f>
        <v>Renta mensual</v>
      </c>
      <c r="E30" s="117">
        <f>IF(B30="","",CHOOSE(inp_EscTabla,'Corrida 1'!$F$78,'Corrida 2'!$F$78,'Corrida 3'!$F$78,'Corrida 4'!$F$78))</f>
        <v>31143.0048352941</v>
      </c>
      <c r="F30" s="117">
        <f>IF(B30="","",CHOOSE(inp_EscTabla,'Corrida 1'!$J$78,'Corrida 2'!$J$78,'Corrida 3'!$J$78,'Corrida 4'!$J$78))</f>
        <v>4982.88077364706</v>
      </c>
      <c r="G30" s="117">
        <f>IF(B30="","",E30+F30)</f>
        <v>36125.8856089412</v>
      </c>
      <c r="H30" s="117">
        <f>IF(B30="","",H29+G30)</f>
        <v>790208.462569883</v>
      </c>
    </row>
    <row r="31">
      <c r="B31" s="115">
        <f>IF(CHOOSE(inp_EscTabla,'Corrida 1'!$B$79,'Corrida 2'!$B$79,'Corrida 3'!$B$79,'Corrida 4'!$B$79)="","",20)</f>
        <v>20</v>
      </c>
      <c r="C31" s="116">
        <f>IF(B31="","",CHOOSE(inp_EscTabla,'Corrida 1'!$D$79,'Corrida 2'!$D$79,'Corrida 3'!$D$79,'Corrida 4'!$D$79))</f>
        <v>46910.0</v>
      </c>
      <c r="D31" s="115" t="str">
        <f>IF(B31="","",IF(CHOOSE(inp_EscTabla,'Corrida 1'!$B$79,'Corrida 2'!$B$79,'Corrida 3'!$B$79,'Corrida 4'!$B$79)="Básico","Renta mensual",IF(CHOOSE(inp_EscTabla,'Corrida 1'!$B$79,'Corrida 2'!$B$79,'Corrida 3'!$B$79,'Corrida 4'!$B$79)="Sucesivo","Renta plazo sucesivo","Opción de compra")))</f>
        <v>Renta mensual</v>
      </c>
      <c r="E31" s="117">
        <f>IF(B31="","",CHOOSE(inp_EscTabla,'Corrida 1'!$F$79,'Corrida 2'!$F$79,'Corrida 3'!$F$79,'Corrida 4'!$F$79))</f>
        <v>31143.0048352941</v>
      </c>
      <c r="F31" s="117">
        <f>IF(B31="","",CHOOSE(inp_EscTabla,'Corrida 1'!$J$79,'Corrida 2'!$J$79,'Corrida 3'!$J$79,'Corrida 4'!$J$79))</f>
        <v>4982.88077364706</v>
      </c>
      <c r="G31" s="117">
        <f>IF(B31="","",E31+F31)</f>
        <v>36125.8856089412</v>
      </c>
      <c r="H31" s="117">
        <f>IF(B31="","",H30+G31)</f>
        <v>826334.348178824</v>
      </c>
    </row>
    <row r="32">
      <c r="B32" s="115">
        <f>IF(CHOOSE(inp_EscTabla,'Corrida 1'!$B$80,'Corrida 2'!$B$80,'Corrida 3'!$B$80,'Corrida 4'!$B$80)="","",21)</f>
        <v>21</v>
      </c>
      <c r="C32" s="116">
        <f>IF(B32="","",CHOOSE(inp_EscTabla,'Corrida 1'!$D$80,'Corrida 2'!$D$80,'Corrida 3'!$D$80,'Corrida 4'!$D$80))</f>
        <v>46940.0</v>
      </c>
      <c r="D32" s="115" t="str">
        <f>IF(B32="","",IF(CHOOSE(inp_EscTabla,'Corrida 1'!$B$80,'Corrida 2'!$B$80,'Corrida 3'!$B$80,'Corrida 4'!$B$80)="Básico","Renta mensual",IF(CHOOSE(inp_EscTabla,'Corrida 1'!$B$80,'Corrida 2'!$B$80,'Corrida 3'!$B$80,'Corrida 4'!$B$80)="Sucesivo","Renta plazo sucesivo","Opción de compra")))</f>
        <v>Renta mensual</v>
      </c>
      <c r="E32" s="117">
        <f>IF(B32="","",CHOOSE(inp_EscTabla,'Corrida 1'!$F$80,'Corrida 2'!$F$80,'Corrida 3'!$F$80,'Corrida 4'!$F$80))</f>
        <v>31143.0048352941</v>
      </c>
      <c r="F32" s="117">
        <f>IF(B32="","",CHOOSE(inp_EscTabla,'Corrida 1'!$J$80,'Corrida 2'!$J$80,'Corrida 3'!$J$80,'Corrida 4'!$J$80))</f>
        <v>4982.88077364706</v>
      </c>
      <c r="G32" s="117">
        <f>IF(B32="","",E32+F32)</f>
        <v>36125.8856089412</v>
      </c>
      <c r="H32" s="117">
        <f>IF(B32="","",H31+G32)</f>
        <v>862460.233787765</v>
      </c>
    </row>
    <row r="33">
      <c r="B33" s="115">
        <f>IF(CHOOSE(inp_EscTabla,'Corrida 1'!$B$81,'Corrida 2'!$B$81,'Corrida 3'!$B$81,'Corrida 4'!$B$81)="","",22)</f>
        <v>22</v>
      </c>
      <c r="C33" s="116">
        <f>IF(B33="","",CHOOSE(inp_EscTabla,'Corrida 1'!$D$81,'Corrida 2'!$D$81,'Corrida 3'!$D$81,'Corrida 4'!$D$81))</f>
        <v>46971.0</v>
      </c>
      <c r="D33" s="115" t="str">
        <f>IF(B33="","",IF(CHOOSE(inp_EscTabla,'Corrida 1'!$B$81,'Corrida 2'!$B$81,'Corrida 3'!$B$81,'Corrida 4'!$B$81)="Básico","Renta mensual",IF(CHOOSE(inp_EscTabla,'Corrida 1'!$B$81,'Corrida 2'!$B$81,'Corrida 3'!$B$81,'Corrida 4'!$B$81)="Sucesivo","Renta plazo sucesivo","Opción de compra")))</f>
        <v>Renta mensual</v>
      </c>
      <c r="E33" s="117">
        <f>IF(B33="","",CHOOSE(inp_EscTabla,'Corrida 1'!$F$81,'Corrida 2'!$F$81,'Corrida 3'!$F$81,'Corrida 4'!$F$81))</f>
        <v>31143.0048352941</v>
      </c>
      <c r="F33" s="117">
        <f>IF(B33="","",CHOOSE(inp_EscTabla,'Corrida 1'!$J$81,'Corrida 2'!$J$81,'Corrida 3'!$J$81,'Corrida 4'!$J$81))</f>
        <v>4982.88077364706</v>
      </c>
      <c r="G33" s="117">
        <f>IF(B33="","",E33+F33)</f>
        <v>36125.8856089412</v>
      </c>
      <c r="H33" s="117">
        <f>IF(B33="","",H32+G33)</f>
        <v>898586.119396706</v>
      </c>
    </row>
    <row r="34">
      <c r="B34" s="115">
        <f>IF(CHOOSE(inp_EscTabla,'Corrida 1'!$B$82,'Corrida 2'!$B$82,'Corrida 3'!$B$82,'Corrida 4'!$B$82)="","",23)</f>
        <v>23</v>
      </c>
      <c r="C34" s="116">
        <f>IF(B34="","",CHOOSE(inp_EscTabla,'Corrida 1'!$D$82,'Corrida 2'!$D$82,'Corrida 3'!$D$82,'Corrida 4'!$D$82))</f>
        <v>47002.0</v>
      </c>
      <c r="D34" s="115" t="str">
        <f>IF(B34="","",IF(CHOOSE(inp_EscTabla,'Corrida 1'!$B$82,'Corrida 2'!$B$82,'Corrida 3'!$B$82,'Corrida 4'!$B$82)="Básico","Renta mensual",IF(CHOOSE(inp_EscTabla,'Corrida 1'!$B$82,'Corrida 2'!$B$82,'Corrida 3'!$B$82,'Corrida 4'!$B$82)="Sucesivo","Renta plazo sucesivo","Opción de compra")))</f>
        <v>Renta mensual</v>
      </c>
      <c r="E34" s="117">
        <f>IF(B34="","",CHOOSE(inp_EscTabla,'Corrida 1'!$F$82,'Corrida 2'!$F$82,'Corrida 3'!$F$82,'Corrida 4'!$F$82))</f>
        <v>31143.0048352941</v>
      </c>
      <c r="F34" s="117">
        <f>IF(B34="","",CHOOSE(inp_EscTabla,'Corrida 1'!$J$82,'Corrida 2'!$J$82,'Corrida 3'!$J$82,'Corrida 4'!$J$82))</f>
        <v>4982.88077364706</v>
      </c>
      <c r="G34" s="117">
        <f>IF(B34="","",E34+F34)</f>
        <v>36125.8856089412</v>
      </c>
      <c r="H34" s="117">
        <f>IF(B34="","",H33+G34)</f>
        <v>934712.005005647</v>
      </c>
    </row>
    <row r="35">
      <c r="B35" s="115">
        <f>IF(CHOOSE(inp_EscTabla,'Corrida 1'!$B$83,'Corrida 2'!$B$83,'Corrida 3'!$B$83,'Corrida 4'!$B$83)="","",24)</f>
        <v>24</v>
      </c>
      <c r="C35" s="116">
        <f>IF(B35="","",CHOOSE(inp_EscTabla,'Corrida 1'!$D$83,'Corrida 2'!$D$83,'Corrida 3'!$D$83,'Corrida 4'!$D$83))</f>
        <v>47032.0</v>
      </c>
      <c r="D35" s="115" t="str">
        <f>IF(B35="","",IF(CHOOSE(inp_EscTabla,'Corrida 1'!$B$83,'Corrida 2'!$B$83,'Corrida 3'!$B$83,'Corrida 4'!$B$83)="Básico","Renta mensual",IF(CHOOSE(inp_EscTabla,'Corrida 1'!$B$83,'Corrida 2'!$B$83,'Corrida 3'!$B$83,'Corrida 4'!$B$83)="Sucesivo","Renta plazo sucesivo","Opción de compra")))</f>
        <v>Renta mensual</v>
      </c>
      <c r="E35" s="117">
        <f>IF(B35="","",CHOOSE(inp_EscTabla,'Corrida 1'!$F$83,'Corrida 2'!$F$83,'Corrida 3'!$F$83,'Corrida 4'!$F$83))</f>
        <v>31143.0048352941</v>
      </c>
      <c r="F35" s="117">
        <f>IF(B35="","",CHOOSE(inp_EscTabla,'Corrida 1'!$J$83,'Corrida 2'!$J$83,'Corrida 3'!$J$83,'Corrida 4'!$J$83))</f>
        <v>4982.88077364706</v>
      </c>
      <c r="G35" s="117">
        <f>IF(B35="","",E35+F35)</f>
        <v>36125.8856089412</v>
      </c>
      <c r="H35" s="117">
        <f>IF(B35="","",H34+G35)</f>
        <v>970837.890614589</v>
      </c>
    </row>
    <row r="36">
      <c r="B36" s="115">
        <f>IF(CHOOSE(inp_EscTabla,'Corrida 1'!$B$84,'Corrida 2'!$B$84,'Corrida 3'!$B$84,'Corrida 4'!$B$84)="","",25)</f>
        <v>25</v>
      </c>
      <c r="C36" s="116">
        <f>IF(B36="","",CHOOSE(inp_EscTabla,'Corrida 1'!$D$84,'Corrida 2'!$D$84,'Corrida 3'!$D$84,'Corrida 4'!$D$84))</f>
        <v>47032.0</v>
      </c>
      <c r="D36" s="115" t="str">
        <f>IF(B36="","",IF(CHOOSE(inp_EscTabla,'Corrida 1'!$B$84,'Corrida 2'!$B$84,'Corrida 3'!$B$84,'Corrida 4'!$B$84)="Básico","Renta mensual",IF(CHOOSE(inp_EscTabla,'Corrida 1'!$B$84,'Corrida 2'!$B$84,'Corrida 3'!$B$84,'Corrida 4'!$B$84)="Sucesivo","Renta plazo sucesivo","Opción de compra")))</f>
        <v>Opción de compra</v>
      </c>
      <c r="E36" s="117">
        <f>IF(B36="","",CHOOSE(inp_EscTabla,'Corrida 1'!$F$84,'Corrida 2'!$F$84,'Corrida 3'!$F$84,'Corrida 4'!$F$84))</f>
        <v>151690</v>
      </c>
      <c r="F36" s="117">
        <f>IF(B36="","",CHOOSE(inp_EscTabla,'Corrida 1'!$J$84,'Corrida 2'!$J$84,'Corrida 3'!$J$84,'Corrida 4'!$J$84))</f>
        <v>24270.4</v>
      </c>
      <c r="G36" s="117">
        <f>IF(B36="","",E36+F36)</f>
        <v>175960.4</v>
      </c>
      <c r="H36" s="117">
        <f>IF(B36="","",H35+G36)</f>
        <v>1146798.29061459</v>
      </c>
    </row>
    <row r="37">
      <c r="B37" s="115" t="str">
        <f>IF(CHOOSE(inp_EscTabla,'Corrida 1'!$B$85,'Corrida 2'!$B$85,'Corrida 3'!$B$85,'Corrida 4'!$B$85)="","",26)</f>
        <v/>
      </c>
      <c r="C37" s="116" t="str">
        <f>IF(B37="","",CHOOSE(inp_EscTabla,'Corrida 1'!$D$85,'Corrida 2'!$D$85,'Corrida 3'!$D$85,'Corrida 4'!$D$85))</f>
        <v/>
      </c>
      <c r="D37" s="115" t="str">
        <f>IF(B37="","",IF(CHOOSE(inp_EscTabla,'Corrida 1'!$B$85,'Corrida 2'!$B$85,'Corrida 3'!$B$85,'Corrida 4'!$B$85)="Básico","Renta mensual",IF(CHOOSE(inp_EscTabla,'Corrida 1'!$B$85,'Corrida 2'!$B$85,'Corrida 3'!$B$85,'Corrida 4'!$B$85)="Sucesivo","Renta plazo sucesivo","Opción de compra")))</f>
        <v/>
      </c>
      <c r="E37" s="117" t="str">
        <f>IF(B37="","",CHOOSE(inp_EscTabla,'Corrida 1'!$F$85,'Corrida 2'!$F$85,'Corrida 3'!$F$85,'Corrida 4'!$F$85))</f>
        <v/>
      </c>
      <c r="F37" s="117" t="str">
        <f>IF(B37="","",CHOOSE(inp_EscTabla,'Corrida 1'!$J$85,'Corrida 2'!$J$85,'Corrida 3'!$J$85,'Corrida 4'!$J$85))</f>
        <v/>
      </c>
      <c r="G37" s="117" t="str">
        <f>IF(B37="","",E37+F37)</f>
        <v/>
      </c>
      <c r="H37" s="117" t="str">
        <f>IF(B37="","",H36+G37)</f>
        <v/>
      </c>
    </row>
    <row r="38">
      <c r="B38" s="115" t="str">
        <f>IF(CHOOSE(inp_EscTabla,'Corrida 1'!$B$86,'Corrida 2'!$B$86,'Corrida 3'!$B$86,'Corrida 4'!$B$86)="","",27)</f>
        <v/>
      </c>
      <c r="C38" s="116" t="str">
        <f>IF(B38="","",CHOOSE(inp_EscTabla,'Corrida 1'!$D$86,'Corrida 2'!$D$86,'Corrida 3'!$D$86,'Corrida 4'!$D$86))</f>
        <v/>
      </c>
      <c r="D38" s="115" t="str">
        <f>IF(B38="","",IF(CHOOSE(inp_EscTabla,'Corrida 1'!$B$86,'Corrida 2'!$B$86,'Corrida 3'!$B$86,'Corrida 4'!$B$86)="Básico","Renta mensual",IF(CHOOSE(inp_EscTabla,'Corrida 1'!$B$86,'Corrida 2'!$B$86,'Corrida 3'!$B$86,'Corrida 4'!$B$86)="Sucesivo","Renta plazo sucesivo","Opción de compra")))</f>
        <v/>
      </c>
      <c r="E38" s="117" t="str">
        <f>IF(B38="","",CHOOSE(inp_EscTabla,'Corrida 1'!$F$86,'Corrida 2'!$F$86,'Corrida 3'!$F$86,'Corrida 4'!$F$86))</f>
        <v/>
      </c>
      <c r="F38" s="117" t="str">
        <f>IF(B38="","",CHOOSE(inp_EscTabla,'Corrida 1'!$J$86,'Corrida 2'!$J$86,'Corrida 3'!$J$86,'Corrida 4'!$J$86))</f>
        <v/>
      </c>
      <c r="G38" s="117" t="str">
        <f>IF(B38="","",E38+F38)</f>
        <v/>
      </c>
      <c r="H38" s="117" t="str">
        <f>IF(B38="","",H37+G38)</f>
        <v/>
      </c>
    </row>
    <row r="39">
      <c r="B39" s="115" t="str">
        <f>IF(CHOOSE(inp_EscTabla,'Corrida 1'!$B$87,'Corrida 2'!$B$87,'Corrida 3'!$B$87,'Corrida 4'!$B$87)="","",28)</f>
        <v/>
      </c>
      <c r="C39" s="116" t="str">
        <f>IF(B39="","",CHOOSE(inp_EscTabla,'Corrida 1'!$D$87,'Corrida 2'!$D$87,'Corrida 3'!$D$87,'Corrida 4'!$D$87))</f>
        <v/>
      </c>
      <c r="D39" s="115" t="str">
        <f>IF(B39="","",IF(CHOOSE(inp_EscTabla,'Corrida 1'!$B$87,'Corrida 2'!$B$87,'Corrida 3'!$B$87,'Corrida 4'!$B$87)="Básico","Renta mensual",IF(CHOOSE(inp_EscTabla,'Corrida 1'!$B$87,'Corrida 2'!$B$87,'Corrida 3'!$B$87,'Corrida 4'!$B$87)="Sucesivo","Renta plazo sucesivo","Opción de compra")))</f>
        <v/>
      </c>
      <c r="E39" s="117" t="str">
        <f>IF(B39="","",CHOOSE(inp_EscTabla,'Corrida 1'!$F$87,'Corrida 2'!$F$87,'Corrida 3'!$F$87,'Corrida 4'!$F$87))</f>
        <v/>
      </c>
      <c r="F39" s="117" t="str">
        <f>IF(B39="","",CHOOSE(inp_EscTabla,'Corrida 1'!$J$87,'Corrida 2'!$J$87,'Corrida 3'!$J$87,'Corrida 4'!$J$87))</f>
        <v/>
      </c>
      <c r="G39" s="117" t="str">
        <f>IF(B39="","",E39+F39)</f>
        <v/>
      </c>
      <c r="H39" s="117" t="str">
        <f>IF(B39="","",H38+G39)</f>
        <v/>
      </c>
    </row>
    <row r="40">
      <c r="B40" s="115" t="str">
        <f>IF(CHOOSE(inp_EscTabla,'Corrida 1'!$B$88,'Corrida 2'!$B$88,'Corrida 3'!$B$88,'Corrida 4'!$B$88)="","",29)</f>
        <v/>
      </c>
      <c r="C40" s="116" t="str">
        <f>IF(B40="","",CHOOSE(inp_EscTabla,'Corrida 1'!$D$88,'Corrida 2'!$D$88,'Corrida 3'!$D$88,'Corrida 4'!$D$88))</f>
        <v/>
      </c>
      <c r="D40" s="115" t="str">
        <f>IF(B40="","",IF(CHOOSE(inp_EscTabla,'Corrida 1'!$B$88,'Corrida 2'!$B$88,'Corrida 3'!$B$88,'Corrida 4'!$B$88)="Básico","Renta mensual",IF(CHOOSE(inp_EscTabla,'Corrida 1'!$B$88,'Corrida 2'!$B$88,'Corrida 3'!$B$88,'Corrida 4'!$B$88)="Sucesivo","Renta plazo sucesivo","Opción de compra")))</f>
        <v/>
      </c>
      <c r="E40" s="117" t="str">
        <f>IF(B40="","",CHOOSE(inp_EscTabla,'Corrida 1'!$F$88,'Corrida 2'!$F$88,'Corrida 3'!$F$88,'Corrida 4'!$F$88))</f>
        <v/>
      </c>
      <c r="F40" s="117" t="str">
        <f>IF(B40="","",CHOOSE(inp_EscTabla,'Corrida 1'!$J$88,'Corrida 2'!$J$88,'Corrida 3'!$J$88,'Corrida 4'!$J$88))</f>
        <v/>
      </c>
      <c r="G40" s="117" t="str">
        <f>IF(B40="","",E40+F40)</f>
        <v/>
      </c>
      <c r="H40" s="117" t="str">
        <f>IF(B40="","",H39+G40)</f>
        <v/>
      </c>
    </row>
    <row r="41">
      <c r="B41" s="115" t="str">
        <f>IF(CHOOSE(inp_EscTabla,'Corrida 1'!$B$89,'Corrida 2'!$B$89,'Corrida 3'!$B$89,'Corrida 4'!$B$89)="","",30)</f>
        <v/>
      </c>
      <c r="C41" s="116" t="str">
        <f>IF(B41="","",CHOOSE(inp_EscTabla,'Corrida 1'!$D$89,'Corrida 2'!$D$89,'Corrida 3'!$D$89,'Corrida 4'!$D$89))</f>
        <v/>
      </c>
      <c r="D41" s="115" t="str">
        <f>IF(B41="","",IF(CHOOSE(inp_EscTabla,'Corrida 1'!$B$89,'Corrida 2'!$B$89,'Corrida 3'!$B$89,'Corrida 4'!$B$89)="Básico","Renta mensual",IF(CHOOSE(inp_EscTabla,'Corrida 1'!$B$89,'Corrida 2'!$B$89,'Corrida 3'!$B$89,'Corrida 4'!$B$89)="Sucesivo","Renta plazo sucesivo","Opción de compra")))</f>
        <v/>
      </c>
      <c r="E41" s="117" t="str">
        <f>IF(B41="","",CHOOSE(inp_EscTabla,'Corrida 1'!$F$89,'Corrida 2'!$F$89,'Corrida 3'!$F$89,'Corrida 4'!$F$89))</f>
        <v/>
      </c>
      <c r="F41" s="117" t="str">
        <f>IF(B41="","",CHOOSE(inp_EscTabla,'Corrida 1'!$J$89,'Corrida 2'!$J$89,'Corrida 3'!$J$89,'Corrida 4'!$J$89))</f>
        <v/>
      </c>
      <c r="G41" s="117" t="str">
        <f>IF(B41="","",E41+F41)</f>
        <v/>
      </c>
      <c r="H41" s="117" t="str">
        <f>IF(B41="","",H40+G41)</f>
        <v/>
      </c>
    </row>
    <row r="42">
      <c r="B42" s="115" t="str">
        <f>IF(CHOOSE(inp_EscTabla,'Corrida 1'!$B$90,'Corrida 2'!$B$90,'Corrida 3'!$B$90,'Corrida 4'!$B$90)="","",31)</f>
        <v/>
      </c>
      <c r="C42" s="116" t="str">
        <f>IF(B42="","",CHOOSE(inp_EscTabla,'Corrida 1'!$D$90,'Corrida 2'!$D$90,'Corrida 3'!$D$90,'Corrida 4'!$D$90))</f>
        <v/>
      </c>
      <c r="D42" s="115" t="str">
        <f>IF(B42="","",IF(CHOOSE(inp_EscTabla,'Corrida 1'!$B$90,'Corrida 2'!$B$90,'Corrida 3'!$B$90,'Corrida 4'!$B$90)="Básico","Renta mensual",IF(CHOOSE(inp_EscTabla,'Corrida 1'!$B$90,'Corrida 2'!$B$90,'Corrida 3'!$B$90,'Corrida 4'!$B$90)="Sucesivo","Renta plazo sucesivo","Opción de compra")))</f>
        <v/>
      </c>
      <c r="E42" s="117" t="str">
        <f>IF(B42="","",CHOOSE(inp_EscTabla,'Corrida 1'!$F$90,'Corrida 2'!$F$90,'Corrida 3'!$F$90,'Corrida 4'!$F$90))</f>
        <v/>
      </c>
      <c r="F42" s="117" t="str">
        <f>IF(B42="","",CHOOSE(inp_EscTabla,'Corrida 1'!$J$90,'Corrida 2'!$J$90,'Corrida 3'!$J$90,'Corrida 4'!$J$90))</f>
        <v/>
      </c>
      <c r="G42" s="117" t="str">
        <f>IF(B42="","",E42+F42)</f>
        <v/>
      </c>
      <c r="H42" s="117" t="str">
        <f>IF(B42="","",H41+G42)</f>
        <v/>
      </c>
    </row>
    <row r="43">
      <c r="B43" s="115" t="str">
        <f>IF(CHOOSE(inp_EscTabla,'Corrida 1'!$B$91,'Corrida 2'!$B$91,'Corrida 3'!$B$91,'Corrida 4'!$B$91)="","",32)</f>
        <v/>
      </c>
      <c r="C43" s="116" t="str">
        <f>IF(B43="","",CHOOSE(inp_EscTabla,'Corrida 1'!$D$91,'Corrida 2'!$D$91,'Corrida 3'!$D$91,'Corrida 4'!$D$91))</f>
        <v/>
      </c>
      <c r="D43" s="115" t="str">
        <f>IF(B43="","",IF(CHOOSE(inp_EscTabla,'Corrida 1'!$B$91,'Corrida 2'!$B$91,'Corrida 3'!$B$91,'Corrida 4'!$B$91)="Básico","Renta mensual",IF(CHOOSE(inp_EscTabla,'Corrida 1'!$B$91,'Corrida 2'!$B$91,'Corrida 3'!$B$91,'Corrida 4'!$B$91)="Sucesivo","Renta plazo sucesivo","Opción de compra")))</f>
        <v/>
      </c>
      <c r="E43" s="117" t="str">
        <f>IF(B43="","",CHOOSE(inp_EscTabla,'Corrida 1'!$F$91,'Corrida 2'!$F$91,'Corrida 3'!$F$91,'Corrida 4'!$F$91))</f>
        <v/>
      </c>
      <c r="F43" s="117" t="str">
        <f>IF(B43="","",CHOOSE(inp_EscTabla,'Corrida 1'!$J$91,'Corrida 2'!$J$91,'Corrida 3'!$J$91,'Corrida 4'!$J$91))</f>
        <v/>
      </c>
      <c r="G43" s="117" t="str">
        <f>IF(B43="","",E43+F43)</f>
        <v/>
      </c>
      <c r="H43" s="117" t="str">
        <f>IF(B43="","",H42+G43)</f>
        <v/>
      </c>
    </row>
    <row r="44">
      <c r="B44" s="115" t="str">
        <f>IF(CHOOSE(inp_EscTabla,'Corrida 1'!$B$92,'Corrida 2'!$B$92,'Corrida 3'!$B$92,'Corrida 4'!$B$92)="","",33)</f>
        <v/>
      </c>
      <c r="C44" s="116" t="str">
        <f>IF(B44="","",CHOOSE(inp_EscTabla,'Corrida 1'!$D$92,'Corrida 2'!$D$92,'Corrida 3'!$D$92,'Corrida 4'!$D$92))</f>
        <v/>
      </c>
      <c r="D44" s="115" t="str">
        <f>IF(B44="","",IF(CHOOSE(inp_EscTabla,'Corrida 1'!$B$92,'Corrida 2'!$B$92,'Corrida 3'!$B$92,'Corrida 4'!$B$92)="Básico","Renta mensual",IF(CHOOSE(inp_EscTabla,'Corrida 1'!$B$92,'Corrida 2'!$B$92,'Corrida 3'!$B$92,'Corrida 4'!$B$92)="Sucesivo","Renta plazo sucesivo","Opción de compra")))</f>
        <v/>
      </c>
      <c r="E44" s="117" t="str">
        <f>IF(B44="","",CHOOSE(inp_EscTabla,'Corrida 1'!$F$92,'Corrida 2'!$F$92,'Corrida 3'!$F$92,'Corrida 4'!$F$92))</f>
        <v/>
      </c>
      <c r="F44" s="117" t="str">
        <f>IF(B44="","",CHOOSE(inp_EscTabla,'Corrida 1'!$J$92,'Corrida 2'!$J$92,'Corrida 3'!$J$92,'Corrida 4'!$J$92))</f>
        <v/>
      </c>
      <c r="G44" s="117" t="str">
        <f>IF(B44="","",E44+F44)</f>
        <v/>
      </c>
      <c r="H44" s="117" t="str">
        <f>IF(B44="","",H43+G44)</f>
        <v/>
      </c>
    </row>
    <row r="45">
      <c r="B45" s="115" t="str">
        <f>IF(CHOOSE(inp_EscTabla,'Corrida 1'!$B$93,'Corrida 2'!$B$93,'Corrida 3'!$B$93,'Corrida 4'!$B$93)="","",34)</f>
        <v/>
      </c>
      <c r="C45" s="116" t="str">
        <f>IF(B45="","",CHOOSE(inp_EscTabla,'Corrida 1'!$D$93,'Corrida 2'!$D$93,'Corrida 3'!$D$93,'Corrida 4'!$D$93))</f>
        <v/>
      </c>
      <c r="D45" s="115" t="str">
        <f>IF(B45="","",IF(CHOOSE(inp_EscTabla,'Corrida 1'!$B$93,'Corrida 2'!$B$93,'Corrida 3'!$B$93,'Corrida 4'!$B$93)="Básico","Renta mensual",IF(CHOOSE(inp_EscTabla,'Corrida 1'!$B$93,'Corrida 2'!$B$93,'Corrida 3'!$B$93,'Corrida 4'!$B$93)="Sucesivo","Renta plazo sucesivo","Opción de compra")))</f>
        <v/>
      </c>
      <c r="E45" s="117" t="str">
        <f>IF(B45="","",CHOOSE(inp_EscTabla,'Corrida 1'!$F$93,'Corrida 2'!$F$93,'Corrida 3'!$F$93,'Corrida 4'!$F$93))</f>
        <v/>
      </c>
      <c r="F45" s="117" t="str">
        <f>IF(B45="","",CHOOSE(inp_EscTabla,'Corrida 1'!$J$93,'Corrida 2'!$J$93,'Corrida 3'!$J$93,'Corrida 4'!$J$93))</f>
        <v/>
      </c>
      <c r="G45" s="117" t="str">
        <f>IF(B45="","",E45+F45)</f>
        <v/>
      </c>
      <c r="H45" s="117" t="str">
        <f>IF(B45="","",H44+G45)</f>
        <v/>
      </c>
    </row>
    <row r="46">
      <c r="B46" s="115" t="str">
        <f>IF(CHOOSE(inp_EscTabla,'Corrida 1'!$B$94,'Corrida 2'!$B$94,'Corrida 3'!$B$94,'Corrida 4'!$B$94)="","",35)</f>
        <v/>
      </c>
      <c r="C46" s="116" t="str">
        <f>IF(B46="","",CHOOSE(inp_EscTabla,'Corrida 1'!$D$94,'Corrida 2'!$D$94,'Corrida 3'!$D$94,'Corrida 4'!$D$94))</f>
        <v/>
      </c>
      <c r="D46" s="115" t="str">
        <f>IF(B46="","",IF(CHOOSE(inp_EscTabla,'Corrida 1'!$B$94,'Corrida 2'!$B$94,'Corrida 3'!$B$94,'Corrida 4'!$B$94)="Básico","Renta mensual",IF(CHOOSE(inp_EscTabla,'Corrida 1'!$B$94,'Corrida 2'!$B$94,'Corrida 3'!$B$94,'Corrida 4'!$B$94)="Sucesivo","Renta plazo sucesivo","Opción de compra")))</f>
        <v/>
      </c>
      <c r="E46" s="117" t="str">
        <f>IF(B46="","",CHOOSE(inp_EscTabla,'Corrida 1'!$F$94,'Corrida 2'!$F$94,'Corrida 3'!$F$94,'Corrida 4'!$F$94))</f>
        <v/>
      </c>
      <c r="F46" s="117" t="str">
        <f>IF(B46="","",CHOOSE(inp_EscTabla,'Corrida 1'!$J$94,'Corrida 2'!$J$94,'Corrida 3'!$J$94,'Corrida 4'!$J$94))</f>
        <v/>
      </c>
      <c r="G46" s="117" t="str">
        <f>IF(B46="","",E46+F46)</f>
        <v/>
      </c>
      <c r="H46" s="117" t="str">
        <f>IF(B46="","",H45+G46)</f>
        <v/>
      </c>
    </row>
    <row r="47">
      <c r="B47" s="115" t="str">
        <f>IF(CHOOSE(inp_EscTabla,'Corrida 1'!$B$95,'Corrida 2'!$B$95,'Corrida 3'!$B$95,'Corrida 4'!$B$95)="","",36)</f>
        <v/>
      </c>
      <c r="C47" s="116" t="str">
        <f>IF(B47="","",CHOOSE(inp_EscTabla,'Corrida 1'!$D$95,'Corrida 2'!$D$95,'Corrida 3'!$D$95,'Corrida 4'!$D$95))</f>
        <v/>
      </c>
      <c r="D47" s="115" t="str">
        <f>IF(B47="","",IF(CHOOSE(inp_EscTabla,'Corrida 1'!$B$95,'Corrida 2'!$B$95,'Corrida 3'!$B$95,'Corrida 4'!$B$95)="Básico","Renta mensual",IF(CHOOSE(inp_EscTabla,'Corrida 1'!$B$95,'Corrida 2'!$B$95,'Corrida 3'!$B$95,'Corrida 4'!$B$95)="Sucesivo","Renta plazo sucesivo","Opción de compra")))</f>
        <v/>
      </c>
      <c r="E47" s="117" t="str">
        <f>IF(B47="","",CHOOSE(inp_EscTabla,'Corrida 1'!$F$95,'Corrida 2'!$F$95,'Corrida 3'!$F$95,'Corrida 4'!$F$95))</f>
        <v/>
      </c>
      <c r="F47" s="117" t="str">
        <f>IF(B47="","",CHOOSE(inp_EscTabla,'Corrida 1'!$J$95,'Corrida 2'!$J$95,'Corrida 3'!$J$95,'Corrida 4'!$J$95))</f>
        <v/>
      </c>
      <c r="G47" s="117" t="str">
        <f>IF(B47="","",E47+F47)</f>
        <v/>
      </c>
      <c r="H47" s="117" t="str">
        <f>IF(B47="","",H46+G47)</f>
        <v/>
      </c>
    </row>
    <row r="48">
      <c r="B48" s="115" t="str">
        <f>IF(CHOOSE(inp_EscTabla,'Corrida 1'!$B$96,'Corrida 2'!$B$96,'Corrida 3'!$B$96,'Corrida 4'!$B$96)="","",37)</f>
        <v/>
      </c>
      <c r="C48" s="116" t="str">
        <f>IF(B48="","",CHOOSE(inp_EscTabla,'Corrida 1'!$D$96,'Corrida 2'!$D$96,'Corrida 3'!$D$96,'Corrida 4'!$D$96))</f>
        <v/>
      </c>
      <c r="D48" s="115" t="str">
        <f>IF(B48="","",IF(CHOOSE(inp_EscTabla,'Corrida 1'!$B$96,'Corrida 2'!$B$96,'Corrida 3'!$B$96,'Corrida 4'!$B$96)="Básico","Renta mensual",IF(CHOOSE(inp_EscTabla,'Corrida 1'!$B$96,'Corrida 2'!$B$96,'Corrida 3'!$B$96,'Corrida 4'!$B$96)="Sucesivo","Renta plazo sucesivo","Opción de compra")))</f>
        <v/>
      </c>
      <c r="E48" s="117" t="str">
        <f>IF(B48="","",CHOOSE(inp_EscTabla,'Corrida 1'!$F$96,'Corrida 2'!$F$96,'Corrida 3'!$F$96,'Corrida 4'!$F$96))</f>
        <v/>
      </c>
      <c r="F48" s="117" t="str">
        <f>IF(B48="","",CHOOSE(inp_EscTabla,'Corrida 1'!$J$96,'Corrida 2'!$J$96,'Corrida 3'!$J$96,'Corrida 4'!$J$96))</f>
        <v/>
      </c>
      <c r="G48" s="117" t="str">
        <f>IF(B48="","",E48+F48)</f>
        <v/>
      </c>
      <c r="H48" s="117" t="str">
        <f>IF(B48="","",H47+G48)</f>
        <v/>
      </c>
    </row>
    <row r="49">
      <c r="B49" s="115" t="str">
        <f>IF(CHOOSE(inp_EscTabla,'Corrida 1'!$B$97,'Corrida 2'!$B$97,'Corrida 3'!$B$97,'Corrida 4'!$B$97)="","",38)</f>
        <v/>
      </c>
      <c r="C49" s="116" t="str">
        <f>IF(B49="","",CHOOSE(inp_EscTabla,'Corrida 1'!$D$97,'Corrida 2'!$D$97,'Corrida 3'!$D$97,'Corrida 4'!$D$97))</f>
        <v/>
      </c>
      <c r="D49" s="115" t="str">
        <f>IF(B49="","",IF(CHOOSE(inp_EscTabla,'Corrida 1'!$B$97,'Corrida 2'!$B$97,'Corrida 3'!$B$97,'Corrida 4'!$B$97)="Básico","Renta mensual",IF(CHOOSE(inp_EscTabla,'Corrida 1'!$B$97,'Corrida 2'!$B$97,'Corrida 3'!$B$97,'Corrida 4'!$B$97)="Sucesivo","Renta plazo sucesivo","Opción de compra")))</f>
        <v/>
      </c>
      <c r="E49" s="117" t="str">
        <f>IF(B49="","",CHOOSE(inp_EscTabla,'Corrida 1'!$F$97,'Corrida 2'!$F$97,'Corrida 3'!$F$97,'Corrida 4'!$F$97))</f>
        <v/>
      </c>
      <c r="F49" s="117" t="str">
        <f>IF(B49="","",CHOOSE(inp_EscTabla,'Corrida 1'!$J$97,'Corrida 2'!$J$97,'Corrida 3'!$J$97,'Corrida 4'!$J$97))</f>
        <v/>
      </c>
      <c r="G49" s="117" t="str">
        <f>IF(B49="","",E49+F49)</f>
        <v/>
      </c>
      <c r="H49" s="117" t="str">
        <f>IF(B49="","",H48+G49)</f>
        <v/>
      </c>
    </row>
    <row r="50">
      <c r="B50" s="115" t="str">
        <f>IF(CHOOSE(inp_EscTabla,'Corrida 1'!$B$98,'Corrida 2'!$B$98,'Corrida 3'!$B$98,'Corrida 4'!$B$98)="","",39)</f>
        <v/>
      </c>
      <c r="C50" s="116" t="str">
        <f>IF(B50="","",CHOOSE(inp_EscTabla,'Corrida 1'!$D$98,'Corrida 2'!$D$98,'Corrida 3'!$D$98,'Corrida 4'!$D$98))</f>
        <v/>
      </c>
      <c r="D50" s="115" t="str">
        <f>IF(B50="","",IF(CHOOSE(inp_EscTabla,'Corrida 1'!$B$98,'Corrida 2'!$B$98,'Corrida 3'!$B$98,'Corrida 4'!$B$98)="Básico","Renta mensual",IF(CHOOSE(inp_EscTabla,'Corrida 1'!$B$98,'Corrida 2'!$B$98,'Corrida 3'!$B$98,'Corrida 4'!$B$98)="Sucesivo","Renta plazo sucesivo","Opción de compra")))</f>
        <v/>
      </c>
      <c r="E50" s="117" t="str">
        <f>IF(B50="","",CHOOSE(inp_EscTabla,'Corrida 1'!$F$98,'Corrida 2'!$F$98,'Corrida 3'!$F$98,'Corrida 4'!$F$98))</f>
        <v/>
      </c>
      <c r="F50" s="117" t="str">
        <f>IF(B50="","",CHOOSE(inp_EscTabla,'Corrida 1'!$J$98,'Corrida 2'!$J$98,'Corrida 3'!$J$98,'Corrida 4'!$J$98))</f>
        <v/>
      </c>
      <c r="G50" s="117" t="str">
        <f>IF(B50="","",E50+F50)</f>
        <v/>
      </c>
      <c r="H50" s="117" t="str">
        <f>IF(B50="","",H49+G50)</f>
        <v/>
      </c>
    </row>
    <row r="51">
      <c r="B51" s="115" t="str">
        <f>IF(CHOOSE(inp_EscTabla,'Corrida 1'!$B$99,'Corrida 2'!$B$99,'Corrida 3'!$B$99,'Corrida 4'!$B$99)="","",40)</f>
        <v/>
      </c>
      <c r="C51" s="116" t="str">
        <f>IF(B51="","",CHOOSE(inp_EscTabla,'Corrida 1'!$D$99,'Corrida 2'!$D$99,'Corrida 3'!$D$99,'Corrida 4'!$D$99))</f>
        <v/>
      </c>
      <c r="D51" s="115" t="str">
        <f>IF(B51="","",IF(CHOOSE(inp_EscTabla,'Corrida 1'!$B$99,'Corrida 2'!$B$99,'Corrida 3'!$B$99,'Corrida 4'!$B$99)="Básico","Renta mensual",IF(CHOOSE(inp_EscTabla,'Corrida 1'!$B$99,'Corrida 2'!$B$99,'Corrida 3'!$B$99,'Corrida 4'!$B$99)="Sucesivo","Renta plazo sucesivo","Opción de compra")))</f>
        <v/>
      </c>
      <c r="E51" s="117" t="str">
        <f>IF(B51="","",CHOOSE(inp_EscTabla,'Corrida 1'!$F$99,'Corrida 2'!$F$99,'Corrida 3'!$F$99,'Corrida 4'!$F$99))</f>
        <v/>
      </c>
      <c r="F51" s="117" t="str">
        <f>IF(B51="","",CHOOSE(inp_EscTabla,'Corrida 1'!$J$99,'Corrida 2'!$J$99,'Corrida 3'!$J$99,'Corrida 4'!$J$99))</f>
        <v/>
      </c>
      <c r="G51" s="117" t="str">
        <f>IF(B51="","",E51+F51)</f>
        <v/>
      </c>
      <c r="H51" s="117" t="str">
        <f>IF(B51="","",H50+G51)</f>
        <v/>
      </c>
    </row>
    <row r="52">
      <c r="B52" s="115" t="str">
        <f>IF(CHOOSE(inp_EscTabla,'Corrida 1'!$B$100,'Corrida 2'!$B$100,'Corrida 3'!$B$100,'Corrida 4'!$B$100)="","",41)</f>
        <v/>
      </c>
      <c r="C52" s="116" t="str">
        <f>IF(B52="","",CHOOSE(inp_EscTabla,'Corrida 1'!$D$100,'Corrida 2'!$D$100,'Corrida 3'!$D$100,'Corrida 4'!$D$100))</f>
        <v/>
      </c>
      <c r="D52" s="115" t="str">
        <f>IF(B52="","",IF(CHOOSE(inp_EscTabla,'Corrida 1'!$B$100,'Corrida 2'!$B$100,'Corrida 3'!$B$100,'Corrida 4'!$B$100)="Básico","Renta mensual",IF(CHOOSE(inp_EscTabla,'Corrida 1'!$B$100,'Corrida 2'!$B$100,'Corrida 3'!$B$100,'Corrida 4'!$B$100)="Sucesivo","Renta plazo sucesivo","Opción de compra")))</f>
        <v/>
      </c>
      <c r="E52" s="117" t="str">
        <f>IF(B52="","",CHOOSE(inp_EscTabla,'Corrida 1'!$F$100,'Corrida 2'!$F$100,'Corrida 3'!$F$100,'Corrida 4'!$F$100))</f>
        <v/>
      </c>
      <c r="F52" s="117" t="str">
        <f>IF(B52="","",CHOOSE(inp_EscTabla,'Corrida 1'!$J$100,'Corrida 2'!$J$100,'Corrida 3'!$J$100,'Corrida 4'!$J$100))</f>
        <v/>
      </c>
      <c r="G52" s="117" t="str">
        <f>IF(B52="","",E52+F52)</f>
        <v/>
      </c>
      <c r="H52" s="117" t="str">
        <f>IF(B52="","",H51+G52)</f>
        <v/>
      </c>
    </row>
    <row r="53">
      <c r="B53" s="115" t="str">
        <f>IF(CHOOSE(inp_EscTabla,'Corrida 1'!$B$101,'Corrida 2'!$B$101,'Corrida 3'!$B$101,'Corrida 4'!$B$101)="","",42)</f>
        <v/>
      </c>
      <c r="C53" s="116" t="str">
        <f>IF(B53="","",CHOOSE(inp_EscTabla,'Corrida 1'!$D$101,'Corrida 2'!$D$101,'Corrida 3'!$D$101,'Corrida 4'!$D$101))</f>
        <v/>
      </c>
      <c r="D53" s="115" t="str">
        <f>IF(B53="","",IF(CHOOSE(inp_EscTabla,'Corrida 1'!$B$101,'Corrida 2'!$B$101,'Corrida 3'!$B$101,'Corrida 4'!$B$101)="Básico","Renta mensual",IF(CHOOSE(inp_EscTabla,'Corrida 1'!$B$101,'Corrida 2'!$B$101,'Corrida 3'!$B$101,'Corrida 4'!$B$101)="Sucesivo","Renta plazo sucesivo","Opción de compra")))</f>
        <v/>
      </c>
      <c r="E53" s="117" t="str">
        <f>IF(B53="","",CHOOSE(inp_EscTabla,'Corrida 1'!$F$101,'Corrida 2'!$F$101,'Corrida 3'!$F$101,'Corrida 4'!$F$101))</f>
        <v/>
      </c>
      <c r="F53" s="117" t="str">
        <f>IF(B53="","",CHOOSE(inp_EscTabla,'Corrida 1'!$J$101,'Corrida 2'!$J$101,'Corrida 3'!$J$101,'Corrida 4'!$J$101))</f>
        <v/>
      </c>
      <c r="G53" s="117" t="str">
        <f>IF(B53="","",E53+F53)</f>
        <v/>
      </c>
      <c r="H53" s="117" t="str">
        <f>IF(B53="","",H52+G53)</f>
        <v/>
      </c>
    </row>
    <row r="54">
      <c r="B54" s="115" t="str">
        <f>IF(CHOOSE(inp_EscTabla,'Corrida 1'!$B$102,'Corrida 2'!$B$102,'Corrida 3'!$B$102,'Corrida 4'!$B$102)="","",43)</f>
        <v/>
      </c>
      <c r="C54" s="116" t="str">
        <f>IF(B54="","",CHOOSE(inp_EscTabla,'Corrida 1'!$D$102,'Corrida 2'!$D$102,'Corrida 3'!$D$102,'Corrida 4'!$D$102))</f>
        <v/>
      </c>
      <c r="D54" s="115" t="str">
        <f>IF(B54="","",IF(CHOOSE(inp_EscTabla,'Corrida 1'!$B$102,'Corrida 2'!$B$102,'Corrida 3'!$B$102,'Corrida 4'!$B$102)="Básico","Renta mensual",IF(CHOOSE(inp_EscTabla,'Corrida 1'!$B$102,'Corrida 2'!$B$102,'Corrida 3'!$B$102,'Corrida 4'!$B$102)="Sucesivo","Renta plazo sucesivo","Opción de compra")))</f>
        <v/>
      </c>
      <c r="E54" s="117" t="str">
        <f>IF(B54="","",CHOOSE(inp_EscTabla,'Corrida 1'!$F$102,'Corrida 2'!$F$102,'Corrida 3'!$F$102,'Corrida 4'!$F$102))</f>
        <v/>
      </c>
      <c r="F54" s="117" t="str">
        <f>IF(B54="","",CHOOSE(inp_EscTabla,'Corrida 1'!$J$102,'Corrida 2'!$J$102,'Corrida 3'!$J$102,'Corrida 4'!$J$102))</f>
        <v/>
      </c>
      <c r="G54" s="117" t="str">
        <f>IF(B54="","",E54+F54)</f>
        <v/>
      </c>
      <c r="H54" s="117" t="str">
        <f>IF(B54="","",H53+G54)</f>
        <v/>
      </c>
    </row>
    <row r="55">
      <c r="B55" s="115" t="str">
        <f>IF(CHOOSE(inp_EscTabla,'Corrida 1'!$B$103,'Corrida 2'!$B$103,'Corrida 3'!$B$103,'Corrida 4'!$B$103)="","",44)</f>
        <v/>
      </c>
      <c r="C55" s="116" t="str">
        <f>IF(B55="","",CHOOSE(inp_EscTabla,'Corrida 1'!$D$103,'Corrida 2'!$D$103,'Corrida 3'!$D$103,'Corrida 4'!$D$103))</f>
        <v/>
      </c>
      <c r="D55" s="115" t="str">
        <f>IF(B55="","",IF(CHOOSE(inp_EscTabla,'Corrida 1'!$B$103,'Corrida 2'!$B$103,'Corrida 3'!$B$103,'Corrida 4'!$B$103)="Básico","Renta mensual",IF(CHOOSE(inp_EscTabla,'Corrida 1'!$B$103,'Corrida 2'!$B$103,'Corrida 3'!$B$103,'Corrida 4'!$B$103)="Sucesivo","Renta plazo sucesivo","Opción de compra")))</f>
        <v/>
      </c>
      <c r="E55" s="117" t="str">
        <f>IF(B55="","",CHOOSE(inp_EscTabla,'Corrida 1'!$F$103,'Corrida 2'!$F$103,'Corrida 3'!$F$103,'Corrida 4'!$F$103))</f>
        <v/>
      </c>
      <c r="F55" s="117" t="str">
        <f>IF(B55="","",CHOOSE(inp_EscTabla,'Corrida 1'!$J$103,'Corrida 2'!$J$103,'Corrida 3'!$J$103,'Corrida 4'!$J$103))</f>
        <v/>
      </c>
      <c r="G55" s="117" t="str">
        <f>IF(B55="","",E55+F55)</f>
        <v/>
      </c>
      <c r="H55" s="117" t="str">
        <f>IF(B55="","",H54+G55)</f>
        <v/>
      </c>
    </row>
    <row r="56">
      <c r="B56" s="115" t="str">
        <f>IF(CHOOSE(inp_EscTabla,'Corrida 1'!$B$104,'Corrida 2'!$B$104,'Corrida 3'!$B$104,'Corrida 4'!$B$104)="","",45)</f>
        <v/>
      </c>
      <c r="C56" s="116" t="str">
        <f>IF(B56="","",CHOOSE(inp_EscTabla,'Corrida 1'!$D$104,'Corrida 2'!$D$104,'Corrida 3'!$D$104,'Corrida 4'!$D$104))</f>
        <v/>
      </c>
      <c r="D56" s="115" t="str">
        <f>IF(B56="","",IF(CHOOSE(inp_EscTabla,'Corrida 1'!$B$104,'Corrida 2'!$B$104,'Corrida 3'!$B$104,'Corrida 4'!$B$104)="Básico","Renta mensual",IF(CHOOSE(inp_EscTabla,'Corrida 1'!$B$104,'Corrida 2'!$B$104,'Corrida 3'!$B$104,'Corrida 4'!$B$104)="Sucesivo","Renta plazo sucesivo","Opción de compra")))</f>
        <v/>
      </c>
      <c r="E56" s="117" t="str">
        <f>IF(B56="","",CHOOSE(inp_EscTabla,'Corrida 1'!$F$104,'Corrida 2'!$F$104,'Corrida 3'!$F$104,'Corrida 4'!$F$104))</f>
        <v/>
      </c>
      <c r="F56" s="117" t="str">
        <f>IF(B56="","",CHOOSE(inp_EscTabla,'Corrida 1'!$J$104,'Corrida 2'!$J$104,'Corrida 3'!$J$104,'Corrida 4'!$J$104))</f>
        <v/>
      </c>
      <c r="G56" s="117" t="str">
        <f>IF(B56="","",E56+F56)</f>
        <v/>
      </c>
      <c r="H56" s="117" t="str">
        <f>IF(B56="","",H55+G56)</f>
        <v/>
      </c>
    </row>
    <row r="57">
      <c r="B57" s="115" t="str">
        <f>IF(CHOOSE(inp_EscTabla,'Corrida 1'!$B$105,'Corrida 2'!$B$105,'Corrida 3'!$B$105,'Corrida 4'!$B$105)="","",46)</f>
        <v/>
      </c>
      <c r="C57" s="116" t="str">
        <f>IF(B57="","",CHOOSE(inp_EscTabla,'Corrida 1'!$D$105,'Corrida 2'!$D$105,'Corrida 3'!$D$105,'Corrida 4'!$D$105))</f>
        <v/>
      </c>
      <c r="D57" s="115" t="str">
        <f>IF(B57="","",IF(CHOOSE(inp_EscTabla,'Corrida 1'!$B$105,'Corrida 2'!$B$105,'Corrida 3'!$B$105,'Corrida 4'!$B$105)="Básico","Renta mensual",IF(CHOOSE(inp_EscTabla,'Corrida 1'!$B$105,'Corrida 2'!$B$105,'Corrida 3'!$B$105,'Corrida 4'!$B$105)="Sucesivo","Renta plazo sucesivo","Opción de compra")))</f>
        <v/>
      </c>
      <c r="E57" s="117" t="str">
        <f>IF(B57="","",CHOOSE(inp_EscTabla,'Corrida 1'!$F$105,'Corrida 2'!$F$105,'Corrida 3'!$F$105,'Corrida 4'!$F$105))</f>
        <v/>
      </c>
      <c r="F57" s="117" t="str">
        <f>IF(B57="","",CHOOSE(inp_EscTabla,'Corrida 1'!$J$105,'Corrida 2'!$J$105,'Corrida 3'!$J$105,'Corrida 4'!$J$105))</f>
        <v/>
      </c>
      <c r="G57" s="117" t="str">
        <f>IF(B57="","",E57+F57)</f>
        <v/>
      </c>
      <c r="H57" s="117" t="str">
        <f>IF(B57="","",H56+G57)</f>
        <v/>
      </c>
    </row>
    <row r="58">
      <c r="B58" s="115" t="str">
        <f>IF(CHOOSE(inp_EscTabla,'Corrida 1'!$B$106,'Corrida 2'!$B$106,'Corrida 3'!$B$106,'Corrida 4'!$B$106)="","",47)</f>
        <v/>
      </c>
      <c r="C58" s="116" t="str">
        <f>IF(B58="","",CHOOSE(inp_EscTabla,'Corrida 1'!$D$106,'Corrida 2'!$D$106,'Corrida 3'!$D$106,'Corrida 4'!$D$106))</f>
        <v/>
      </c>
      <c r="D58" s="115" t="str">
        <f>IF(B58="","",IF(CHOOSE(inp_EscTabla,'Corrida 1'!$B$106,'Corrida 2'!$B$106,'Corrida 3'!$B$106,'Corrida 4'!$B$106)="Básico","Renta mensual",IF(CHOOSE(inp_EscTabla,'Corrida 1'!$B$106,'Corrida 2'!$B$106,'Corrida 3'!$B$106,'Corrida 4'!$B$106)="Sucesivo","Renta plazo sucesivo","Opción de compra")))</f>
        <v/>
      </c>
      <c r="E58" s="117" t="str">
        <f>IF(B58="","",CHOOSE(inp_EscTabla,'Corrida 1'!$F$106,'Corrida 2'!$F$106,'Corrida 3'!$F$106,'Corrida 4'!$F$106))</f>
        <v/>
      </c>
      <c r="F58" s="117" t="str">
        <f>IF(B58="","",CHOOSE(inp_EscTabla,'Corrida 1'!$J$106,'Corrida 2'!$J$106,'Corrida 3'!$J$106,'Corrida 4'!$J$106))</f>
        <v/>
      </c>
      <c r="G58" s="117" t="str">
        <f>IF(B58="","",E58+F58)</f>
        <v/>
      </c>
      <c r="H58" s="117" t="str">
        <f>IF(B58="","",H57+G58)</f>
        <v/>
      </c>
    </row>
    <row r="59">
      <c r="B59" s="115" t="str">
        <f>IF(CHOOSE(inp_EscTabla,'Corrida 1'!$B$107,'Corrida 2'!$B$107,'Corrida 3'!$B$107,'Corrida 4'!$B$107)="","",48)</f>
        <v/>
      </c>
      <c r="C59" s="116" t="str">
        <f>IF(B59="","",CHOOSE(inp_EscTabla,'Corrida 1'!$D$107,'Corrida 2'!$D$107,'Corrida 3'!$D$107,'Corrida 4'!$D$107))</f>
        <v/>
      </c>
      <c r="D59" s="115" t="str">
        <f>IF(B59="","",IF(CHOOSE(inp_EscTabla,'Corrida 1'!$B$107,'Corrida 2'!$B$107,'Corrida 3'!$B$107,'Corrida 4'!$B$107)="Básico","Renta mensual",IF(CHOOSE(inp_EscTabla,'Corrida 1'!$B$107,'Corrida 2'!$B$107,'Corrida 3'!$B$107,'Corrida 4'!$B$107)="Sucesivo","Renta plazo sucesivo","Opción de compra")))</f>
        <v/>
      </c>
      <c r="E59" s="117" t="str">
        <f>IF(B59="","",CHOOSE(inp_EscTabla,'Corrida 1'!$F$107,'Corrida 2'!$F$107,'Corrida 3'!$F$107,'Corrida 4'!$F$107))</f>
        <v/>
      </c>
      <c r="F59" s="117" t="str">
        <f>IF(B59="","",CHOOSE(inp_EscTabla,'Corrida 1'!$J$107,'Corrida 2'!$J$107,'Corrida 3'!$J$107,'Corrida 4'!$J$107))</f>
        <v/>
      </c>
      <c r="G59" s="117" t="str">
        <f>IF(B59="","",E59+F59)</f>
        <v/>
      </c>
      <c r="H59" s="117" t="str">
        <f>IF(B59="","",H58+G59)</f>
        <v/>
      </c>
    </row>
    <row r="60">
      <c r="B60" s="115" t="str">
        <f>IF(CHOOSE(inp_EscTabla,'Corrida 1'!$B$108,'Corrida 2'!$B$108,'Corrida 3'!$B$108,'Corrida 4'!$B$108)="","",49)</f>
        <v/>
      </c>
      <c r="C60" s="116" t="str">
        <f>IF(B60="","",CHOOSE(inp_EscTabla,'Corrida 1'!$D$108,'Corrida 2'!$D$108,'Corrida 3'!$D$108,'Corrida 4'!$D$108))</f>
        <v/>
      </c>
      <c r="D60" s="115" t="str">
        <f>IF(B60="","",IF(CHOOSE(inp_EscTabla,'Corrida 1'!$B$108,'Corrida 2'!$B$108,'Corrida 3'!$B$108,'Corrida 4'!$B$108)="Básico","Renta mensual",IF(CHOOSE(inp_EscTabla,'Corrida 1'!$B$108,'Corrida 2'!$B$108,'Corrida 3'!$B$108,'Corrida 4'!$B$108)="Sucesivo","Renta plazo sucesivo","Opción de compra")))</f>
        <v/>
      </c>
      <c r="E60" s="117" t="str">
        <f>IF(B60="","",CHOOSE(inp_EscTabla,'Corrida 1'!$F$108,'Corrida 2'!$F$108,'Corrida 3'!$F$108,'Corrida 4'!$F$108))</f>
        <v/>
      </c>
      <c r="F60" s="117" t="str">
        <f>IF(B60="","",CHOOSE(inp_EscTabla,'Corrida 1'!$J$108,'Corrida 2'!$J$108,'Corrida 3'!$J$108,'Corrida 4'!$J$108))</f>
        <v/>
      </c>
      <c r="G60" s="117" t="str">
        <f>IF(B60="","",E60+F60)</f>
        <v/>
      </c>
      <c r="H60" s="117" t="str">
        <f>IF(B60="","",H59+G60)</f>
        <v/>
      </c>
    </row>
    <row r="61">
      <c r="B61" s="115" t="str">
        <f>IF(CHOOSE(inp_EscTabla,'Corrida 1'!$B$109,'Corrida 2'!$B$109,'Corrida 3'!$B$109,'Corrida 4'!$B$109)="","",50)</f>
        <v/>
      </c>
      <c r="C61" s="116" t="str">
        <f>IF(B61="","",CHOOSE(inp_EscTabla,'Corrida 1'!$D$109,'Corrida 2'!$D$109,'Corrida 3'!$D$109,'Corrida 4'!$D$109))</f>
        <v/>
      </c>
      <c r="D61" s="115" t="str">
        <f>IF(B61="","",IF(CHOOSE(inp_EscTabla,'Corrida 1'!$B$109,'Corrida 2'!$B$109,'Corrida 3'!$B$109,'Corrida 4'!$B$109)="Básico","Renta mensual",IF(CHOOSE(inp_EscTabla,'Corrida 1'!$B$109,'Corrida 2'!$B$109,'Corrida 3'!$B$109,'Corrida 4'!$B$109)="Sucesivo","Renta plazo sucesivo","Opción de compra")))</f>
        <v/>
      </c>
      <c r="E61" s="117" t="str">
        <f>IF(B61="","",CHOOSE(inp_EscTabla,'Corrida 1'!$F$109,'Corrida 2'!$F$109,'Corrida 3'!$F$109,'Corrida 4'!$F$109))</f>
        <v/>
      </c>
      <c r="F61" s="117" t="str">
        <f>IF(B61="","",CHOOSE(inp_EscTabla,'Corrida 1'!$J$109,'Corrida 2'!$J$109,'Corrida 3'!$J$109,'Corrida 4'!$J$109))</f>
        <v/>
      </c>
      <c r="G61" s="117" t="str">
        <f>IF(B61="","",E61+F61)</f>
        <v/>
      </c>
      <c r="H61" s="117" t="str">
        <f>IF(B61="","",H60+G61)</f>
        <v/>
      </c>
    </row>
    <row r="62">
      <c r="B62" s="115" t="str">
        <f>IF(CHOOSE(inp_EscTabla,'Corrida 1'!$B$110,'Corrida 2'!$B$110,'Corrida 3'!$B$110,'Corrida 4'!$B$110)="","",51)</f>
        <v/>
      </c>
      <c r="C62" s="116" t="str">
        <f>IF(B62="","",CHOOSE(inp_EscTabla,'Corrida 1'!$D$110,'Corrida 2'!$D$110,'Corrida 3'!$D$110,'Corrida 4'!$D$110))</f>
        <v/>
      </c>
      <c r="D62" s="115" t="str">
        <f>IF(B62="","",IF(CHOOSE(inp_EscTabla,'Corrida 1'!$B$110,'Corrida 2'!$B$110,'Corrida 3'!$B$110,'Corrida 4'!$B$110)="Básico","Renta mensual",IF(CHOOSE(inp_EscTabla,'Corrida 1'!$B$110,'Corrida 2'!$B$110,'Corrida 3'!$B$110,'Corrida 4'!$B$110)="Sucesivo","Renta plazo sucesivo","Opción de compra")))</f>
        <v/>
      </c>
      <c r="E62" s="117" t="str">
        <f>IF(B62="","",CHOOSE(inp_EscTabla,'Corrida 1'!$F$110,'Corrida 2'!$F$110,'Corrida 3'!$F$110,'Corrida 4'!$F$110))</f>
        <v/>
      </c>
      <c r="F62" s="117" t="str">
        <f>IF(B62="","",CHOOSE(inp_EscTabla,'Corrida 1'!$J$110,'Corrida 2'!$J$110,'Corrida 3'!$J$110,'Corrida 4'!$J$110))</f>
        <v/>
      </c>
      <c r="G62" s="117" t="str">
        <f>IF(B62="","",E62+F62)</f>
        <v/>
      </c>
      <c r="H62" s="117" t="str">
        <f>IF(B62="","",H61+G62)</f>
        <v/>
      </c>
    </row>
    <row r="63">
      <c r="B63" s="115" t="str">
        <f>IF(CHOOSE(inp_EscTabla,'Corrida 1'!$B$111,'Corrida 2'!$B$111,'Corrida 3'!$B$111,'Corrida 4'!$B$111)="","",52)</f>
        <v/>
      </c>
      <c r="C63" s="116" t="str">
        <f>IF(B63="","",CHOOSE(inp_EscTabla,'Corrida 1'!$D$111,'Corrida 2'!$D$111,'Corrida 3'!$D$111,'Corrida 4'!$D$111))</f>
        <v/>
      </c>
      <c r="D63" s="115" t="str">
        <f>IF(B63="","",IF(CHOOSE(inp_EscTabla,'Corrida 1'!$B$111,'Corrida 2'!$B$111,'Corrida 3'!$B$111,'Corrida 4'!$B$111)="Básico","Renta mensual",IF(CHOOSE(inp_EscTabla,'Corrida 1'!$B$111,'Corrida 2'!$B$111,'Corrida 3'!$B$111,'Corrida 4'!$B$111)="Sucesivo","Renta plazo sucesivo","Opción de compra")))</f>
        <v/>
      </c>
      <c r="E63" s="117" t="str">
        <f>IF(B63="","",CHOOSE(inp_EscTabla,'Corrida 1'!$F$111,'Corrida 2'!$F$111,'Corrida 3'!$F$111,'Corrida 4'!$F$111))</f>
        <v/>
      </c>
      <c r="F63" s="117" t="str">
        <f>IF(B63="","",CHOOSE(inp_EscTabla,'Corrida 1'!$J$111,'Corrida 2'!$J$111,'Corrida 3'!$J$111,'Corrida 4'!$J$111))</f>
        <v/>
      </c>
      <c r="G63" s="117" t="str">
        <f>IF(B63="","",E63+F63)</f>
        <v/>
      </c>
      <c r="H63" s="117" t="str">
        <f>IF(B63="","",H62+G63)</f>
        <v/>
      </c>
    </row>
    <row r="64">
      <c r="B64" s="115" t="str">
        <f>IF(CHOOSE(inp_EscTabla,'Corrida 1'!$B$112,'Corrida 2'!$B$112,'Corrida 3'!$B$112,'Corrida 4'!$B$112)="","",53)</f>
        <v/>
      </c>
      <c r="C64" s="116" t="str">
        <f>IF(B64="","",CHOOSE(inp_EscTabla,'Corrida 1'!$D$112,'Corrida 2'!$D$112,'Corrida 3'!$D$112,'Corrida 4'!$D$112))</f>
        <v/>
      </c>
      <c r="D64" s="115" t="str">
        <f>IF(B64="","",IF(CHOOSE(inp_EscTabla,'Corrida 1'!$B$112,'Corrida 2'!$B$112,'Corrida 3'!$B$112,'Corrida 4'!$B$112)="Básico","Renta mensual",IF(CHOOSE(inp_EscTabla,'Corrida 1'!$B$112,'Corrida 2'!$B$112,'Corrida 3'!$B$112,'Corrida 4'!$B$112)="Sucesivo","Renta plazo sucesivo","Opción de compra")))</f>
        <v/>
      </c>
      <c r="E64" s="117" t="str">
        <f>IF(B64="","",CHOOSE(inp_EscTabla,'Corrida 1'!$F$112,'Corrida 2'!$F$112,'Corrida 3'!$F$112,'Corrida 4'!$F$112))</f>
        <v/>
      </c>
      <c r="F64" s="117" t="str">
        <f>IF(B64="","",CHOOSE(inp_EscTabla,'Corrida 1'!$J$112,'Corrida 2'!$J$112,'Corrida 3'!$J$112,'Corrida 4'!$J$112))</f>
        <v/>
      </c>
      <c r="G64" s="117" t="str">
        <f>IF(B64="","",E64+F64)</f>
        <v/>
      </c>
      <c r="H64" s="117" t="str">
        <f>IF(B64="","",H63+G64)</f>
        <v/>
      </c>
    </row>
    <row r="65">
      <c r="B65" s="115" t="str">
        <f>IF(CHOOSE(inp_EscTabla,'Corrida 1'!$B$113,'Corrida 2'!$B$113,'Corrida 3'!$B$113,'Corrida 4'!$B$113)="","",54)</f>
        <v/>
      </c>
      <c r="C65" s="116" t="str">
        <f>IF(B65="","",CHOOSE(inp_EscTabla,'Corrida 1'!$D$113,'Corrida 2'!$D$113,'Corrida 3'!$D$113,'Corrida 4'!$D$113))</f>
        <v/>
      </c>
      <c r="D65" s="115" t="str">
        <f>IF(B65="","",IF(CHOOSE(inp_EscTabla,'Corrida 1'!$B$113,'Corrida 2'!$B$113,'Corrida 3'!$B$113,'Corrida 4'!$B$113)="Básico","Renta mensual",IF(CHOOSE(inp_EscTabla,'Corrida 1'!$B$113,'Corrida 2'!$B$113,'Corrida 3'!$B$113,'Corrida 4'!$B$113)="Sucesivo","Renta plazo sucesivo","Opción de compra")))</f>
        <v/>
      </c>
      <c r="E65" s="117" t="str">
        <f>IF(B65="","",CHOOSE(inp_EscTabla,'Corrida 1'!$F$113,'Corrida 2'!$F$113,'Corrida 3'!$F$113,'Corrida 4'!$F$113))</f>
        <v/>
      </c>
      <c r="F65" s="117" t="str">
        <f>IF(B65="","",CHOOSE(inp_EscTabla,'Corrida 1'!$J$113,'Corrida 2'!$J$113,'Corrida 3'!$J$113,'Corrida 4'!$J$113))</f>
        <v/>
      </c>
      <c r="G65" s="117" t="str">
        <f>IF(B65="","",E65+F65)</f>
        <v/>
      </c>
      <c r="H65" s="117" t="str">
        <f>IF(B65="","",H64+G65)</f>
        <v/>
      </c>
    </row>
    <row r="66">
      <c r="B66" s="115" t="str">
        <f>IF(CHOOSE(inp_EscTabla,'Corrida 1'!$B$114,'Corrida 2'!$B$114,'Corrida 3'!$B$114,'Corrida 4'!$B$114)="","",55)</f>
        <v/>
      </c>
      <c r="C66" s="116" t="str">
        <f>IF(B66="","",CHOOSE(inp_EscTabla,'Corrida 1'!$D$114,'Corrida 2'!$D$114,'Corrida 3'!$D$114,'Corrida 4'!$D$114))</f>
        <v/>
      </c>
      <c r="D66" s="115" t="str">
        <f>IF(B66="","",IF(CHOOSE(inp_EscTabla,'Corrida 1'!$B$114,'Corrida 2'!$B$114,'Corrida 3'!$B$114,'Corrida 4'!$B$114)="Básico","Renta mensual",IF(CHOOSE(inp_EscTabla,'Corrida 1'!$B$114,'Corrida 2'!$B$114,'Corrida 3'!$B$114,'Corrida 4'!$B$114)="Sucesivo","Renta plazo sucesivo","Opción de compra")))</f>
        <v/>
      </c>
      <c r="E66" s="117" t="str">
        <f>IF(B66="","",CHOOSE(inp_EscTabla,'Corrida 1'!$F$114,'Corrida 2'!$F$114,'Corrida 3'!$F$114,'Corrida 4'!$F$114))</f>
        <v/>
      </c>
      <c r="F66" s="117" t="str">
        <f>IF(B66="","",CHOOSE(inp_EscTabla,'Corrida 1'!$J$114,'Corrida 2'!$J$114,'Corrida 3'!$J$114,'Corrida 4'!$J$114))</f>
        <v/>
      </c>
      <c r="G66" s="117" t="str">
        <f>IF(B66="","",E66+F66)</f>
        <v/>
      </c>
      <c r="H66" s="117" t="str">
        <f>IF(B66="","",H65+G66)</f>
        <v/>
      </c>
    </row>
    <row r="67">
      <c r="B67" s="115" t="str">
        <f>IF(CHOOSE(inp_EscTabla,'Corrida 1'!$B$115,'Corrida 2'!$B$115,'Corrida 3'!$B$115,'Corrida 4'!$B$115)="","",56)</f>
        <v/>
      </c>
      <c r="C67" s="116" t="str">
        <f>IF(B67="","",CHOOSE(inp_EscTabla,'Corrida 1'!$D$115,'Corrida 2'!$D$115,'Corrida 3'!$D$115,'Corrida 4'!$D$115))</f>
        <v/>
      </c>
      <c r="D67" s="115" t="str">
        <f>IF(B67="","",IF(CHOOSE(inp_EscTabla,'Corrida 1'!$B$115,'Corrida 2'!$B$115,'Corrida 3'!$B$115,'Corrida 4'!$B$115)="Básico","Renta mensual",IF(CHOOSE(inp_EscTabla,'Corrida 1'!$B$115,'Corrida 2'!$B$115,'Corrida 3'!$B$115,'Corrida 4'!$B$115)="Sucesivo","Renta plazo sucesivo","Opción de compra")))</f>
        <v/>
      </c>
      <c r="E67" s="117" t="str">
        <f>IF(B67="","",CHOOSE(inp_EscTabla,'Corrida 1'!$F$115,'Corrida 2'!$F$115,'Corrida 3'!$F$115,'Corrida 4'!$F$115))</f>
        <v/>
      </c>
      <c r="F67" s="117" t="str">
        <f>IF(B67="","",CHOOSE(inp_EscTabla,'Corrida 1'!$J$115,'Corrida 2'!$J$115,'Corrida 3'!$J$115,'Corrida 4'!$J$115))</f>
        <v/>
      </c>
      <c r="G67" s="117" t="str">
        <f>IF(B67="","",E67+F67)</f>
        <v/>
      </c>
      <c r="H67" s="117" t="str">
        <f>IF(B67="","",H66+G67)</f>
        <v/>
      </c>
    </row>
    <row r="68">
      <c r="B68" s="115" t="str">
        <f>IF(CHOOSE(inp_EscTabla,'Corrida 1'!$B$116,'Corrida 2'!$B$116,'Corrida 3'!$B$116,'Corrida 4'!$B$116)="","",57)</f>
        <v/>
      </c>
      <c r="C68" s="116" t="str">
        <f>IF(B68="","",CHOOSE(inp_EscTabla,'Corrida 1'!$D$116,'Corrida 2'!$D$116,'Corrida 3'!$D$116,'Corrida 4'!$D$116))</f>
        <v/>
      </c>
      <c r="D68" s="115" t="str">
        <f>IF(B68="","",IF(CHOOSE(inp_EscTabla,'Corrida 1'!$B$116,'Corrida 2'!$B$116,'Corrida 3'!$B$116,'Corrida 4'!$B$116)="Básico","Renta mensual",IF(CHOOSE(inp_EscTabla,'Corrida 1'!$B$116,'Corrida 2'!$B$116,'Corrida 3'!$B$116,'Corrida 4'!$B$116)="Sucesivo","Renta plazo sucesivo","Opción de compra")))</f>
        <v/>
      </c>
      <c r="E68" s="117" t="str">
        <f>IF(B68="","",CHOOSE(inp_EscTabla,'Corrida 1'!$F$116,'Corrida 2'!$F$116,'Corrida 3'!$F$116,'Corrida 4'!$F$116))</f>
        <v/>
      </c>
      <c r="F68" s="117" t="str">
        <f>IF(B68="","",CHOOSE(inp_EscTabla,'Corrida 1'!$J$116,'Corrida 2'!$J$116,'Corrida 3'!$J$116,'Corrida 4'!$J$116))</f>
        <v/>
      </c>
      <c r="G68" s="117" t="str">
        <f>IF(B68="","",E68+F68)</f>
        <v/>
      </c>
      <c r="H68" s="117" t="str">
        <f>IF(B68="","",H67+G68)</f>
        <v/>
      </c>
    </row>
    <row r="69">
      <c r="B69" s="115" t="str">
        <f>IF(CHOOSE(inp_EscTabla,'Corrida 1'!$B$117,'Corrida 2'!$B$117,'Corrida 3'!$B$117,'Corrida 4'!$B$117)="","",58)</f>
        <v/>
      </c>
      <c r="C69" s="116" t="str">
        <f>IF(B69="","",CHOOSE(inp_EscTabla,'Corrida 1'!$D$117,'Corrida 2'!$D$117,'Corrida 3'!$D$117,'Corrida 4'!$D$117))</f>
        <v/>
      </c>
      <c r="D69" s="115" t="str">
        <f>IF(B69="","",IF(CHOOSE(inp_EscTabla,'Corrida 1'!$B$117,'Corrida 2'!$B$117,'Corrida 3'!$B$117,'Corrida 4'!$B$117)="Básico","Renta mensual",IF(CHOOSE(inp_EscTabla,'Corrida 1'!$B$117,'Corrida 2'!$B$117,'Corrida 3'!$B$117,'Corrida 4'!$B$117)="Sucesivo","Renta plazo sucesivo","Opción de compra")))</f>
        <v/>
      </c>
      <c r="E69" s="117" t="str">
        <f>IF(B69="","",CHOOSE(inp_EscTabla,'Corrida 1'!$F$117,'Corrida 2'!$F$117,'Corrida 3'!$F$117,'Corrida 4'!$F$117))</f>
        <v/>
      </c>
      <c r="F69" s="117" t="str">
        <f>IF(B69="","",CHOOSE(inp_EscTabla,'Corrida 1'!$J$117,'Corrida 2'!$J$117,'Corrida 3'!$J$117,'Corrida 4'!$J$117))</f>
        <v/>
      </c>
      <c r="G69" s="117" t="str">
        <f>IF(B69="","",E69+F69)</f>
        <v/>
      </c>
      <c r="H69" s="117" t="str">
        <f>IF(B69="","",H68+G69)</f>
        <v/>
      </c>
    </row>
    <row r="70">
      <c r="B70" s="115" t="str">
        <f>IF(CHOOSE(inp_EscTabla,'Corrida 1'!$B$118,'Corrida 2'!$B$118,'Corrida 3'!$B$118,'Corrida 4'!$B$118)="","",59)</f>
        <v/>
      </c>
      <c r="C70" s="116" t="str">
        <f>IF(B70="","",CHOOSE(inp_EscTabla,'Corrida 1'!$D$118,'Corrida 2'!$D$118,'Corrida 3'!$D$118,'Corrida 4'!$D$118))</f>
        <v/>
      </c>
      <c r="D70" s="115" t="str">
        <f>IF(B70="","",IF(CHOOSE(inp_EscTabla,'Corrida 1'!$B$118,'Corrida 2'!$B$118,'Corrida 3'!$B$118,'Corrida 4'!$B$118)="Básico","Renta mensual",IF(CHOOSE(inp_EscTabla,'Corrida 1'!$B$118,'Corrida 2'!$B$118,'Corrida 3'!$B$118,'Corrida 4'!$B$118)="Sucesivo","Renta plazo sucesivo","Opción de compra")))</f>
        <v/>
      </c>
      <c r="E70" s="117" t="str">
        <f>IF(B70="","",CHOOSE(inp_EscTabla,'Corrida 1'!$F$118,'Corrida 2'!$F$118,'Corrida 3'!$F$118,'Corrida 4'!$F$118))</f>
        <v/>
      </c>
      <c r="F70" s="117" t="str">
        <f>IF(B70="","",CHOOSE(inp_EscTabla,'Corrida 1'!$J$118,'Corrida 2'!$J$118,'Corrida 3'!$J$118,'Corrida 4'!$J$118))</f>
        <v/>
      </c>
      <c r="G70" s="117" t="str">
        <f>IF(B70="","",E70+F70)</f>
        <v/>
      </c>
      <c r="H70" s="117" t="str">
        <f>IF(B70="","",H69+G70)</f>
        <v/>
      </c>
    </row>
    <row r="71">
      <c r="B71" s="115" t="str">
        <f>IF(CHOOSE(inp_EscTabla,'Corrida 1'!$B$119,'Corrida 2'!$B$119,'Corrida 3'!$B$119,'Corrida 4'!$B$119)="","",60)</f>
        <v/>
      </c>
      <c r="C71" s="116" t="str">
        <f>IF(B71="","",CHOOSE(inp_EscTabla,'Corrida 1'!$D$119,'Corrida 2'!$D$119,'Corrida 3'!$D$119,'Corrida 4'!$D$119))</f>
        <v/>
      </c>
      <c r="D71" s="115" t="str">
        <f>IF(B71="","",IF(CHOOSE(inp_EscTabla,'Corrida 1'!$B$119,'Corrida 2'!$B$119,'Corrida 3'!$B$119,'Corrida 4'!$B$119)="Básico","Renta mensual",IF(CHOOSE(inp_EscTabla,'Corrida 1'!$B$119,'Corrida 2'!$B$119,'Corrida 3'!$B$119,'Corrida 4'!$B$119)="Sucesivo","Renta plazo sucesivo","Opción de compra")))</f>
        <v/>
      </c>
      <c r="E71" s="117" t="str">
        <f>IF(B71="","",CHOOSE(inp_EscTabla,'Corrida 1'!$F$119,'Corrida 2'!$F$119,'Corrida 3'!$F$119,'Corrida 4'!$F$119))</f>
        <v/>
      </c>
      <c r="F71" s="117" t="str">
        <f>IF(B71="","",CHOOSE(inp_EscTabla,'Corrida 1'!$J$119,'Corrida 2'!$J$119,'Corrida 3'!$J$119,'Corrida 4'!$J$119))</f>
        <v/>
      </c>
      <c r="G71" s="117" t="str">
        <f>IF(B71="","",E71+F71)</f>
        <v/>
      </c>
      <c r="H71" s="117" t="str">
        <f>IF(B71="","",H70+G71)</f>
        <v/>
      </c>
    </row>
    <row r="72">
      <c r="B72" s="115" t="str">
        <f>IF(CHOOSE(inp_EscTabla,'Corrida 1'!$B$120,'Corrida 2'!$B$120,'Corrida 3'!$B$120,'Corrida 4'!$B$120)="","",61)</f>
        <v/>
      </c>
      <c r="C72" s="116" t="str">
        <f>IF(B72="","",CHOOSE(inp_EscTabla,'Corrida 1'!$D$120,'Corrida 2'!$D$120,'Corrida 3'!$D$120,'Corrida 4'!$D$120))</f>
        <v/>
      </c>
      <c r="D72" s="115" t="str">
        <f>IF(B72="","",IF(CHOOSE(inp_EscTabla,'Corrida 1'!$B$120,'Corrida 2'!$B$120,'Corrida 3'!$B$120,'Corrida 4'!$B$120)="Básico","Renta mensual",IF(CHOOSE(inp_EscTabla,'Corrida 1'!$B$120,'Corrida 2'!$B$120,'Corrida 3'!$B$120,'Corrida 4'!$B$120)="Sucesivo","Renta plazo sucesivo","Opción de compra")))</f>
        <v/>
      </c>
      <c r="E72" s="117" t="str">
        <f>IF(B72="","",CHOOSE(inp_EscTabla,'Corrida 1'!$F$120,'Corrida 2'!$F$120,'Corrida 3'!$F$120,'Corrida 4'!$F$120))</f>
        <v/>
      </c>
      <c r="F72" s="117" t="str">
        <f>IF(B72="","",CHOOSE(inp_EscTabla,'Corrida 1'!$J$120,'Corrida 2'!$J$120,'Corrida 3'!$J$120,'Corrida 4'!$J$120))</f>
        <v/>
      </c>
      <c r="G72" s="117" t="str">
        <f>IF(B72="","",E72+F72)</f>
        <v/>
      </c>
      <c r="H72" s="117" t="str">
        <f>IF(B72="","",H71+G72)</f>
        <v/>
      </c>
    </row>
    <row r="73">
      <c r="B73" s="115" t="str">
        <f>IF(CHOOSE(inp_EscTabla,'Corrida 1'!$B$121,'Corrida 2'!$B$121,'Corrida 3'!$B$121,'Corrida 4'!$B$121)="","",62)</f>
        <v/>
      </c>
      <c r="C73" s="116" t="str">
        <f>IF(B73="","",CHOOSE(inp_EscTabla,'Corrida 1'!$D$121,'Corrida 2'!$D$121,'Corrida 3'!$D$121,'Corrida 4'!$D$121))</f>
        <v/>
      </c>
      <c r="D73" s="115" t="str">
        <f>IF(B73="","",IF(CHOOSE(inp_EscTabla,'Corrida 1'!$B$121,'Corrida 2'!$B$121,'Corrida 3'!$B$121,'Corrida 4'!$B$121)="Básico","Renta mensual",IF(CHOOSE(inp_EscTabla,'Corrida 1'!$B$121,'Corrida 2'!$B$121,'Corrida 3'!$B$121,'Corrida 4'!$B$121)="Sucesivo","Renta plazo sucesivo","Opción de compra")))</f>
        <v/>
      </c>
      <c r="E73" s="117" t="str">
        <f>IF(B73="","",CHOOSE(inp_EscTabla,'Corrida 1'!$F$121,'Corrida 2'!$F$121,'Corrida 3'!$F$121,'Corrida 4'!$F$121))</f>
        <v/>
      </c>
      <c r="F73" s="117" t="str">
        <f>IF(B73="","",CHOOSE(inp_EscTabla,'Corrida 1'!$J$121,'Corrida 2'!$J$121,'Corrida 3'!$J$121,'Corrida 4'!$J$121))</f>
        <v/>
      </c>
      <c r="G73" s="117" t="str">
        <f>IF(B73="","",E73+F73)</f>
        <v/>
      </c>
      <c r="H73" s="117" t="str">
        <f>IF(B73="","",H72+G73)</f>
        <v/>
      </c>
    </row>
    <row r="74">
      <c r="B74" s="115" t="str">
        <f>IF(CHOOSE(inp_EscTabla,'Corrida 1'!$B$122,'Corrida 2'!$B$122,'Corrida 3'!$B$122,'Corrida 4'!$B$122)="","",63)</f>
        <v/>
      </c>
      <c r="C74" s="116" t="str">
        <f>IF(B74="","",CHOOSE(inp_EscTabla,'Corrida 1'!$D$122,'Corrida 2'!$D$122,'Corrida 3'!$D$122,'Corrida 4'!$D$122))</f>
        <v/>
      </c>
      <c r="D74" s="115" t="str">
        <f>IF(B74="","",IF(CHOOSE(inp_EscTabla,'Corrida 1'!$B$122,'Corrida 2'!$B$122,'Corrida 3'!$B$122,'Corrida 4'!$B$122)="Básico","Renta mensual",IF(CHOOSE(inp_EscTabla,'Corrida 1'!$B$122,'Corrida 2'!$B$122,'Corrida 3'!$B$122,'Corrida 4'!$B$122)="Sucesivo","Renta plazo sucesivo","Opción de compra")))</f>
        <v/>
      </c>
      <c r="E74" s="117" t="str">
        <f>IF(B74="","",CHOOSE(inp_EscTabla,'Corrida 1'!$F$122,'Corrida 2'!$F$122,'Corrida 3'!$F$122,'Corrida 4'!$F$122))</f>
        <v/>
      </c>
      <c r="F74" s="117" t="str">
        <f>IF(B74="","",CHOOSE(inp_EscTabla,'Corrida 1'!$J$122,'Corrida 2'!$J$122,'Corrida 3'!$J$122,'Corrida 4'!$J$122))</f>
        <v/>
      </c>
      <c r="G74" s="117" t="str">
        <f>IF(B74="","",E74+F74)</f>
        <v/>
      </c>
      <c r="H74" s="117" t="str">
        <f>IF(B74="","",H73+G74)</f>
        <v/>
      </c>
    </row>
    <row r="75">
      <c r="B75" s="115" t="str">
        <f>IF(CHOOSE(inp_EscTabla,'Corrida 1'!$B$123,'Corrida 2'!$B$123,'Corrida 3'!$B$123,'Corrida 4'!$B$123)="","",64)</f>
        <v/>
      </c>
      <c r="C75" s="116" t="str">
        <f>IF(B75="","",CHOOSE(inp_EscTabla,'Corrida 1'!$D$123,'Corrida 2'!$D$123,'Corrida 3'!$D$123,'Corrida 4'!$D$123))</f>
        <v/>
      </c>
      <c r="D75" s="115" t="str">
        <f>IF(B75="","",IF(CHOOSE(inp_EscTabla,'Corrida 1'!$B$123,'Corrida 2'!$B$123,'Corrida 3'!$B$123,'Corrida 4'!$B$123)="Básico","Renta mensual",IF(CHOOSE(inp_EscTabla,'Corrida 1'!$B$123,'Corrida 2'!$B$123,'Corrida 3'!$B$123,'Corrida 4'!$B$123)="Sucesivo","Renta plazo sucesivo","Opción de compra")))</f>
        <v/>
      </c>
      <c r="E75" s="117" t="str">
        <f>IF(B75="","",CHOOSE(inp_EscTabla,'Corrida 1'!$F$123,'Corrida 2'!$F$123,'Corrida 3'!$F$123,'Corrida 4'!$F$123))</f>
        <v/>
      </c>
      <c r="F75" s="117" t="str">
        <f>IF(B75="","",CHOOSE(inp_EscTabla,'Corrida 1'!$J$123,'Corrida 2'!$J$123,'Corrida 3'!$J$123,'Corrida 4'!$J$123))</f>
        <v/>
      </c>
      <c r="G75" s="117" t="str">
        <f>IF(B75="","",E75+F75)</f>
        <v/>
      </c>
      <c r="H75" s="117" t="str">
        <f>IF(B75="","",H74+G75)</f>
        <v/>
      </c>
    </row>
    <row r="76">
      <c r="B76" s="115" t="str">
        <f>IF(CHOOSE(inp_EscTabla,'Corrida 1'!$B$124,'Corrida 2'!$B$124,'Corrida 3'!$B$124,'Corrida 4'!$B$124)="","",65)</f>
        <v/>
      </c>
      <c r="C76" s="116" t="str">
        <f>IF(B76="","",CHOOSE(inp_EscTabla,'Corrida 1'!$D$124,'Corrida 2'!$D$124,'Corrida 3'!$D$124,'Corrida 4'!$D$124))</f>
        <v/>
      </c>
      <c r="D76" s="115" t="str">
        <f>IF(B76="","",IF(CHOOSE(inp_EscTabla,'Corrida 1'!$B$124,'Corrida 2'!$B$124,'Corrida 3'!$B$124,'Corrida 4'!$B$124)="Básico","Renta mensual",IF(CHOOSE(inp_EscTabla,'Corrida 1'!$B$124,'Corrida 2'!$B$124,'Corrida 3'!$B$124,'Corrida 4'!$B$124)="Sucesivo","Renta plazo sucesivo","Opción de compra")))</f>
        <v/>
      </c>
      <c r="E76" s="117" t="str">
        <f>IF(B76="","",CHOOSE(inp_EscTabla,'Corrida 1'!$F$124,'Corrida 2'!$F$124,'Corrida 3'!$F$124,'Corrida 4'!$F$124))</f>
        <v/>
      </c>
      <c r="F76" s="117" t="str">
        <f>IF(B76="","",CHOOSE(inp_EscTabla,'Corrida 1'!$J$124,'Corrida 2'!$J$124,'Corrida 3'!$J$124,'Corrida 4'!$J$124))</f>
        <v/>
      </c>
      <c r="G76" s="117" t="str">
        <f>IF(B76="","",E76+F76)</f>
        <v/>
      </c>
      <c r="H76" s="117" t="str">
        <f>IF(B76="","",H75+G76)</f>
        <v/>
      </c>
    </row>
    <row r="77">
      <c r="B77" s="115" t="str">
        <f>IF(CHOOSE(inp_EscTabla,'Corrida 1'!$B$125,'Corrida 2'!$B$125,'Corrida 3'!$B$125,'Corrida 4'!$B$125)="","",66)</f>
        <v/>
      </c>
      <c r="C77" s="116" t="str">
        <f>IF(B77="","",CHOOSE(inp_EscTabla,'Corrida 1'!$D$125,'Corrida 2'!$D$125,'Corrida 3'!$D$125,'Corrida 4'!$D$125))</f>
        <v/>
      </c>
      <c r="D77" s="115" t="str">
        <f>IF(B77="","",IF(CHOOSE(inp_EscTabla,'Corrida 1'!$B$125,'Corrida 2'!$B$125,'Corrida 3'!$B$125,'Corrida 4'!$B$125)="Básico","Renta mensual",IF(CHOOSE(inp_EscTabla,'Corrida 1'!$B$125,'Corrida 2'!$B$125,'Corrida 3'!$B$125,'Corrida 4'!$B$125)="Sucesivo","Renta plazo sucesivo","Opción de compra")))</f>
        <v/>
      </c>
      <c r="E77" s="117" t="str">
        <f>IF(B77="","",CHOOSE(inp_EscTabla,'Corrida 1'!$F$125,'Corrida 2'!$F$125,'Corrida 3'!$F$125,'Corrida 4'!$F$125))</f>
        <v/>
      </c>
      <c r="F77" s="117" t="str">
        <f>IF(B77="","",CHOOSE(inp_EscTabla,'Corrida 1'!$J$125,'Corrida 2'!$J$125,'Corrida 3'!$J$125,'Corrida 4'!$J$125))</f>
        <v/>
      </c>
      <c r="G77" s="117" t="str">
        <f>IF(B77="","",E77+F77)</f>
        <v/>
      </c>
      <c r="H77" s="117" t="str">
        <f>IF(B77="","",H76+G77)</f>
        <v/>
      </c>
    </row>
    <row r="78">
      <c r="B78" s="115" t="str">
        <f>IF(CHOOSE(inp_EscTabla,'Corrida 1'!$B$126,'Corrida 2'!$B$126,'Corrida 3'!$B$126,'Corrida 4'!$B$126)="","",67)</f>
        <v/>
      </c>
      <c r="C78" s="116" t="str">
        <f>IF(B78="","",CHOOSE(inp_EscTabla,'Corrida 1'!$D$126,'Corrida 2'!$D$126,'Corrida 3'!$D$126,'Corrida 4'!$D$126))</f>
        <v/>
      </c>
      <c r="D78" s="115" t="str">
        <f>IF(B78="","",IF(CHOOSE(inp_EscTabla,'Corrida 1'!$B$126,'Corrida 2'!$B$126,'Corrida 3'!$B$126,'Corrida 4'!$B$126)="Básico","Renta mensual",IF(CHOOSE(inp_EscTabla,'Corrida 1'!$B$126,'Corrida 2'!$B$126,'Corrida 3'!$B$126,'Corrida 4'!$B$126)="Sucesivo","Renta plazo sucesivo","Opción de compra")))</f>
        <v/>
      </c>
      <c r="E78" s="117" t="str">
        <f>IF(B78="","",CHOOSE(inp_EscTabla,'Corrida 1'!$F$126,'Corrida 2'!$F$126,'Corrida 3'!$F$126,'Corrida 4'!$F$126))</f>
        <v/>
      </c>
      <c r="F78" s="117" t="str">
        <f>IF(B78="","",CHOOSE(inp_EscTabla,'Corrida 1'!$J$126,'Corrida 2'!$J$126,'Corrida 3'!$J$126,'Corrida 4'!$J$126))</f>
        <v/>
      </c>
      <c r="G78" s="117" t="str">
        <f>IF(B78="","",E78+F78)</f>
        <v/>
      </c>
      <c r="H78" s="117" t="str">
        <f>IF(B78="","",H77+G78)</f>
        <v/>
      </c>
    </row>
    <row r="79">
      <c r="B79" s="115" t="str">
        <f>IF(CHOOSE(inp_EscTabla,'Corrida 1'!$B$127,'Corrida 2'!$B$127,'Corrida 3'!$B$127,'Corrida 4'!$B$127)="","",68)</f>
        <v/>
      </c>
      <c r="C79" s="116" t="str">
        <f>IF(B79="","",CHOOSE(inp_EscTabla,'Corrida 1'!$D$127,'Corrida 2'!$D$127,'Corrida 3'!$D$127,'Corrida 4'!$D$127))</f>
        <v/>
      </c>
      <c r="D79" s="115" t="str">
        <f>IF(B79="","",IF(CHOOSE(inp_EscTabla,'Corrida 1'!$B$127,'Corrida 2'!$B$127,'Corrida 3'!$B$127,'Corrida 4'!$B$127)="Básico","Renta mensual",IF(CHOOSE(inp_EscTabla,'Corrida 1'!$B$127,'Corrida 2'!$B$127,'Corrida 3'!$B$127,'Corrida 4'!$B$127)="Sucesivo","Renta plazo sucesivo","Opción de compra")))</f>
        <v/>
      </c>
      <c r="E79" s="117" t="str">
        <f>IF(B79="","",CHOOSE(inp_EscTabla,'Corrida 1'!$F$127,'Corrida 2'!$F$127,'Corrida 3'!$F$127,'Corrida 4'!$F$127))</f>
        <v/>
      </c>
      <c r="F79" s="117" t="str">
        <f>IF(B79="","",CHOOSE(inp_EscTabla,'Corrida 1'!$J$127,'Corrida 2'!$J$127,'Corrida 3'!$J$127,'Corrida 4'!$J$127))</f>
        <v/>
      </c>
      <c r="G79" s="117" t="str">
        <f>IF(B79="","",E79+F79)</f>
        <v/>
      </c>
      <c r="H79" s="117" t="str">
        <f>IF(B79="","",H78+G79)</f>
        <v/>
      </c>
    </row>
    <row r="80">
      <c r="B80" s="115" t="str">
        <f>IF(CHOOSE(inp_EscTabla,'Corrida 1'!$B$128,'Corrida 2'!$B$128,'Corrida 3'!$B$128,'Corrida 4'!$B$128)="","",69)</f>
        <v/>
      </c>
      <c r="C80" s="116" t="str">
        <f>IF(B80="","",CHOOSE(inp_EscTabla,'Corrida 1'!$D$128,'Corrida 2'!$D$128,'Corrida 3'!$D$128,'Corrida 4'!$D$128))</f>
        <v/>
      </c>
      <c r="D80" s="115" t="str">
        <f>IF(B80="","",IF(CHOOSE(inp_EscTabla,'Corrida 1'!$B$128,'Corrida 2'!$B$128,'Corrida 3'!$B$128,'Corrida 4'!$B$128)="Básico","Renta mensual",IF(CHOOSE(inp_EscTabla,'Corrida 1'!$B$128,'Corrida 2'!$B$128,'Corrida 3'!$B$128,'Corrida 4'!$B$128)="Sucesivo","Renta plazo sucesivo","Opción de compra")))</f>
        <v/>
      </c>
      <c r="E80" s="117" t="str">
        <f>IF(B80="","",CHOOSE(inp_EscTabla,'Corrida 1'!$F$128,'Corrida 2'!$F$128,'Corrida 3'!$F$128,'Corrida 4'!$F$128))</f>
        <v/>
      </c>
      <c r="F80" s="117" t="str">
        <f>IF(B80="","",CHOOSE(inp_EscTabla,'Corrida 1'!$J$128,'Corrida 2'!$J$128,'Corrida 3'!$J$128,'Corrida 4'!$J$128))</f>
        <v/>
      </c>
      <c r="G80" s="117" t="str">
        <f>IF(B80="","",E80+F80)</f>
        <v/>
      </c>
      <c r="H80" s="117" t="str">
        <f>IF(B80="","",H79+G80)</f>
        <v/>
      </c>
    </row>
    <row r="81">
      <c r="B81" s="115" t="str">
        <f>IF(CHOOSE(inp_EscTabla,'Corrida 1'!$B$129,'Corrida 2'!$B$129,'Corrida 3'!$B$129,'Corrida 4'!$B$129)="","",70)</f>
        <v/>
      </c>
      <c r="C81" s="116" t="str">
        <f>IF(B81="","",CHOOSE(inp_EscTabla,'Corrida 1'!$D$129,'Corrida 2'!$D$129,'Corrida 3'!$D$129,'Corrida 4'!$D$129))</f>
        <v/>
      </c>
      <c r="D81" s="115" t="str">
        <f>IF(B81="","",IF(CHOOSE(inp_EscTabla,'Corrida 1'!$B$129,'Corrida 2'!$B$129,'Corrida 3'!$B$129,'Corrida 4'!$B$129)="Básico","Renta mensual",IF(CHOOSE(inp_EscTabla,'Corrida 1'!$B$129,'Corrida 2'!$B$129,'Corrida 3'!$B$129,'Corrida 4'!$B$129)="Sucesivo","Renta plazo sucesivo","Opción de compra")))</f>
        <v/>
      </c>
      <c r="E81" s="117" t="str">
        <f>IF(B81="","",CHOOSE(inp_EscTabla,'Corrida 1'!$F$129,'Corrida 2'!$F$129,'Corrida 3'!$F$129,'Corrida 4'!$F$129))</f>
        <v/>
      </c>
      <c r="F81" s="117" t="str">
        <f>IF(B81="","",CHOOSE(inp_EscTabla,'Corrida 1'!$J$129,'Corrida 2'!$J$129,'Corrida 3'!$J$129,'Corrida 4'!$J$129))</f>
        <v/>
      </c>
      <c r="G81" s="117" t="str">
        <f>IF(B81="","",E81+F81)</f>
        <v/>
      </c>
      <c r="H81" s="117" t="str">
        <f>IF(B81="","",H80+G81)</f>
        <v/>
      </c>
    </row>
    <row r="82">
      <c r="B82" s="115" t="str">
        <f>IF(CHOOSE(inp_EscTabla,'Corrida 1'!$B$130,'Corrida 2'!$B$130,'Corrida 3'!$B$130,'Corrida 4'!$B$130)="","",71)</f>
        <v/>
      </c>
      <c r="C82" s="116" t="str">
        <f>IF(B82="","",CHOOSE(inp_EscTabla,'Corrida 1'!$D$130,'Corrida 2'!$D$130,'Corrida 3'!$D$130,'Corrida 4'!$D$130))</f>
        <v/>
      </c>
      <c r="D82" s="115" t="str">
        <f>IF(B82="","",IF(CHOOSE(inp_EscTabla,'Corrida 1'!$B$130,'Corrida 2'!$B$130,'Corrida 3'!$B$130,'Corrida 4'!$B$130)="Básico","Renta mensual",IF(CHOOSE(inp_EscTabla,'Corrida 1'!$B$130,'Corrida 2'!$B$130,'Corrida 3'!$B$130,'Corrida 4'!$B$130)="Sucesivo","Renta plazo sucesivo","Opción de compra")))</f>
        <v/>
      </c>
      <c r="E82" s="117" t="str">
        <f>IF(B82="","",CHOOSE(inp_EscTabla,'Corrida 1'!$F$130,'Corrida 2'!$F$130,'Corrida 3'!$F$130,'Corrida 4'!$F$130))</f>
        <v/>
      </c>
      <c r="F82" s="117" t="str">
        <f>IF(B82="","",CHOOSE(inp_EscTabla,'Corrida 1'!$J$130,'Corrida 2'!$J$130,'Corrida 3'!$J$130,'Corrida 4'!$J$130))</f>
        <v/>
      </c>
      <c r="G82" s="117" t="str">
        <f>IF(B82="","",E82+F82)</f>
        <v/>
      </c>
      <c r="H82" s="117" t="str">
        <f>IF(B82="","",H81+G82)</f>
        <v/>
      </c>
    </row>
    <row r="83">
      <c r="B83" s="115" t="str">
        <f>IF(CHOOSE(inp_EscTabla,'Corrida 1'!$B$131,'Corrida 2'!$B$131,'Corrida 3'!$B$131,'Corrida 4'!$B$131)="","",72)</f>
        <v/>
      </c>
      <c r="C83" s="116" t="str">
        <f>IF(B83="","",CHOOSE(inp_EscTabla,'Corrida 1'!$D$131,'Corrida 2'!$D$131,'Corrida 3'!$D$131,'Corrida 4'!$D$131))</f>
        <v/>
      </c>
      <c r="D83" s="115" t="str">
        <f>IF(B83="","",IF(CHOOSE(inp_EscTabla,'Corrida 1'!$B$131,'Corrida 2'!$B$131,'Corrida 3'!$B$131,'Corrida 4'!$B$131)="Básico","Renta mensual",IF(CHOOSE(inp_EscTabla,'Corrida 1'!$B$131,'Corrida 2'!$B$131,'Corrida 3'!$B$131,'Corrida 4'!$B$131)="Sucesivo","Renta plazo sucesivo","Opción de compra")))</f>
        <v/>
      </c>
      <c r="E83" s="117" t="str">
        <f>IF(B83="","",CHOOSE(inp_EscTabla,'Corrida 1'!$F$131,'Corrida 2'!$F$131,'Corrida 3'!$F$131,'Corrida 4'!$F$131))</f>
        <v/>
      </c>
      <c r="F83" s="117" t="str">
        <f>IF(B83="","",CHOOSE(inp_EscTabla,'Corrida 1'!$J$131,'Corrida 2'!$J$131,'Corrida 3'!$J$131,'Corrida 4'!$J$131))</f>
        <v/>
      </c>
      <c r="G83" s="117" t="str">
        <f>IF(B83="","",E83+F83)</f>
        <v/>
      </c>
      <c r="H83" s="117" t="str">
        <f>IF(B83="","",H82+G83)</f>
        <v/>
      </c>
    </row>
    <row r="84">
      <c r="B84" s="115" t="str">
        <f>IF(CHOOSE(inp_EscTabla,'Corrida 1'!$B$132,'Corrida 2'!$B$132,'Corrida 3'!$B$132,'Corrida 4'!$B$132)="","",73)</f>
        <v/>
      </c>
      <c r="C84" s="116" t="str">
        <f>IF(B84="","",CHOOSE(inp_EscTabla,'Corrida 1'!$D$132,'Corrida 2'!$D$132,'Corrida 3'!$D$132,'Corrida 4'!$D$132))</f>
        <v/>
      </c>
      <c r="D84" s="115" t="str">
        <f>IF(B84="","",IF(CHOOSE(inp_EscTabla,'Corrida 1'!$B$132,'Corrida 2'!$B$132,'Corrida 3'!$B$132,'Corrida 4'!$B$132)="Básico","Renta mensual",IF(CHOOSE(inp_EscTabla,'Corrida 1'!$B$132,'Corrida 2'!$B$132,'Corrida 3'!$B$132,'Corrida 4'!$B$132)="Sucesivo","Renta plazo sucesivo","Opción de compra")))</f>
        <v/>
      </c>
      <c r="E84" s="117" t="str">
        <f>IF(B84="","",CHOOSE(inp_EscTabla,'Corrida 1'!$F$132,'Corrida 2'!$F$132,'Corrida 3'!$F$132,'Corrida 4'!$F$132))</f>
        <v/>
      </c>
      <c r="F84" s="117" t="str">
        <f>IF(B84="","",CHOOSE(inp_EscTabla,'Corrida 1'!$J$132,'Corrida 2'!$J$132,'Corrida 3'!$J$132,'Corrida 4'!$J$132))</f>
        <v/>
      </c>
      <c r="G84" s="117" t="str">
        <f>IF(B84="","",E84+F84)</f>
        <v/>
      </c>
      <c r="H84" s="117" t="str">
        <f>IF(B84="","",H83+G84)</f>
        <v/>
      </c>
    </row>
    <row r="85">
      <c r="B85" s="115" t="str">
        <f>IF(CHOOSE(inp_EscTabla,'Corrida 1'!$B$133,'Corrida 2'!$B$133,'Corrida 3'!$B$133,'Corrida 4'!$B$133)="","",74)</f>
        <v/>
      </c>
      <c r="C85" s="116" t="str">
        <f>IF(B85="","",CHOOSE(inp_EscTabla,'Corrida 1'!$D$133,'Corrida 2'!$D$133,'Corrida 3'!$D$133,'Corrida 4'!$D$133))</f>
        <v/>
      </c>
      <c r="D85" s="115" t="str">
        <f>IF(B85="","",IF(CHOOSE(inp_EscTabla,'Corrida 1'!$B$133,'Corrida 2'!$B$133,'Corrida 3'!$B$133,'Corrida 4'!$B$133)="Básico","Renta mensual",IF(CHOOSE(inp_EscTabla,'Corrida 1'!$B$133,'Corrida 2'!$B$133,'Corrida 3'!$B$133,'Corrida 4'!$B$133)="Sucesivo","Renta plazo sucesivo","Opción de compra")))</f>
        <v/>
      </c>
      <c r="E85" s="117" t="str">
        <f>IF(B85="","",CHOOSE(inp_EscTabla,'Corrida 1'!$F$133,'Corrida 2'!$F$133,'Corrida 3'!$F$133,'Corrida 4'!$F$133))</f>
        <v/>
      </c>
      <c r="F85" s="117" t="str">
        <f>IF(B85="","",CHOOSE(inp_EscTabla,'Corrida 1'!$J$133,'Corrida 2'!$J$133,'Corrida 3'!$J$133,'Corrida 4'!$J$133))</f>
        <v/>
      </c>
      <c r="G85" s="117" t="str">
        <f>IF(B85="","",E85+F85)</f>
        <v/>
      </c>
      <c r="H85" s="117" t="str">
        <f>IF(B85="","",H84+G85)</f>
        <v/>
      </c>
    </row>
    <row r="86">
      <c r="B86" s="115" t="str">
        <f>IF(CHOOSE(inp_EscTabla,'Corrida 1'!$B$134,'Corrida 2'!$B$134,'Corrida 3'!$B$134,'Corrida 4'!$B$134)="","",75)</f>
        <v/>
      </c>
      <c r="C86" s="116" t="str">
        <f>IF(B86="","",CHOOSE(inp_EscTabla,'Corrida 1'!$D$134,'Corrida 2'!$D$134,'Corrida 3'!$D$134,'Corrida 4'!$D$134))</f>
        <v/>
      </c>
      <c r="D86" s="115" t="str">
        <f>IF(B86="","",IF(CHOOSE(inp_EscTabla,'Corrida 1'!$B$134,'Corrida 2'!$B$134,'Corrida 3'!$B$134,'Corrida 4'!$B$134)="Básico","Renta mensual",IF(CHOOSE(inp_EscTabla,'Corrida 1'!$B$134,'Corrida 2'!$B$134,'Corrida 3'!$B$134,'Corrida 4'!$B$134)="Sucesivo","Renta plazo sucesivo","Opción de compra")))</f>
        <v/>
      </c>
      <c r="E86" s="117" t="str">
        <f>IF(B86="","",CHOOSE(inp_EscTabla,'Corrida 1'!$F$134,'Corrida 2'!$F$134,'Corrida 3'!$F$134,'Corrida 4'!$F$134))</f>
        <v/>
      </c>
      <c r="F86" s="117" t="str">
        <f>IF(B86="","",CHOOSE(inp_EscTabla,'Corrida 1'!$J$134,'Corrida 2'!$J$134,'Corrida 3'!$J$134,'Corrida 4'!$J$134))</f>
        <v/>
      </c>
      <c r="G86" s="117" t="str">
        <f>IF(B86="","",E86+F86)</f>
        <v/>
      </c>
      <c r="H86" s="117" t="str">
        <f>IF(B86="","",H85+G86)</f>
        <v/>
      </c>
    </row>
    <row r="87">
      <c r="B87" s="115" t="str">
        <f>IF(CHOOSE(inp_EscTabla,'Corrida 1'!$B$135,'Corrida 2'!$B$135,'Corrida 3'!$B$135,'Corrida 4'!$B$135)="","",76)</f>
        <v/>
      </c>
      <c r="C87" s="116" t="str">
        <f>IF(B87="","",CHOOSE(inp_EscTabla,'Corrida 1'!$D$135,'Corrida 2'!$D$135,'Corrida 3'!$D$135,'Corrida 4'!$D$135))</f>
        <v/>
      </c>
      <c r="D87" s="115" t="str">
        <f>IF(B87="","",IF(CHOOSE(inp_EscTabla,'Corrida 1'!$B$135,'Corrida 2'!$B$135,'Corrida 3'!$B$135,'Corrida 4'!$B$135)="Básico","Renta mensual",IF(CHOOSE(inp_EscTabla,'Corrida 1'!$B$135,'Corrida 2'!$B$135,'Corrida 3'!$B$135,'Corrida 4'!$B$135)="Sucesivo","Renta plazo sucesivo","Opción de compra")))</f>
        <v/>
      </c>
      <c r="E87" s="117" t="str">
        <f>IF(B87="","",CHOOSE(inp_EscTabla,'Corrida 1'!$F$135,'Corrida 2'!$F$135,'Corrida 3'!$F$135,'Corrida 4'!$F$135))</f>
        <v/>
      </c>
      <c r="F87" s="117" t="str">
        <f>IF(B87="","",CHOOSE(inp_EscTabla,'Corrida 1'!$J$135,'Corrida 2'!$J$135,'Corrida 3'!$J$135,'Corrida 4'!$J$135))</f>
        <v/>
      </c>
      <c r="G87" s="117" t="str">
        <f>IF(B87="","",E87+F87)</f>
        <v/>
      </c>
      <c r="H87" s="117" t="str">
        <f>IF(B87="","",H86+G87)</f>
        <v/>
      </c>
    </row>
    <row r="88">
      <c r="B88" s="115" t="str">
        <f>IF(CHOOSE(inp_EscTabla,'Corrida 1'!$B$136,'Corrida 2'!$B$136,'Corrida 3'!$B$136,'Corrida 4'!$B$136)="","",77)</f>
        <v/>
      </c>
      <c r="C88" s="116" t="str">
        <f>IF(B88="","",CHOOSE(inp_EscTabla,'Corrida 1'!$D$136,'Corrida 2'!$D$136,'Corrida 3'!$D$136,'Corrida 4'!$D$136))</f>
        <v/>
      </c>
      <c r="D88" s="115" t="str">
        <f>IF(B88="","",IF(CHOOSE(inp_EscTabla,'Corrida 1'!$B$136,'Corrida 2'!$B$136,'Corrida 3'!$B$136,'Corrida 4'!$B$136)="Básico","Renta mensual",IF(CHOOSE(inp_EscTabla,'Corrida 1'!$B$136,'Corrida 2'!$B$136,'Corrida 3'!$B$136,'Corrida 4'!$B$136)="Sucesivo","Renta plazo sucesivo","Opción de compra")))</f>
        <v/>
      </c>
      <c r="E88" s="117" t="str">
        <f>IF(B88="","",CHOOSE(inp_EscTabla,'Corrida 1'!$F$136,'Corrida 2'!$F$136,'Corrida 3'!$F$136,'Corrida 4'!$F$136))</f>
        <v/>
      </c>
      <c r="F88" s="117" t="str">
        <f>IF(B88="","",CHOOSE(inp_EscTabla,'Corrida 1'!$J$136,'Corrida 2'!$J$136,'Corrida 3'!$J$136,'Corrida 4'!$J$136))</f>
        <v/>
      </c>
      <c r="G88" s="117" t="str">
        <f>IF(B88="","",E88+F88)</f>
        <v/>
      </c>
      <c r="H88" s="117" t="str">
        <f>IF(B88="","",H87+G88)</f>
        <v/>
      </c>
    </row>
    <row r="89">
      <c r="B89" s="115" t="str">
        <f>IF(CHOOSE(inp_EscTabla,'Corrida 1'!$B$137,'Corrida 2'!$B$137,'Corrida 3'!$B$137,'Corrida 4'!$B$137)="","",78)</f>
        <v/>
      </c>
      <c r="C89" s="116" t="str">
        <f>IF(B89="","",CHOOSE(inp_EscTabla,'Corrida 1'!$D$137,'Corrida 2'!$D$137,'Corrida 3'!$D$137,'Corrida 4'!$D$137))</f>
        <v/>
      </c>
      <c r="D89" s="115" t="str">
        <f>IF(B89="","",IF(CHOOSE(inp_EscTabla,'Corrida 1'!$B$137,'Corrida 2'!$B$137,'Corrida 3'!$B$137,'Corrida 4'!$B$137)="Básico","Renta mensual",IF(CHOOSE(inp_EscTabla,'Corrida 1'!$B$137,'Corrida 2'!$B$137,'Corrida 3'!$B$137,'Corrida 4'!$B$137)="Sucesivo","Renta plazo sucesivo","Opción de compra")))</f>
        <v/>
      </c>
      <c r="E89" s="117" t="str">
        <f>IF(B89="","",CHOOSE(inp_EscTabla,'Corrida 1'!$F$137,'Corrida 2'!$F$137,'Corrida 3'!$F$137,'Corrida 4'!$F$137))</f>
        <v/>
      </c>
      <c r="F89" s="117" t="str">
        <f>IF(B89="","",CHOOSE(inp_EscTabla,'Corrida 1'!$J$137,'Corrida 2'!$J$137,'Corrida 3'!$J$137,'Corrida 4'!$J$137))</f>
        <v/>
      </c>
      <c r="G89" s="117" t="str">
        <f>IF(B89="","",E89+F89)</f>
        <v/>
      </c>
      <c r="H89" s="117" t="str">
        <f>IF(B89="","",H88+G89)</f>
        <v/>
      </c>
    </row>
    <row r="90">
      <c r="B90" s="115" t="str">
        <f>IF(CHOOSE(inp_EscTabla,'Corrida 1'!$B$138,'Corrida 2'!$B$138,'Corrida 3'!$B$138,'Corrida 4'!$B$138)="","",79)</f>
        <v/>
      </c>
      <c r="C90" s="116" t="str">
        <f>IF(B90="","",CHOOSE(inp_EscTabla,'Corrida 1'!$D$138,'Corrida 2'!$D$138,'Corrida 3'!$D$138,'Corrida 4'!$D$138))</f>
        <v/>
      </c>
      <c r="D90" s="115" t="str">
        <f>IF(B90="","",IF(CHOOSE(inp_EscTabla,'Corrida 1'!$B$138,'Corrida 2'!$B$138,'Corrida 3'!$B$138,'Corrida 4'!$B$138)="Básico","Renta mensual",IF(CHOOSE(inp_EscTabla,'Corrida 1'!$B$138,'Corrida 2'!$B$138,'Corrida 3'!$B$138,'Corrida 4'!$B$138)="Sucesivo","Renta plazo sucesivo","Opción de compra")))</f>
        <v/>
      </c>
      <c r="E90" s="117" t="str">
        <f>IF(B90="","",CHOOSE(inp_EscTabla,'Corrida 1'!$F$138,'Corrida 2'!$F$138,'Corrida 3'!$F$138,'Corrida 4'!$F$138))</f>
        <v/>
      </c>
      <c r="F90" s="117" t="str">
        <f>IF(B90="","",CHOOSE(inp_EscTabla,'Corrida 1'!$J$138,'Corrida 2'!$J$138,'Corrida 3'!$J$138,'Corrida 4'!$J$138))</f>
        <v/>
      </c>
      <c r="G90" s="117" t="str">
        <f>IF(B90="","",E90+F90)</f>
        <v/>
      </c>
      <c r="H90" s="117" t="str">
        <f>IF(B90="","",H89+G90)</f>
        <v/>
      </c>
    </row>
    <row r="91">
      <c r="B91" s="115" t="str">
        <f>IF(CHOOSE(inp_EscTabla,'Corrida 1'!$B$139,'Corrida 2'!$B$139,'Corrida 3'!$B$139,'Corrida 4'!$B$139)="","",80)</f>
        <v/>
      </c>
      <c r="C91" s="116" t="str">
        <f>IF(B91="","",CHOOSE(inp_EscTabla,'Corrida 1'!$D$139,'Corrida 2'!$D$139,'Corrida 3'!$D$139,'Corrida 4'!$D$139))</f>
        <v/>
      </c>
      <c r="D91" s="115" t="str">
        <f>IF(B91="","",IF(CHOOSE(inp_EscTabla,'Corrida 1'!$B$139,'Corrida 2'!$B$139,'Corrida 3'!$B$139,'Corrida 4'!$B$139)="Básico","Renta mensual",IF(CHOOSE(inp_EscTabla,'Corrida 1'!$B$139,'Corrida 2'!$B$139,'Corrida 3'!$B$139,'Corrida 4'!$B$139)="Sucesivo","Renta plazo sucesivo","Opción de compra")))</f>
        <v/>
      </c>
      <c r="E91" s="117" t="str">
        <f>IF(B91="","",CHOOSE(inp_EscTabla,'Corrida 1'!$F$139,'Corrida 2'!$F$139,'Corrida 3'!$F$139,'Corrida 4'!$F$139))</f>
        <v/>
      </c>
      <c r="F91" s="117" t="str">
        <f>IF(B91="","",CHOOSE(inp_EscTabla,'Corrida 1'!$J$139,'Corrida 2'!$J$139,'Corrida 3'!$J$139,'Corrida 4'!$J$139))</f>
        <v/>
      </c>
      <c r="G91" s="117" t="str">
        <f>IF(B91="","",E91+F91)</f>
        <v/>
      </c>
      <c r="H91" s="117" t="str">
        <f>IF(B91="","",H90+G91)</f>
        <v/>
      </c>
    </row>
    <row r="92">
      <c r="B92" s="115" t="str">
        <f>IF(CHOOSE(inp_EscTabla,'Corrida 1'!$B$140,'Corrida 2'!$B$140,'Corrida 3'!$B$140,'Corrida 4'!$B$140)="","",81)</f>
        <v/>
      </c>
      <c r="C92" s="116" t="str">
        <f>IF(B92="","",CHOOSE(inp_EscTabla,'Corrida 1'!$D$140,'Corrida 2'!$D$140,'Corrida 3'!$D$140,'Corrida 4'!$D$140))</f>
        <v/>
      </c>
      <c r="D92" s="115" t="str">
        <f>IF(B92="","",IF(CHOOSE(inp_EscTabla,'Corrida 1'!$B$140,'Corrida 2'!$B$140,'Corrida 3'!$B$140,'Corrida 4'!$B$140)="Básico","Renta mensual",IF(CHOOSE(inp_EscTabla,'Corrida 1'!$B$140,'Corrida 2'!$B$140,'Corrida 3'!$B$140,'Corrida 4'!$B$140)="Sucesivo","Renta plazo sucesivo","Opción de compra")))</f>
        <v/>
      </c>
      <c r="E92" s="117" t="str">
        <f>IF(B92="","",CHOOSE(inp_EscTabla,'Corrida 1'!$F$140,'Corrida 2'!$F$140,'Corrida 3'!$F$140,'Corrida 4'!$F$140))</f>
        <v/>
      </c>
      <c r="F92" s="117" t="str">
        <f>IF(B92="","",CHOOSE(inp_EscTabla,'Corrida 1'!$J$140,'Corrida 2'!$J$140,'Corrida 3'!$J$140,'Corrida 4'!$J$140))</f>
        <v/>
      </c>
      <c r="G92" s="117" t="str">
        <f>IF(B92="","",E92+F92)</f>
        <v/>
      </c>
      <c r="H92" s="117" t="str">
        <f>IF(B92="","",H91+G92)</f>
        <v/>
      </c>
    </row>
    <row r="93">
      <c r="B93" s="115" t="str">
        <f>IF(CHOOSE(inp_EscTabla,'Corrida 1'!$B$141,'Corrida 2'!$B$141,'Corrida 3'!$B$141,'Corrida 4'!$B$141)="","",82)</f>
        <v/>
      </c>
      <c r="C93" s="116" t="str">
        <f>IF(B93="","",CHOOSE(inp_EscTabla,'Corrida 1'!$D$141,'Corrida 2'!$D$141,'Corrida 3'!$D$141,'Corrida 4'!$D$141))</f>
        <v/>
      </c>
      <c r="D93" s="115" t="str">
        <f>IF(B93="","",IF(CHOOSE(inp_EscTabla,'Corrida 1'!$B$141,'Corrida 2'!$B$141,'Corrida 3'!$B$141,'Corrida 4'!$B$141)="Básico","Renta mensual",IF(CHOOSE(inp_EscTabla,'Corrida 1'!$B$141,'Corrida 2'!$B$141,'Corrida 3'!$B$141,'Corrida 4'!$B$141)="Sucesivo","Renta plazo sucesivo","Opción de compra")))</f>
        <v/>
      </c>
      <c r="E93" s="117" t="str">
        <f>IF(B93="","",CHOOSE(inp_EscTabla,'Corrida 1'!$F$141,'Corrida 2'!$F$141,'Corrida 3'!$F$141,'Corrida 4'!$F$141))</f>
        <v/>
      </c>
      <c r="F93" s="117" t="str">
        <f>IF(B93="","",CHOOSE(inp_EscTabla,'Corrida 1'!$J$141,'Corrida 2'!$J$141,'Corrida 3'!$J$141,'Corrida 4'!$J$141))</f>
        <v/>
      </c>
      <c r="G93" s="117" t="str">
        <f>IF(B93="","",E93+F93)</f>
        <v/>
      </c>
      <c r="H93" s="117" t="str">
        <f>IF(B93="","",H92+G93)</f>
        <v/>
      </c>
    </row>
    <row r="94">
      <c r="B94" s="115" t="str">
        <f>IF(CHOOSE(inp_EscTabla,'Corrida 1'!$B$142,'Corrida 2'!$B$142,'Corrida 3'!$B$142,'Corrida 4'!$B$142)="","",83)</f>
        <v/>
      </c>
      <c r="C94" s="116" t="str">
        <f>IF(B94="","",CHOOSE(inp_EscTabla,'Corrida 1'!$D$142,'Corrida 2'!$D$142,'Corrida 3'!$D$142,'Corrida 4'!$D$142))</f>
        <v/>
      </c>
      <c r="D94" s="115" t="str">
        <f>IF(B94="","",IF(CHOOSE(inp_EscTabla,'Corrida 1'!$B$142,'Corrida 2'!$B$142,'Corrida 3'!$B$142,'Corrida 4'!$B$142)="Básico","Renta mensual",IF(CHOOSE(inp_EscTabla,'Corrida 1'!$B$142,'Corrida 2'!$B$142,'Corrida 3'!$B$142,'Corrida 4'!$B$142)="Sucesivo","Renta plazo sucesivo","Opción de compra")))</f>
        <v/>
      </c>
      <c r="E94" s="117" t="str">
        <f>IF(B94="","",CHOOSE(inp_EscTabla,'Corrida 1'!$F$142,'Corrida 2'!$F$142,'Corrida 3'!$F$142,'Corrida 4'!$F$142))</f>
        <v/>
      </c>
      <c r="F94" s="117" t="str">
        <f>IF(B94="","",CHOOSE(inp_EscTabla,'Corrida 1'!$J$142,'Corrida 2'!$J$142,'Corrida 3'!$J$142,'Corrida 4'!$J$142))</f>
        <v/>
      </c>
      <c r="G94" s="117" t="str">
        <f>IF(B94="","",E94+F94)</f>
        <v/>
      </c>
      <c r="H94" s="117" t="str">
        <f>IF(B94="","",H93+G94)</f>
        <v/>
      </c>
    </row>
    <row r="95">
      <c r="B95" s="115" t="str">
        <f>IF(CHOOSE(inp_EscTabla,'Corrida 1'!$B$143,'Corrida 2'!$B$143,'Corrida 3'!$B$143,'Corrida 4'!$B$143)="","",84)</f>
        <v/>
      </c>
      <c r="C95" s="116" t="str">
        <f>IF(B95="","",CHOOSE(inp_EscTabla,'Corrida 1'!$D$143,'Corrida 2'!$D$143,'Corrida 3'!$D$143,'Corrida 4'!$D$143))</f>
        <v/>
      </c>
      <c r="D95" s="115" t="str">
        <f>IF(B95="","",IF(CHOOSE(inp_EscTabla,'Corrida 1'!$B$143,'Corrida 2'!$B$143,'Corrida 3'!$B$143,'Corrida 4'!$B$143)="Básico","Renta mensual",IF(CHOOSE(inp_EscTabla,'Corrida 1'!$B$143,'Corrida 2'!$B$143,'Corrida 3'!$B$143,'Corrida 4'!$B$143)="Sucesivo","Renta plazo sucesivo","Opción de compra")))</f>
        <v/>
      </c>
      <c r="E95" s="117" t="str">
        <f>IF(B95="","",CHOOSE(inp_EscTabla,'Corrida 1'!$F$143,'Corrida 2'!$F$143,'Corrida 3'!$F$143,'Corrida 4'!$F$143))</f>
        <v/>
      </c>
      <c r="F95" s="117" t="str">
        <f>IF(B95="","",CHOOSE(inp_EscTabla,'Corrida 1'!$J$143,'Corrida 2'!$J$143,'Corrida 3'!$J$143,'Corrida 4'!$J$143))</f>
        <v/>
      </c>
      <c r="G95" s="117" t="str">
        <f>IF(B95="","",E95+F95)</f>
        <v/>
      </c>
      <c r="H95" s="117" t="str">
        <f>IF(B95="","",H94+G95)</f>
        <v/>
      </c>
    </row>
    <row r="96">
      <c r="B96" s="115" t="str">
        <f>IF(CHOOSE(inp_EscTabla,'Corrida 1'!$B$144,'Corrida 2'!$B$144,'Corrida 3'!$B$144,'Corrida 4'!$B$144)="","",85)</f>
        <v/>
      </c>
      <c r="C96" s="116" t="str">
        <f>IF(B96="","",CHOOSE(inp_EscTabla,'Corrida 1'!$D$144,'Corrida 2'!$D$144,'Corrida 3'!$D$144,'Corrida 4'!$D$144))</f>
        <v/>
      </c>
      <c r="D96" s="115" t="str">
        <f>IF(B96="","",IF(CHOOSE(inp_EscTabla,'Corrida 1'!$B$144,'Corrida 2'!$B$144,'Corrida 3'!$B$144,'Corrida 4'!$B$144)="Básico","Renta mensual",IF(CHOOSE(inp_EscTabla,'Corrida 1'!$B$144,'Corrida 2'!$B$144,'Corrida 3'!$B$144,'Corrida 4'!$B$144)="Sucesivo","Renta plazo sucesivo","Opción de compra")))</f>
        <v/>
      </c>
      <c r="E96" s="117" t="str">
        <f>IF(B96="","",CHOOSE(inp_EscTabla,'Corrida 1'!$F$144,'Corrida 2'!$F$144,'Corrida 3'!$F$144,'Corrida 4'!$F$144))</f>
        <v/>
      </c>
      <c r="F96" s="117" t="str">
        <f>IF(B96="","",CHOOSE(inp_EscTabla,'Corrida 1'!$J$144,'Corrida 2'!$J$144,'Corrida 3'!$J$144,'Corrida 4'!$J$144))</f>
        <v/>
      </c>
      <c r="G96" s="117" t="str">
        <f>IF(B96="","",E96+F96)</f>
        <v/>
      </c>
      <c r="H96" s="117" t="str">
        <f>IF(B96="","",H95+G96)</f>
        <v/>
      </c>
    </row>
    <row r="97">
      <c r="B97" s="115" t="str">
        <f>IF(CHOOSE(inp_EscTabla,'Corrida 1'!$B$145,'Corrida 2'!$B$145,'Corrida 3'!$B$145,'Corrida 4'!$B$145)="","",86)</f>
        <v/>
      </c>
      <c r="C97" s="116" t="str">
        <f>IF(B97="","",CHOOSE(inp_EscTabla,'Corrida 1'!$D$145,'Corrida 2'!$D$145,'Corrida 3'!$D$145,'Corrida 4'!$D$145))</f>
        <v/>
      </c>
      <c r="D97" s="115" t="str">
        <f>IF(B97="","",IF(CHOOSE(inp_EscTabla,'Corrida 1'!$B$145,'Corrida 2'!$B$145,'Corrida 3'!$B$145,'Corrida 4'!$B$145)="Básico","Renta mensual",IF(CHOOSE(inp_EscTabla,'Corrida 1'!$B$145,'Corrida 2'!$B$145,'Corrida 3'!$B$145,'Corrida 4'!$B$145)="Sucesivo","Renta plazo sucesivo","Opción de compra")))</f>
        <v/>
      </c>
      <c r="E97" s="117" t="str">
        <f>IF(B97="","",CHOOSE(inp_EscTabla,'Corrida 1'!$F$145,'Corrida 2'!$F$145,'Corrida 3'!$F$145,'Corrida 4'!$F$145))</f>
        <v/>
      </c>
      <c r="F97" s="117" t="str">
        <f>IF(B97="","",CHOOSE(inp_EscTabla,'Corrida 1'!$J$145,'Corrida 2'!$J$145,'Corrida 3'!$J$145,'Corrida 4'!$J$145))</f>
        <v/>
      </c>
      <c r="G97" s="117" t="str">
        <f>IF(B97="","",E97+F97)</f>
        <v/>
      </c>
      <c r="H97" s="117" t="str">
        <f>IF(B97="","",H96+G97)</f>
        <v/>
      </c>
    </row>
    <row r="98">
      <c r="B98" s="115" t="str">
        <f>IF(CHOOSE(inp_EscTabla,'Corrida 1'!$B$146,'Corrida 2'!$B$146,'Corrida 3'!$B$146,'Corrida 4'!$B$146)="","",87)</f>
        <v/>
      </c>
      <c r="C98" s="116" t="str">
        <f>IF(B98="","",CHOOSE(inp_EscTabla,'Corrida 1'!$D$146,'Corrida 2'!$D$146,'Corrida 3'!$D$146,'Corrida 4'!$D$146))</f>
        <v/>
      </c>
      <c r="D98" s="115" t="str">
        <f>IF(B98="","",IF(CHOOSE(inp_EscTabla,'Corrida 1'!$B$146,'Corrida 2'!$B$146,'Corrida 3'!$B$146,'Corrida 4'!$B$146)="Básico","Renta mensual",IF(CHOOSE(inp_EscTabla,'Corrida 1'!$B$146,'Corrida 2'!$B$146,'Corrida 3'!$B$146,'Corrida 4'!$B$146)="Sucesivo","Renta plazo sucesivo","Opción de compra")))</f>
        <v/>
      </c>
      <c r="E98" s="117" t="str">
        <f>IF(B98="","",CHOOSE(inp_EscTabla,'Corrida 1'!$F$146,'Corrida 2'!$F$146,'Corrida 3'!$F$146,'Corrida 4'!$F$146))</f>
        <v/>
      </c>
      <c r="F98" s="117" t="str">
        <f>IF(B98="","",CHOOSE(inp_EscTabla,'Corrida 1'!$J$146,'Corrida 2'!$J$146,'Corrida 3'!$J$146,'Corrida 4'!$J$146))</f>
        <v/>
      </c>
      <c r="G98" s="117" t="str">
        <f>IF(B98="","",E98+F98)</f>
        <v/>
      </c>
      <c r="H98" s="117" t="str">
        <f>IF(B98="","",H97+G98)</f>
        <v/>
      </c>
    </row>
    <row r="99">
      <c r="B99" s="115" t="str">
        <f>IF(CHOOSE(inp_EscTabla,'Corrida 1'!$B$147,'Corrida 2'!$B$147,'Corrida 3'!$B$147,'Corrida 4'!$B$147)="","",88)</f>
        <v/>
      </c>
      <c r="C99" s="116" t="str">
        <f>IF(B99="","",CHOOSE(inp_EscTabla,'Corrida 1'!$D$147,'Corrida 2'!$D$147,'Corrida 3'!$D$147,'Corrida 4'!$D$147))</f>
        <v/>
      </c>
      <c r="D99" s="115" t="str">
        <f>IF(B99="","",IF(CHOOSE(inp_EscTabla,'Corrida 1'!$B$147,'Corrida 2'!$B$147,'Corrida 3'!$B$147,'Corrida 4'!$B$147)="Básico","Renta mensual",IF(CHOOSE(inp_EscTabla,'Corrida 1'!$B$147,'Corrida 2'!$B$147,'Corrida 3'!$B$147,'Corrida 4'!$B$147)="Sucesivo","Renta plazo sucesivo","Opción de compra")))</f>
        <v/>
      </c>
      <c r="E99" s="117" t="str">
        <f>IF(B99="","",CHOOSE(inp_EscTabla,'Corrida 1'!$F$147,'Corrida 2'!$F$147,'Corrida 3'!$F$147,'Corrida 4'!$F$147))</f>
        <v/>
      </c>
      <c r="F99" s="117" t="str">
        <f>IF(B99="","",CHOOSE(inp_EscTabla,'Corrida 1'!$J$147,'Corrida 2'!$J$147,'Corrida 3'!$J$147,'Corrida 4'!$J$147))</f>
        <v/>
      </c>
      <c r="G99" s="117" t="str">
        <f>IF(B99="","",E99+F99)</f>
        <v/>
      </c>
      <c r="H99" s="117" t="str">
        <f>IF(B99="","",H98+G99)</f>
        <v/>
      </c>
    </row>
    <row r="100">
      <c r="B100" s="115" t="str">
        <f>IF(CHOOSE(inp_EscTabla,'Corrida 1'!$B$148,'Corrida 2'!$B$148,'Corrida 3'!$B$148,'Corrida 4'!$B$148)="","",89)</f>
        <v/>
      </c>
      <c r="C100" s="116" t="str">
        <f>IF(B100="","",CHOOSE(inp_EscTabla,'Corrida 1'!$D$148,'Corrida 2'!$D$148,'Corrida 3'!$D$148,'Corrida 4'!$D$148))</f>
        <v/>
      </c>
      <c r="D100" s="115" t="str">
        <f>IF(B100="","",IF(CHOOSE(inp_EscTabla,'Corrida 1'!$B$148,'Corrida 2'!$B$148,'Corrida 3'!$B$148,'Corrida 4'!$B$148)="Básico","Renta mensual",IF(CHOOSE(inp_EscTabla,'Corrida 1'!$B$148,'Corrida 2'!$B$148,'Corrida 3'!$B$148,'Corrida 4'!$B$148)="Sucesivo","Renta plazo sucesivo","Opción de compra")))</f>
        <v/>
      </c>
      <c r="E100" s="117" t="str">
        <f>IF(B100="","",CHOOSE(inp_EscTabla,'Corrida 1'!$F$148,'Corrida 2'!$F$148,'Corrida 3'!$F$148,'Corrida 4'!$F$148))</f>
        <v/>
      </c>
      <c r="F100" s="117" t="str">
        <f>IF(B100="","",CHOOSE(inp_EscTabla,'Corrida 1'!$J$148,'Corrida 2'!$J$148,'Corrida 3'!$J$148,'Corrida 4'!$J$148))</f>
        <v/>
      </c>
      <c r="G100" s="117" t="str">
        <f>IF(B100="","",E100+F100)</f>
        <v/>
      </c>
      <c r="H100" s="117" t="str">
        <f>IF(B100="","",H99+G100)</f>
        <v/>
      </c>
    </row>
    <row r="101">
      <c r="B101" s="115" t="str">
        <f>IF(CHOOSE(inp_EscTabla,'Corrida 1'!$B$149,'Corrida 2'!$B$149,'Corrida 3'!$B$149,'Corrida 4'!$B$149)="","",90)</f>
        <v/>
      </c>
      <c r="C101" s="116" t="str">
        <f>IF(B101="","",CHOOSE(inp_EscTabla,'Corrida 1'!$D$149,'Corrida 2'!$D$149,'Corrida 3'!$D$149,'Corrida 4'!$D$149))</f>
        <v/>
      </c>
      <c r="D101" s="115" t="str">
        <f>IF(B101="","",IF(CHOOSE(inp_EscTabla,'Corrida 1'!$B$149,'Corrida 2'!$B$149,'Corrida 3'!$B$149,'Corrida 4'!$B$149)="Básico","Renta mensual",IF(CHOOSE(inp_EscTabla,'Corrida 1'!$B$149,'Corrida 2'!$B$149,'Corrida 3'!$B$149,'Corrida 4'!$B$149)="Sucesivo","Renta plazo sucesivo","Opción de compra")))</f>
        <v/>
      </c>
      <c r="E101" s="117" t="str">
        <f>IF(B101="","",CHOOSE(inp_EscTabla,'Corrida 1'!$F$149,'Corrida 2'!$F$149,'Corrida 3'!$F$149,'Corrida 4'!$F$149))</f>
        <v/>
      </c>
      <c r="F101" s="117" t="str">
        <f>IF(B101="","",CHOOSE(inp_EscTabla,'Corrida 1'!$J$149,'Corrida 2'!$J$149,'Corrida 3'!$J$149,'Corrida 4'!$J$149))</f>
        <v/>
      </c>
      <c r="G101" s="117" t="str">
        <f>IF(B101="","",E101+F101)</f>
        <v/>
      </c>
      <c r="H101" s="117" t="str">
        <f>IF(B101="","",H100+G101)</f>
        <v/>
      </c>
    </row>
    <row r="102">
      <c r="B102" s="115" t="str">
        <f>IF(CHOOSE(inp_EscTabla,'Corrida 1'!$B$150,'Corrida 2'!$B$150,'Corrida 3'!$B$150,'Corrida 4'!$B$150)="","",91)</f>
        <v/>
      </c>
      <c r="C102" s="116" t="str">
        <f>IF(B102="","",CHOOSE(inp_EscTabla,'Corrida 1'!$D$150,'Corrida 2'!$D$150,'Corrida 3'!$D$150,'Corrida 4'!$D$150))</f>
        <v/>
      </c>
      <c r="D102" s="115" t="str">
        <f>IF(B102="","",IF(CHOOSE(inp_EscTabla,'Corrida 1'!$B$150,'Corrida 2'!$B$150,'Corrida 3'!$B$150,'Corrida 4'!$B$150)="Básico","Renta mensual",IF(CHOOSE(inp_EscTabla,'Corrida 1'!$B$150,'Corrida 2'!$B$150,'Corrida 3'!$B$150,'Corrida 4'!$B$150)="Sucesivo","Renta plazo sucesivo","Opción de compra")))</f>
        <v/>
      </c>
      <c r="E102" s="117" t="str">
        <f>IF(B102="","",CHOOSE(inp_EscTabla,'Corrida 1'!$F$150,'Corrida 2'!$F$150,'Corrida 3'!$F$150,'Corrida 4'!$F$150))</f>
        <v/>
      </c>
      <c r="F102" s="117" t="str">
        <f>IF(B102="","",CHOOSE(inp_EscTabla,'Corrida 1'!$J$150,'Corrida 2'!$J$150,'Corrida 3'!$J$150,'Corrida 4'!$J$150))</f>
        <v/>
      </c>
      <c r="G102" s="117" t="str">
        <f>IF(B102="","",E102+F102)</f>
        <v/>
      </c>
      <c r="H102" s="117" t="str">
        <f>IF(B102="","",H101+G102)</f>
        <v/>
      </c>
    </row>
    <row r="103">
      <c r="B103" s="115" t="str">
        <f>IF(CHOOSE(inp_EscTabla,'Corrida 1'!$B$151,'Corrida 2'!$B$151,'Corrida 3'!$B$151,'Corrida 4'!$B$151)="","",92)</f>
        <v/>
      </c>
      <c r="C103" s="116" t="str">
        <f>IF(B103="","",CHOOSE(inp_EscTabla,'Corrida 1'!$D$151,'Corrida 2'!$D$151,'Corrida 3'!$D$151,'Corrida 4'!$D$151))</f>
        <v/>
      </c>
      <c r="D103" s="115" t="str">
        <f>IF(B103="","",IF(CHOOSE(inp_EscTabla,'Corrida 1'!$B$151,'Corrida 2'!$B$151,'Corrida 3'!$B$151,'Corrida 4'!$B$151)="Básico","Renta mensual",IF(CHOOSE(inp_EscTabla,'Corrida 1'!$B$151,'Corrida 2'!$B$151,'Corrida 3'!$B$151,'Corrida 4'!$B$151)="Sucesivo","Renta plazo sucesivo","Opción de compra")))</f>
        <v/>
      </c>
      <c r="E103" s="117" t="str">
        <f>IF(B103="","",CHOOSE(inp_EscTabla,'Corrida 1'!$F$151,'Corrida 2'!$F$151,'Corrida 3'!$F$151,'Corrida 4'!$F$151))</f>
        <v/>
      </c>
      <c r="F103" s="117" t="str">
        <f>IF(B103="","",CHOOSE(inp_EscTabla,'Corrida 1'!$J$151,'Corrida 2'!$J$151,'Corrida 3'!$J$151,'Corrida 4'!$J$151))</f>
        <v/>
      </c>
      <c r="G103" s="117" t="str">
        <f>IF(B103="","",E103+F103)</f>
        <v/>
      </c>
      <c r="H103" s="117" t="str">
        <f>IF(B103="","",H102+G103)</f>
        <v/>
      </c>
    </row>
    <row r="104">
      <c r="B104" s="115" t="str">
        <f>IF(CHOOSE(inp_EscTabla,'Corrida 1'!$B$152,'Corrida 2'!$B$152,'Corrida 3'!$B$152,'Corrida 4'!$B$152)="","",93)</f>
        <v/>
      </c>
      <c r="C104" s="116" t="str">
        <f>IF(B104="","",CHOOSE(inp_EscTabla,'Corrida 1'!$D$152,'Corrida 2'!$D$152,'Corrida 3'!$D$152,'Corrida 4'!$D$152))</f>
        <v/>
      </c>
      <c r="D104" s="115" t="str">
        <f>IF(B104="","",IF(CHOOSE(inp_EscTabla,'Corrida 1'!$B$152,'Corrida 2'!$B$152,'Corrida 3'!$B$152,'Corrida 4'!$B$152)="Básico","Renta mensual",IF(CHOOSE(inp_EscTabla,'Corrida 1'!$B$152,'Corrida 2'!$B$152,'Corrida 3'!$B$152,'Corrida 4'!$B$152)="Sucesivo","Renta plazo sucesivo","Opción de compra")))</f>
        <v/>
      </c>
      <c r="E104" s="117" t="str">
        <f>IF(B104="","",CHOOSE(inp_EscTabla,'Corrida 1'!$F$152,'Corrida 2'!$F$152,'Corrida 3'!$F$152,'Corrida 4'!$F$152))</f>
        <v/>
      </c>
      <c r="F104" s="117" t="str">
        <f>IF(B104="","",CHOOSE(inp_EscTabla,'Corrida 1'!$J$152,'Corrida 2'!$J$152,'Corrida 3'!$J$152,'Corrida 4'!$J$152))</f>
        <v/>
      </c>
      <c r="G104" s="117" t="str">
        <f>IF(B104="","",E104+F104)</f>
        <v/>
      </c>
      <c r="H104" s="117" t="str">
        <f>IF(B104="","",H103+G104)</f>
        <v/>
      </c>
    </row>
    <row r="105">
      <c r="B105" s="115" t="str">
        <f>IF(CHOOSE(inp_EscTabla,'Corrida 1'!$B$153,'Corrida 2'!$B$153,'Corrida 3'!$B$153,'Corrida 4'!$B$153)="","",94)</f>
        <v/>
      </c>
      <c r="C105" s="116" t="str">
        <f>IF(B105="","",CHOOSE(inp_EscTabla,'Corrida 1'!$D$153,'Corrida 2'!$D$153,'Corrida 3'!$D$153,'Corrida 4'!$D$153))</f>
        <v/>
      </c>
      <c r="D105" s="115" t="str">
        <f>IF(B105="","",IF(CHOOSE(inp_EscTabla,'Corrida 1'!$B$153,'Corrida 2'!$B$153,'Corrida 3'!$B$153,'Corrida 4'!$B$153)="Básico","Renta mensual",IF(CHOOSE(inp_EscTabla,'Corrida 1'!$B$153,'Corrida 2'!$B$153,'Corrida 3'!$B$153,'Corrida 4'!$B$153)="Sucesivo","Renta plazo sucesivo","Opción de compra")))</f>
        <v/>
      </c>
      <c r="E105" s="117" t="str">
        <f>IF(B105="","",CHOOSE(inp_EscTabla,'Corrida 1'!$F$153,'Corrida 2'!$F$153,'Corrida 3'!$F$153,'Corrida 4'!$F$153))</f>
        <v/>
      </c>
      <c r="F105" s="117" t="str">
        <f>IF(B105="","",CHOOSE(inp_EscTabla,'Corrida 1'!$J$153,'Corrida 2'!$J$153,'Corrida 3'!$J$153,'Corrida 4'!$J$153))</f>
        <v/>
      </c>
      <c r="G105" s="117" t="str">
        <f>IF(B105="","",E105+F105)</f>
        <v/>
      </c>
      <c r="H105" s="117" t="str">
        <f>IF(B105="","",H104+G105)</f>
        <v/>
      </c>
    </row>
    <row r="106">
      <c r="B106" s="115" t="str">
        <f>IF(CHOOSE(inp_EscTabla,'Corrida 1'!$B$154,'Corrida 2'!$B$154,'Corrida 3'!$B$154,'Corrida 4'!$B$154)="","",95)</f>
        <v/>
      </c>
      <c r="C106" s="116" t="str">
        <f>IF(B106="","",CHOOSE(inp_EscTabla,'Corrida 1'!$D$154,'Corrida 2'!$D$154,'Corrida 3'!$D$154,'Corrida 4'!$D$154))</f>
        <v/>
      </c>
      <c r="D106" s="115" t="str">
        <f>IF(B106="","",IF(CHOOSE(inp_EscTabla,'Corrida 1'!$B$154,'Corrida 2'!$B$154,'Corrida 3'!$B$154,'Corrida 4'!$B$154)="Básico","Renta mensual",IF(CHOOSE(inp_EscTabla,'Corrida 1'!$B$154,'Corrida 2'!$B$154,'Corrida 3'!$B$154,'Corrida 4'!$B$154)="Sucesivo","Renta plazo sucesivo","Opción de compra")))</f>
        <v/>
      </c>
      <c r="E106" s="117" t="str">
        <f>IF(B106="","",CHOOSE(inp_EscTabla,'Corrida 1'!$F$154,'Corrida 2'!$F$154,'Corrida 3'!$F$154,'Corrida 4'!$F$154))</f>
        <v/>
      </c>
      <c r="F106" s="117" t="str">
        <f>IF(B106="","",CHOOSE(inp_EscTabla,'Corrida 1'!$J$154,'Corrida 2'!$J$154,'Corrida 3'!$J$154,'Corrida 4'!$J$154))</f>
        <v/>
      </c>
      <c r="G106" s="117" t="str">
        <f>IF(B106="","",E106+F106)</f>
        <v/>
      </c>
      <c r="H106" s="117" t="str">
        <f>IF(B106="","",H105+G106)</f>
        <v/>
      </c>
    </row>
    <row r="107">
      <c r="B107" s="115" t="str">
        <f>IF(CHOOSE(inp_EscTabla,'Corrida 1'!$B$155,'Corrida 2'!$B$155,'Corrida 3'!$B$155,'Corrida 4'!$B$155)="","",96)</f>
        <v/>
      </c>
      <c r="C107" s="116" t="str">
        <f>IF(B107="","",CHOOSE(inp_EscTabla,'Corrida 1'!$D$155,'Corrida 2'!$D$155,'Corrida 3'!$D$155,'Corrida 4'!$D$155))</f>
        <v/>
      </c>
      <c r="D107" s="115" t="str">
        <f>IF(B107="","",IF(CHOOSE(inp_EscTabla,'Corrida 1'!$B$155,'Corrida 2'!$B$155,'Corrida 3'!$B$155,'Corrida 4'!$B$155)="Básico","Renta mensual",IF(CHOOSE(inp_EscTabla,'Corrida 1'!$B$155,'Corrida 2'!$B$155,'Corrida 3'!$B$155,'Corrida 4'!$B$155)="Sucesivo","Renta plazo sucesivo","Opción de compra")))</f>
        <v/>
      </c>
      <c r="E107" s="117" t="str">
        <f>IF(B107="","",CHOOSE(inp_EscTabla,'Corrida 1'!$F$155,'Corrida 2'!$F$155,'Corrida 3'!$F$155,'Corrida 4'!$F$155))</f>
        <v/>
      </c>
      <c r="F107" s="117" t="str">
        <f>IF(B107="","",CHOOSE(inp_EscTabla,'Corrida 1'!$J$155,'Corrida 2'!$J$155,'Corrida 3'!$J$155,'Corrida 4'!$J$155))</f>
        <v/>
      </c>
      <c r="G107" s="117" t="str">
        <f>IF(B107="","",E107+F107)</f>
        <v/>
      </c>
      <c r="H107" s="117" t="str">
        <f>IF(B107="","",H106+G107)</f>
        <v/>
      </c>
    </row>
    <row r="108">
      <c r="B108" s="115" t="str">
        <f>IF(CHOOSE(inp_EscTabla,'Corrida 1'!$B$156,'Corrida 2'!$B$156,'Corrida 3'!$B$156,'Corrida 4'!$B$156)="","",97)</f>
        <v/>
      </c>
      <c r="C108" s="116" t="str">
        <f>IF(B108="","",CHOOSE(inp_EscTabla,'Corrida 1'!$D$156,'Corrida 2'!$D$156,'Corrida 3'!$D$156,'Corrida 4'!$D$156))</f>
        <v/>
      </c>
      <c r="D108" s="115" t="str">
        <f>IF(B108="","",IF(CHOOSE(inp_EscTabla,'Corrida 1'!$B$156,'Corrida 2'!$B$156,'Corrida 3'!$B$156,'Corrida 4'!$B$156)="Básico","Renta mensual",IF(CHOOSE(inp_EscTabla,'Corrida 1'!$B$156,'Corrida 2'!$B$156,'Corrida 3'!$B$156,'Corrida 4'!$B$156)="Sucesivo","Renta plazo sucesivo","Opción de compra")))</f>
        <v/>
      </c>
      <c r="E108" s="117" t="str">
        <f>IF(B108="","",CHOOSE(inp_EscTabla,'Corrida 1'!$F$156,'Corrida 2'!$F$156,'Corrida 3'!$F$156,'Corrida 4'!$F$156))</f>
        <v/>
      </c>
      <c r="F108" s="117" t="str">
        <f>IF(B108="","",CHOOSE(inp_EscTabla,'Corrida 1'!$J$156,'Corrida 2'!$J$156,'Corrida 3'!$J$156,'Corrida 4'!$J$156))</f>
        <v/>
      </c>
      <c r="G108" s="117" t="str">
        <f>IF(B108="","",E108+F108)</f>
        <v/>
      </c>
      <c r="H108" s="117" t="str">
        <f>IF(B108="","",H107+G108)</f>
        <v/>
      </c>
    </row>
    <row r="109">
      <c r="B109" s="115" t="str">
        <f>IF(CHOOSE(inp_EscTabla,'Corrida 1'!$B$157,'Corrida 2'!$B$157,'Corrida 3'!$B$157,'Corrida 4'!$B$157)="","",98)</f>
        <v/>
      </c>
      <c r="C109" s="116" t="str">
        <f>IF(B109="","",CHOOSE(inp_EscTabla,'Corrida 1'!$D$157,'Corrida 2'!$D$157,'Corrida 3'!$D$157,'Corrida 4'!$D$157))</f>
        <v/>
      </c>
      <c r="D109" s="115" t="str">
        <f>IF(B109="","",IF(CHOOSE(inp_EscTabla,'Corrida 1'!$B$157,'Corrida 2'!$B$157,'Corrida 3'!$B$157,'Corrida 4'!$B$157)="Básico","Renta mensual",IF(CHOOSE(inp_EscTabla,'Corrida 1'!$B$157,'Corrida 2'!$B$157,'Corrida 3'!$B$157,'Corrida 4'!$B$157)="Sucesivo","Renta plazo sucesivo","Opción de compra")))</f>
        <v/>
      </c>
      <c r="E109" s="117" t="str">
        <f>IF(B109="","",CHOOSE(inp_EscTabla,'Corrida 1'!$F$157,'Corrida 2'!$F$157,'Corrida 3'!$F$157,'Corrida 4'!$F$157))</f>
        <v/>
      </c>
      <c r="F109" s="117" t="str">
        <f>IF(B109="","",CHOOSE(inp_EscTabla,'Corrida 1'!$J$157,'Corrida 2'!$J$157,'Corrida 3'!$J$157,'Corrida 4'!$J$157))</f>
        <v/>
      </c>
      <c r="G109" s="117" t="str">
        <f>IF(B109="","",E109+F109)</f>
        <v/>
      </c>
      <c r="H109" s="117" t="str">
        <f>IF(B109="","",H108+G109)</f>
        <v/>
      </c>
    </row>
    <row r="110">
      <c r="D110" s="57" t="inlineStr">
        <is>
          <t>TOTAL</t>
        </is>
      </c>
      <c r="E110" s="118">
        <f>SUM(E11:E109)</f>
        <v>988619.216047059</v>
      </c>
      <c r="F110" s="118">
        <f>SUM(F11:F109)</f>
        <v>158179.074567529</v>
      </c>
      <c r="G110" s="118">
        <f>SUM(G11:G109)</f>
        <v>1146798.29061459</v>
      </c>
    </row>
    <row r="111">
      <c r="B111" s="41" t="inlineStr">
        <is>
          <t>El depósito en garantía se incluye en el pago inicial y se aplica en el último pago. Cifras sujetas a aprobación de crédito.</t>
        </is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 password="D3B7"/>
  <mergeCells count="8">
    <mergeCell ref="B8:H8"/>
    <mergeCell ref="D6:H6"/>
    <mergeCell ref="B7:C7"/>
    <mergeCell ref="D2:H2"/>
    <mergeCell ref="D1:H1"/>
    <mergeCell ref="D5:H5"/>
    <mergeCell ref="B111:H111"/>
    <mergeCell ref="D4:H4"/>
  </mergeCells>
  <conditionalFormatting sqref="B12:H109">
    <cfRule type="expression" priority="1" dxfId="7">
      <formula>AND($B12&lt;&gt;"",MOD($B12,2)=0)</formula>
    </cfRule>
  </conditionalFormatting>
  <pageMargins left="0.75" right="0.75" top="1" bottom="1" header="0.5" footer="0.5"/>
  <pageSetup orientation="portrait" paperSize="1" fitToHeight="0" fitToWidth="1"/>
  <headerFooter>
    <oddHeader/>
    <oddFooter>&amp;CPágina &amp;P de &amp;N</oddFooter>
    <evenHeader/>
    <evenFooter/>
    <firstHeader/>
    <firstFooter/>
  </headerFooter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Hoja9">
    <tabColor rgb="005B9BD5"/>
    <outlinePr summaryBelow="1" summaryRight="1"/>
    <pageSetUpPr fitToPage="1"/>
  </sheetPr>
  <dimension ref="A1:T4"/>
  <sheetViews>
    <sheetView showGridLines="0" workbookViewId="0">
      <pane xSplit="1" ySplit="4" topLeftCell="B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2" customWidth="1" min="1" max="1"/>
    <col width="11" customWidth="1" min="2" max="2"/>
    <col width="30" customWidth="1" min="3" max="3"/>
    <col width="26" customWidth="1" min="4" max="4"/>
    <col width="22" customWidth="1" min="5" max="5"/>
    <col width="14" customWidth="1" min="6" max="6"/>
    <col width="15" customWidth="1" min="7" max="7"/>
    <col width="14" customWidth="1" min="8" max="8"/>
    <col width="15" customWidth="1" min="9" max="9"/>
    <col width="15" customWidth="1" min="10" max="10"/>
    <col width="15" customWidth="1" min="11" max="11"/>
    <col width="15" customWidth="1" min="12" max="12"/>
    <col width="10" customWidth="1" min="13" max="13"/>
    <col width="10" customWidth="1" min="14" max="14"/>
    <col width="10" customWidth="1" min="15" max="15"/>
    <col width="10" customWidth="1" min="16" max="16"/>
    <col width="15" customWidth="1" min="17" max="17"/>
    <col width="30" customWidth="1" min="18" max="18"/>
    <col width="16" customWidth="1" min="19" max="19"/>
    <col width="17" customWidth="1" min="20" max="20"/>
  </cols>
  <sheetData>
    <row r="1">
      <c r="A1" s="108" t="inlineStr">
        <is>
          <t>HISTORIAL DE COTIZACIONES</t>
        </is>
      </c>
    </row>
    <row r="2">
      <c r="A2" s="109" t="inlineStr">
        <is>
          <t>La macro "Guardar en historial" agrega una fila por folio. Para reabrir una cotización seleccione su fila y use "Cargar del historial". Las columnas a la derecha guardan todos los datos capturados.</t>
        </is>
      </c>
    </row>
    <row r="4" ht="30" customHeight="1">
      <c r="A4" s="111" t="inlineStr">
        <is>
          <t>Folio</t>
        </is>
      </c>
      <c r="B4" s="111" t="inlineStr">
        <is>
          <t>Fecha</t>
        </is>
      </c>
      <c r="C4" s="111" t="inlineStr">
        <is>
          <t>Cliente</t>
        </is>
      </c>
      <c r="D4" s="111" t="inlineStr">
        <is>
          <t>Equipo</t>
        </is>
      </c>
      <c r="E4" s="111" t="inlineStr">
        <is>
          <t>Promotor</t>
        </is>
      </c>
      <c r="F4" s="111" t="inlineStr">
        <is>
          <t>Moneda</t>
        </is>
      </c>
      <c r="G4" s="111" t="inlineStr">
        <is>
          <t>Valor equipo</t>
        </is>
      </c>
      <c r="H4" s="111" t="inlineStr">
        <is>
          <t>Plazos</t>
        </is>
      </c>
      <c r="I4" s="111" t="inlineStr">
        <is>
          <t>Renta c/IVA Esc.1</t>
        </is>
      </c>
      <c r="J4" s="111" t="inlineStr">
        <is>
          <t>Renta c/IVA Esc.2</t>
        </is>
      </c>
      <c r="K4" s="111" t="inlineStr">
        <is>
          <t>Renta c/IVA Esc.3</t>
        </is>
      </c>
      <c r="L4" s="111" t="inlineStr">
        <is>
          <t>Renta c/IVA Esc.4</t>
        </is>
      </c>
      <c r="M4" s="111" t="inlineStr">
        <is>
          <t>CM % Esc.1</t>
        </is>
      </c>
      <c r="N4" s="111" t="inlineStr">
        <is>
          <t>CM % Esc.2</t>
        </is>
      </c>
      <c r="O4" s="111" t="inlineStr">
        <is>
          <t>CM % Esc.3</t>
        </is>
      </c>
      <c r="P4" s="111" t="inlineStr">
        <is>
          <t>CM % Esc.4</t>
        </is>
      </c>
      <c r="Q4" s="111" t="inlineStr">
        <is>
          <t>Estatus</t>
        </is>
      </c>
      <c r="R4" s="111" t="inlineStr">
        <is>
          <t>Comentarios</t>
        </is>
      </c>
      <c r="S4" s="111" t="inlineStr">
        <is>
          <t>Guardado por</t>
        </is>
      </c>
      <c r="T4" s="111" t="inlineStr">
        <is>
          <t>Guardado el</t>
        </is>
      </c>
    </row>
  </sheetData>
  <autoFilter ref="A4:T4"/>
  <dataValidations count="1">
    <dataValidation sqref="Q5:Q2000" showDropDown="0" showInputMessage="0" showErrorMessage="0" allowBlank="1" errorTitle="Valor no válido" error="Seleccione un valor de la lista." type="list">
      <formula1>=lst_Estatus</formula1>
    </dataValidation>
  </dataValidations>
  <pageMargins left="0.75" right="0.75" top="1" bottom="1" header="0.5" footer="0.5"/>
  <pageSetup orientation="landscape" fitToHeight="0" fitToWidth="1"/>
  <drawing xmlns:r="http://schemas.openxmlformats.org/officeDocument/2006/relationships" r:id="rIdBtnDr"/>
</worksheet>
</file>

<file path=xl/worksheets/sheet10.xml><?xml version="1.0" encoding="utf-8"?>
<worksheet xmlns="http://schemas.openxmlformats.org/spreadsheetml/2006/main">
  <sheetPr codeName="Hoja10">
    <tabColor rgb="00808080"/>
    <outlinePr summaryBelow="1" summaryRight="1"/>
    <pageSetUpPr fitToPage="1"/>
  </sheetPr>
  <dimension ref="A1:S157"/>
  <sheetViews>
    <sheetView showGridLines="0" workbookViewId="0">
      <pane xSplit="2" ySplit="58" topLeftCell="C5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7" customWidth="1" min="1" max="1"/>
    <col width="44" customWidth="1" min="2" max="2"/>
    <col width="7" customWidth="1" min="3" max="3"/>
    <col width="12" customWidth="1" min="4" max="4"/>
    <col width="16" customWidth="1" min="5" max="5"/>
    <col width="15" customWidth="1" min="6" max="6"/>
    <col width="14" customWidth="1" min="7" max="7"/>
    <col width="15" customWidth="1" min="8" max="8"/>
    <col width="16" customWidth="1" min="9" max="9"/>
    <col width="13" customWidth="1" min="10" max="10"/>
    <col width="16" customWidth="1" min="11" max="11"/>
    <col width="16" customWidth="1" min="12" max="12"/>
    <col width="11" customWidth="1" min="13" max="13"/>
    <col width="16" customWidth="1" min="14" max="14"/>
    <col width="16" customWidth="1" min="15" max="15"/>
    <col width="12" customWidth="1" min="16" max="16"/>
    <col width="16" customWidth="1" min="17" max="17"/>
    <col width="16" customWidth="1" min="18" max="18"/>
    <col width="16" customWidth="1" min="19" max="19"/>
  </cols>
  <sheetData>
    <row r="1">
      <c r="A1" s="108" t="str">
        <f>"CORRIDA FINANCIERA – PLAZO "&amp;$C$5&amp;" MESES (escenario "&amp;$C$3&amp;")"</f>
        <v>CORRIDA FINANCIERA – PLAZO 12 MESES (escenario 1)</v>
      </c>
    </row>
    <row r="2">
      <c r="A2" s="109" t="inlineStr">
        <is>
          <t>Hoja de cálculo interna (protegida). Todos los datos vienen de la hoja Cotizador.</t>
        </is>
      </c>
    </row>
    <row r="3">
      <c r="B3" s="53" t="inlineStr">
        <is>
          <t>Escenario</t>
        </is>
      </c>
      <c r="C3" s="119" t="n">
        <v>1</v>
      </c>
      <c r="E3" s="120" t="inlineStr">
        <is>
          <t>RESULTADOS DEL ESCENARIO</t>
        </is>
      </c>
      <c r="F3" s="120" t="n"/>
      <c r="G3" s="120" t="n"/>
      <c r="H3" s="120" t="n"/>
      <c r="I3" s="120" t="n"/>
    </row>
    <row r="4">
      <c r="B4" s="53" t="inlineStr">
        <is>
          <t>Incluido en la carta</t>
        </is>
      </c>
      <c r="C4" s="30" t="str">
        <f>INDEX(esc_Incluir,$C$3)</f>
        <v>Sí</v>
      </c>
      <c r="E4" s="53" t="inlineStr">
        <is>
          <t>Cash margin C/R ($) = VP al fondeo de todos los flujos</t>
        </is>
      </c>
      <c r="I4" s="91">
        <f>C41+SUM(N60:N157)</f>
        <v>31705.958699361</v>
      </c>
    </row>
    <row r="5">
      <c r="B5" s="53" t="inlineStr">
        <is>
          <t>Plazo básico (n, meses)</t>
        </is>
      </c>
      <c r="C5" s="121">
        <f>INDEX(esc_Plazo,$C$3)</f>
        <v>12</v>
      </c>
      <c r="E5" s="53" t="inlineStr">
        <is>
          <t>Cash margin C/R (% del monto financiado)</t>
        </is>
      </c>
      <c r="I5" s="92">
        <f>IFERROR(I4/C19,0)</f>
        <v>0.0464484712232711</v>
      </c>
    </row>
    <row r="6">
      <c r="B6" s="53" t="inlineStr">
        <is>
          <t>Plazo sucesivo (m, meses)</t>
        </is>
      </c>
      <c r="C6" s="121">
        <f>INDEX(esc_Sucesivo,$C$3)</f>
        <v>0</v>
      </c>
      <c r="E6" s="53" t="inlineStr">
        <is>
          <t>Cash margin S/R ($) = sin pago final / residual</t>
        </is>
      </c>
      <c r="I6" s="32">
        <f>C41+SUM(S60:S157)</f>
        <v>-153976.021042956</v>
      </c>
    </row>
    <row r="7">
      <c r="B7" s="53" t="inlineStr">
        <is>
          <t>Tipo de pago (1 = anticipado, 0 = vencido)</t>
        </is>
      </c>
      <c r="C7" s="121">
        <f>IF(inp_Modalidad="Anticipado",1,0)</f>
        <v>0</v>
      </c>
      <c r="E7" s="53" t="inlineStr">
        <is>
          <t>Cash margin S/R (%)</t>
        </is>
      </c>
      <c r="I7" s="122">
        <f>IFERROR(I6/C19,0)</f>
        <v>-0.22557118837828</v>
      </c>
    </row>
    <row r="8">
      <c r="B8" s="53" t="inlineStr">
        <is>
          <t>Tasa anual plazo básico</t>
        </is>
      </c>
      <c r="C8" s="123">
        <f>IF(inp_ModoTasa="TIIE + margen",inp_TIIE+INDEX(esc_Margen,$C$3),INDEX(esc_Tasa,$C$3))</f>
        <v>0.246</v>
      </c>
      <c r="E8" s="53" t="inlineStr">
        <is>
          <t>TIR anual efectiva del arrendador (XIRR)</t>
        </is>
      </c>
      <c r="I8" s="92">
        <f>IFERROR(XIRR(Q59:Q157,P59:P157),"n/d")</f>
        <v>0.316344776839353</v>
      </c>
    </row>
    <row r="9">
      <c r="B9" s="53" t="inlineStr">
        <is>
          <t>Tasa mensual plazo básico (i)</t>
        </is>
      </c>
      <c r="C9" s="123">
        <f>C8/12</f>
        <v>0.0205</v>
      </c>
      <c r="E9" s="53" t="inlineStr">
        <is>
          <t>TIR nominal anual (capitalizable mensual)</t>
        </is>
      </c>
      <c r="I9" s="122">
        <f>IFERROR(12*((1+I8)^(1/12)-1),"n/d")</f>
        <v>0.278030765086823</v>
      </c>
    </row>
    <row r="10">
      <c r="B10" s="53" t="inlineStr">
        <is>
          <t>Tasa anual plazo sucesivo</t>
        </is>
      </c>
      <c r="C10" s="123">
        <f>IF(inp_ModoTasa="TIIE + margen",C8,INDEX(esc_TasaSuc,$C$3))</f>
        <v>0.246</v>
      </c>
      <c r="E10" s="53" t="inlineStr">
        <is>
          <t>CAT informativo sin IVA (flujos del cliente)</t>
        </is>
      </c>
      <c r="I10" s="122">
        <f>IFERROR(XIRR(R59:R157,P59:P157),"n/d")</f>
        <v>0.316344776839353</v>
      </c>
    </row>
    <row r="11">
      <c r="B11" s="53" t="inlineStr">
        <is>
          <t>Tasa mensual plazo sucesivo (i2)</t>
        </is>
      </c>
      <c r="C11" s="123">
        <f>C10/12</f>
        <v>0.0205</v>
      </c>
      <c r="E11" s="53" t="inlineStr">
        <is>
          <t>Σ factores de descuento de rentas básicas</t>
        </is>
      </c>
      <c r="I11" s="124">
        <f>SUMIF(B60:B157,"Básico",M60:M157)</f>
        <v>10.7672792894838</v>
      </c>
    </row>
    <row r="12">
      <c r="B12" s="53" t="inlineStr">
        <is>
          <t>Tasa de fondeo anual</t>
        </is>
      </c>
      <c r="C12" s="123">
        <f>inp_Fondeo</f>
        <v>0.205</v>
      </c>
      <c r="E12" s="53" t="inlineStr">
        <is>
          <t>Factor de descuento del último pago</t>
        </is>
      </c>
      <c r="I12" s="124">
        <f>IFERROR(INDEX(M60:M157,C38),0)</f>
        <v>0.816058978804652</v>
      </c>
    </row>
    <row r="13">
      <c r="B13" s="53" t="inlineStr">
        <is>
          <t>Tasa de fondeo mensual (f)</t>
        </is>
      </c>
      <c r="C13" s="123">
        <f>C12/12</f>
        <v>0.0170833333333333</v>
      </c>
      <c r="E13" s="53" t="inlineStr">
        <is>
          <t>Sensibilidad del CM a la renta (∂CM/∂R)</t>
        </is>
      </c>
      <c r="I13" s="124">
        <f>I11+C29*(1+C14)*(1-I12)+C34/30</f>
        <v>10.7672792894838</v>
      </c>
    </row>
    <row r="14">
      <c r="B14" s="53" t="inlineStr">
        <is>
          <t>Tasa de IVA</t>
        </is>
      </c>
      <c r="C14" s="122">
        <f>par_IVA</f>
        <v>0.16</v>
      </c>
      <c r="E14" s="53" t="inlineStr">
        <is>
          <t>Renta mínima para el CM objetivo (neto de comisión)</t>
        </is>
      </c>
      <c r="I14" s="32">
        <f>IFERROR((C45*C19+C44-(I4-C24*I13))/I13,0)</f>
        <v>47419.139648059</v>
      </c>
    </row>
    <row r="15">
      <c r="B15" s="53" t="inlineStr">
        <is>
          <t>Valor del equipo sin IVA (V)</t>
        </is>
      </c>
      <c r="C15" s="32">
        <f>inp_Valor</f>
        <v>758450</v>
      </c>
      <c r="E15" s="53" t="inlineStr">
        <is>
          <t>Tasa anual mínima para el CM objetivo</t>
        </is>
      </c>
      <c r="I15" s="122">
        <f>IFERROR(RATE(C5,I14,-C19,C21,C7)*12,"n/d")</f>
        <v>0.236026645810292</v>
      </c>
    </row>
    <row r="16">
      <c r="B16" s="53" t="inlineStr">
        <is>
          <t>Enganche</t>
        </is>
      </c>
      <c r="C16" s="32">
        <f>C15*INDEX(esc_Enganche,$C$3)</f>
        <v>75845</v>
      </c>
      <c r="E16" s="53" t="inlineStr">
        <is>
          <t>Saldo final de la tabla (debe ser 0)</t>
        </is>
      </c>
      <c r="I16" s="32">
        <f>IFERROR(INDEX(I60:I157,C38),0)</f>
        <v>0</v>
      </c>
    </row>
    <row r="17">
      <c r="B17" s="53" t="inlineStr">
        <is>
          <t>Seguro financiado</t>
        </is>
      </c>
      <c r="C17" s="32">
        <f>IF(INDEX(esc_SeguroForma,$C$3)="Financiado",INDEX(esc_Seguro,$C$3),0)</f>
        <v>0</v>
      </c>
      <c r="E17" s="53" t="inlineStr">
        <is>
          <t>Pago inicial: base sin IVA (anticipo+comisión+renta prop.+contado+gastos)</t>
        </is>
      </c>
      <c r="I17" s="32">
        <f>C16+C28+C35+C43+I29</f>
        <v>89497.1</v>
      </c>
    </row>
    <row r="18">
      <c r="B18" s="53" t="inlineStr">
        <is>
          <t>GPS financiado</t>
        </is>
      </c>
      <c r="C18" s="32">
        <f>IF(INDEX(esc_GPSForma,$C$3)="Financiado",INDEX(esc_GPS,$C$3),0)</f>
        <v>0</v>
      </c>
      <c r="E18" s="53" t="inlineStr">
        <is>
          <t>Pago inicial: IVA</t>
        </is>
      </c>
      <c r="I18" s="32">
        <f>I17*C14</f>
        <v>14319.536</v>
      </c>
    </row>
    <row r="19">
      <c r="B19" s="53" t="inlineStr">
        <is>
          <t>Monto a financiar (M = V − anticipo + financiados)</t>
        </is>
      </c>
      <c r="C19" s="91">
        <f>C15-C16+C17+C18+C42</f>
        <v>682605</v>
      </c>
      <c r="E19" s="53" t="inlineStr">
        <is>
          <t>Pago inicial: depósito en garantía</t>
        </is>
      </c>
      <c r="I19" s="32">
        <f>C30</f>
        <v>0</v>
      </c>
    </row>
    <row r="20">
      <c r="B20" s="53" t="inlineStr">
        <is>
          <t>Valor residual (% del valor)</t>
        </is>
      </c>
      <c r="C20" s="122">
        <f>INDEX(esc_Residual,$C$3)</f>
        <v>0.3</v>
      </c>
      <c r="E20" s="53" t="inlineStr">
        <is>
          <t>PAGO INICIAL TOTAL (con IVA)</t>
        </is>
      </c>
      <c r="I20" s="91">
        <f>I17+I18+I19</f>
        <v>103816.636</v>
      </c>
    </row>
    <row r="21">
      <c r="B21" s="53" t="inlineStr">
        <is>
          <t>Valor residual (VR)</t>
        </is>
      </c>
      <c r="C21" s="32">
        <f>C15*C20</f>
        <v>227535</v>
      </c>
      <c r="E21" s="53" t="inlineStr">
        <is>
          <t>IVA de la primera renta</t>
        </is>
      </c>
      <c r="I21" s="32">
        <f>IFERROR(J60,0)</f>
        <v>7652.47175427151</v>
      </c>
    </row>
    <row r="22">
      <c r="B22" s="53" t="inlineStr">
        <is>
          <t>Pago final (% del valor)</t>
        </is>
      </c>
      <c r="C22" s="122">
        <f>IF(INDEX(esc_PagoFinal,$C$3)="",C20,INDEX(esc_PagoFinal,$C$3))</f>
        <v>0.3</v>
      </c>
      <c r="E22" s="53" t="inlineStr">
        <is>
          <t>Total de pagos con IVA (rentas + pago final)</t>
        </is>
      </c>
      <c r="I22" s="32">
        <f>SUM(K60:K157)</f>
        <v>929705.642621622</v>
      </c>
    </row>
    <row r="23">
      <c r="B23" s="53" t="inlineStr">
        <is>
          <t>Pago final ($)</t>
        </is>
      </c>
      <c r="C23" s="32">
        <f>C15*C22</f>
        <v>227535</v>
      </c>
      <c r="E23" s="53" t="inlineStr">
        <is>
          <t>Spread (tasa cliente − tasa fondeo)</t>
        </is>
      </c>
      <c r="I23" s="122">
        <f>C8-C12</f>
        <v>0.041</v>
      </c>
    </row>
    <row r="24">
      <c r="B24" s="53" t="inlineStr">
        <is>
          <t>RENTA BÁSICA  R = PMT(i, n, −M, VR, tipo)</t>
        </is>
      </c>
      <c r="C24" s="91">
        <f>PMT(C9,C5,-C19,C21,C7)</f>
        <v>47827.948464197</v>
      </c>
      <c r="E24" s="53" t="inlineStr">
        <is>
          <t>Tasa anual aplicada</t>
        </is>
      </c>
      <c r="I24" s="122">
        <f>C8</f>
        <v>0.246</v>
      </c>
    </row>
    <row r="25">
      <c r="B25" s="53" t="inlineStr">
        <is>
          <t>Renta plazo sucesivo  Rs = PMT(i2, m, −PF, 0, tipo)</t>
        </is>
      </c>
      <c r="C25" s="32">
        <f>IF(C6&gt;0,PMT(C11,C6,-C23,0,C7),0)</f>
        <v>0</v>
      </c>
      <c r="E25" s="53" t="inlineStr">
        <is>
          <t>Cash margin neto de comisión del promotor ($)</t>
        </is>
      </c>
      <c r="I25" s="32">
        <f>I4-C44</f>
        <v>31705.958699361</v>
      </c>
    </row>
    <row r="26">
      <c r="B26" s="53" t="inlineStr">
        <is>
          <t>Opción de compra (si m = 0)</t>
        </is>
      </c>
      <c r="C26" s="32">
        <f>IF(C6=0,C23,0)</f>
        <v>227535</v>
      </c>
      <c r="E26" s="53" t="inlineStr">
        <is>
          <t>Cash margin neto (% del monto financiado)</t>
        </is>
      </c>
      <c r="I26" s="122">
        <f>IFERROR(I25/C19,0)</f>
        <v>0.0464484712232711</v>
      </c>
    </row>
    <row r="27">
      <c r="B27" s="53" t="inlineStr">
        <is>
          <t>Comisión por apertura (%)</t>
        </is>
      </c>
      <c r="C27" s="122">
        <f>INDEX(esc_Comision,$C$3)</f>
        <v>0.02</v>
      </c>
      <c r="E27" s="53" t="inlineStr">
        <is>
          <t>Dictamen vs. rate card</t>
        </is>
      </c>
      <c r="I27" s="30" t="str">
        <f>IF(AND(I26&gt;=C45,N(I8)&gt;=C46),"CUMPLE",IF(I26&gt;=C45,"CM OK / TIR BAJA","NO CUMPLE"))</f>
        <v>CUMPLE</v>
      </c>
    </row>
    <row r="28">
      <c r="B28" s="53" t="inlineStr">
        <is>
          <t>Comisión por apertura ($, sobre el monto financiado)</t>
        </is>
      </c>
      <c r="C28" s="32">
        <f>C19*C27</f>
        <v>13652.1</v>
      </c>
      <c r="E28" s="53" t="inlineStr">
        <is>
          <t>Margen mínimo sobre TIIE (si la tasa mínima aplica)</t>
        </is>
      </c>
      <c r="I28" s="122">
        <f>IFERROR(I15-inp_TIIE,"n/d")</f>
        <v>0.150026645810292</v>
      </c>
    </row>
    <row r="29">
      <c r="B29" s="53" t="inlineStr">
        <is>
          <t>Depósito en garantía (# rentas con IVA)</t>
        </is>
      </c>
      <c r="C29" s="125">
        <f>INDEX(esc_Deposito,$C$3)</f>
        <v>0</v>
      </c>
      <c r="E29" s="53" t="inlineStr">
        <is>
          <t>Seguro, GPS y otros de contado (sin IVA)</t>
        </is>
      </c>
      <c r="I29" s="32">
        <f>IF(INDEX(esc_SeguroForma,$C$3)="Contado",INDEX(esc_Seguro,$C$3),0)+IF(INDEX(esc_GPSForma,$C$3)="Contado",INDEX(esc_GPS,$C$3),0)+IF(INDEX(esc_OtrosForma,$C$3)="Contado",INDEX(esc_Otros,$C$3),0)</f>
        <v>0</v>
      </c>
    </row>
    <row r="30">
      <c r="B30" s="53" t="inlineStr">
        <is>
          <t>Depósito en garantía ($ = rentas + % del total financiado)</t>
        </is>
      </c>
      <c r="C30" s="32">
        <f>C29*C24*(1+C14)+INDEX(esc_DepPct,$C$3)*C19*(1+C14)</f>
        <v>0</v>
      </c>
    </row>
    <row r="31">
      <c r="B31" s="53" t="inlineStr">
        <is>
          <t>Fecha de firma / desembolso</t>
        </is>
      </c>
      <c r="C31" s="126">
        <f>inp_FechaFirma</f>
        <v>46301.0</v>
      </c>
    </row>
    <row r="32">
      <c r="B32" s="53" t="inlineStr">
        <is>
          <t>Fecha de la primera renta</t>
        </is>
      </c>
      <c r="C32" s="126">
        <f>inp_FechaPrimera</f>
        <v>46332.0</v>
      </c>
    </row>
    <row r="33">
      <c r="B33" s="53" t="inlineStr">
        <is>
          <t>Inicio del plazo (t = 0)</t>
        </is>
      </c>
      <c r="C33" s="126">
        <f>IF(C7=1,C32,EDATE(C32,-1))</f>
        <v>46301.0</v>
      </c>
    </row>
    <row r="34">
      <c r="B34" s="53" t="inlineStr">
        <is>
          <t>Días entre firma e inicio del plazo</t>
        </is>
      </c>
      <c r="C34" s="121">
        <f>MAX(0,C33-C31)</f>
        <v>0</v>
      </c>
      <c r="E34" s="127" t="inlineStr">
        <is>
          <t>Método: CM = flujo en firma + Σ flujo_t × (1+fa/base)^(−días) × (1+f)^(−t). Como el CM es lineal en la renta, la renta mínima se despeja en forma cerrada y la tasa mínima se obtiene con RATE. La tabla usa interés = (saldo − tipo × pago) × i, de modo que el saldo al término del plazo básico es exactamente el valor residual.</t>
        </is>
      </c>
    </row>
    <row r="35">
      <c r="B35" s="53" t="inlineStr">
        <is>
          <t>Renta proporcional (R/30 × días)</t>
        </is>
      </c>
      <c r="C35" s="32">
        <f>C24/30*C34</f>
        <v>0</v>
      </c>
    </row>
    <row r="36">
      <c r="B36" s="53" t="inlineStr">
        <is>
          <t>Comisión banco / alianza</t>
        </is>
      </c>
      <c r="C36" s="32">
        <f>inp_ComBanco</f>
        <v>0</v>
      </c>
    </row>
    <row r="37">
      <c r="B37" s="53" t="inlineStr">
        <is>
          <t>Factor de fondeo por días  (1+fa/base)^(−días)</t>
        </is>
      </c>
      <c r="C37" s="124">
        <f>(1+C12/par_BaseDias)^(-C34)</f>
        <v>1</v>
      </c>
    </row>
    <row r="38">
      <c r="B38" s="53" t="inlineStr">
        <is>
          <t>Número de pagos en la tabla</t>
        </is>
      </c>
      <c r="C38" s="121">
        <f>C5+IF(C6&gt;0,C6,IF(C23&gt;0,1,0))</f>
        <v>13</v>
      </c>
    </row>
    <row r="39">
      <c r="B39" s="53" t="inlineStr">
        <is>
          <t>Desembolso del arrendador en la firma</t>
        </is>
      </c>
      <c r="C39" s="32">
        <f>-(C15-inp_Descuento/(1+inp_IVAEquipo)+C17+C18+C42)</f>
        <v>-758450</v>
      </c>
    </row>
    <row r="40">
      <c r="B40" s="53" t="inlineStr">
        <is>
          <t>Cobros en la firma (anticipo+comisión+renta prop.+depósito+gastos−com. banco)</t>
        </is>
      </c>
      <c r="C40" s="32">
        <f>C16+C28+C35+C30-C36+C43</f>
        <v>89497.1</v>
      </c>
    </row>
    <row r="41">
      <c r="B41" s="53" t="inlineStr">
        <is>
          <t>Flujo neto del arrendador en la firma</t>
        </is>
      </c>
      <c r="C41" s="32">
        <f>C39+C40</f>
        <v>-668952.9</v>
      </c>
    </row>
    <row r="42">
      <c r="B42" s="53" t="inlineStr">
        <is>
          <t>Mantenimiento / garantía / otros financiados</t>
        </is>
      </c>
      <c r="C42" s="32">
        <f>IF(INDEX(esc_OtrosForma,$C$3)="Financiado",INDEX(esc_Otros,$C$3),0)</f>
        <v>0</v>
      </c>
    </row>
    <row r="43">
      <c r="B43" s="53" t="inlineStr">
        <is>
          <t>Gastos de investigación / validación</t>
        </is>
      </c>
      <c r="C43" s="32">
        <f>inp_GastosInv</f>
        <v>0</v>
      </c>
    </row>
    <row r="44">
      <c r="B44" s="53" t="inlineStr">
        <is>
          <t>Comisión del promotor ($)</t>
        </is>
      </c>
      <c r="C44" s="32">
        <f>inp_ComProm*C19</f>
        <v>0</v>
      </c>
    </row>
    <row r="45">
      <c r="B45" s="53" t="inlineStr">
        <is>
          <t>Cash margin objetivo (manual o rate card)</t>
        </is>
      </c>
      <c r="C45" s="122">
        <f>IF(inp_CMobj="",INDEX(rc_CM,IFERROR(MATCH(inp_Tier,rc_Tiers,0),5),IFERROR(MATCH(C5,rc_Plazos,1),1)),inp_CMobj)</f>
        <v>0.04</v>
      </c>
    </row>
    <row r="46">
      <c r="B46" s="53" t="inlineStr">
        <is>
          <t>TIR mínima (rate card)</t>
        </is>
      </c>
      <c r="C46" s="122">
        <f>INDEX(rc_TIR,IFERROR(MATCH(inp_Tier,rc_Tiers,0),5))</f>
        <v>0.24</v>
      </c>
    </row>
    <row r="47">
      <c r="B47" s="53" t="inlineStr">
        <is>
          <t>Residual máximo (rate card)</t>
        </is>
      </c>
      <c r="C47" s="122">
        <f>INDEX(rc_ResMax,1,IFERROR(MATCH(C5,rc_Plazos,1),1))</f>
        <v>0.4</v>
      </c>
    </row>
    <row r="48">
      <c r="B48" s="53" t="inlineStr">
        <is>
          <t>Renta: parte del equipo  PMT(i, n, −(V−anticipo), VR, tipo)</t>
        </is>
      </c>
      <c r="C48" s="32">
        <f>PMT(C9,C5,-(C15-C16),C21,C7)</f>
        <v>47827.948464197</v>
      </c>
    </row>
    <row r="49">
      <c r="B49" s="53" t="inlineStr">
        <is>
          <t>Renta: parte del seguro financiado</t>
        </is>
      </c>
      <c r="C49" s="32">
        <f>PMT(C9,C5,-C17,0,C7)</f>
        <v>0</v>
      </c>
    </row>
    <row r="50">
      <c r="B50" s="53" t="inlineStr">
        <is>
          <t>Renta: parte de otros gastos financiados</t>
        </is>
      </c>
      <c r="C50" s="32">
        <f>PMT(C9,C5,-C42,0,C7)</f>
        <v>0</v>
      </c>
    </row>
    <row r="51">
      <c r="B51" s="53" t="inlineStr">
        <is>
          <t>Deducibilidad estimada de la renta (ISR)</t>
        </is>
      </c>
      <c r="C51" s="122">
        <f>IF(inp_TipoActivo="Automóvil",MIN(1,par_LimAuto*30/C24),IF(inp_TipoActivo="Automóvil eléctrico / híbrido",MIN(1,par_LimAutoEV*30/C24),1))</f>
        <v>0.178765769274013</v>
      </c>
    </row>
    <row r="52">
      <c r="B52" s="53" t="inlineStr">
        <is>
          <t>Fecha del último pago</t>
        </is>
      </c>
      <c r="C52" s="126">
        <f>IFERROR(INDEX(D60:D157,C38),"")</f>
        <v>46666.0</v>
      </c>
    </row>
    <row r="53">
      <c r="B53" s="53" t="inlineStr">
        <is>
          <t>Renta: parte del GPS financiado</t>
        </is>
      </c>
      <c r="C53" s="32">
        <f>PMT(C9,C5,-C18,0,C7)</f>
        <v>0</v>
      </c>
    </row>
    <row r="58" ht="30" customHeight="1">
      <c r="A58" s="111" t="inlineStr">
        <is>
          <t>#</t>
        </is>
      </c>
      <c r="B58" s="111" t="inlineStr">
        <is>
          <t>Concepto</t>
        </is>
      </c>
      <c r="C58" s="111" t="inlineStr">
        <is>
          <t>t</t>
        </is>
      </c>
      <c r="D58" s="111" t="inlineStr">
        <is>
          <t>Fecha</t>
        </is>
      </c>
      <c r="E58" s="111" t="inlineStr">
        <is>
          <t>Saldo inicial</t>
        </is>
      </c>
      <c r="F58" s="111" t="inlineStr">
        <is>
          <t>Pago s/IVA</t>
        </is>
      </c>
      <c r="G58" s="111" t="inlineStr">
        <is>
          <t>Interés</t>
        </is>
      </c>
      <c r="H58" s="111" t="inlineStr">
        <is>
          <t>Capital</t>
        </is>
      </c>
      <c r="I58" s="111" t="inlineStr">
        <is>
          <t>Saldo final</t>
        </is>
      </c>
      <c r="J58" s="111" t="inlineStr">
        <is>
          <t>IVA</t>
        </is>
      </c>
      <c r="K58" s="111" t="inlineStr">
        <is>
          <t>Total c/IVA</t>
        </is>
      </c>
      <c r="L58" s="111" t="inlineStr">
        <is>
          <t>Flujo arrendador</t>
        </is>
      </c>
      <c r="M58" s="111" t="inlineStr">
        <is>
          <t>Factor desc.</t>
        </is>
      </c>
      <c r="N58" s="111" t="inlineStr">
        <is>
          <t>VP flujo</t>
        </is>
      </c>
      <c r="O58" s="111" t="inlineStr">
        <is>
          <t>Flujo S/R</t>
        </is>
      </c>
      <c r="P58" s="111" t="inlineStr">
        <is>
          <t>Fecha (XIRR)</t>
        </is>
      </c>
      <c r="Q58" s="111" t="inlineStr">
        <is>
          <t>Flujo XIRR</t>
        </is>
      </c>
      <c r="R58" s="111" t="inlineStr">
        <is>
          <t>Flujo cliente (CAT)</t>
        </is>
      </c>
      <c r="S58" s="111" t="inlineStr">
        <is>
          <t>VP flujo S/R</t>
        </is>
      </c>
    </row>
    <row r="59">
      <c r="A59" s="128" t="n">
        <v>0</v>
      </c>
      <c r="B59" s="128" t="inlineStr">
        <is>
          <t>Firma / desembolso</t>
        </is>
      </c>
      <c r="C59" s="128" t="n">
        <v>0</v>
      </c>
      <c r="D59" s="128">
        <f>C31</f>
        <v>46301.0</v>
      </c>
      <c r="E59" s="129" t="n"/>
      <c r="F59" s="129" t="n"/>
      <c r="G59" s="129" t="n"/>
      <c r="H59" s="129" t="n"/>
      <c r="I59" s="129" t="n"/>
      <c r="J59" s="129" t="n"/>
      <c r="K59" s="129" t="n"/>
      <c r="L59" s="128">
        <f>C41</f>
        <v>-668952.9</v>
      </c>
      <c r="M59" s="129" t="n"/>
      <c r="N59" s="129" t="n"/>
      <c r="O59" s="129" t="n"/>
      <c r="P59" s="128">
        <f>C31</f>
        <v>46301.0</v>
      </c>
      <c r="Q59" s="128">
        <f>C41</f>
        <v>-668952.9</v>
      </c>
      <c r="R59" s="128">
        <f>C19-C28-C35-C43</f>
        <v>668952.9</v>
      </c>
      <c r="S59" s="129" t="n"/>
    </row>
    <row r="60">
      <c r="A60" s="53" t="n">
        <v>1</v>
      </c>
      <c r="B60" s="53" t="str">
        <f>IF(A60&gt;$C$38,"",IF(A60&lt;=$C$5,"Básico",IF($C$6&gt;0,"Sucesivo","Opción de compra")))</f>
        <v>Básico</v>
      </c>
      <c r="C60" s="53">
        <f>IF(B60="","",IF(B60="Opción de compra",$C$5,A60-$C$7))</f>
        <v>1</v>
      </c>
      <c r="D60" s="130">
        <f>IF(B60="","",EDATE($C$33,C60))</f>
        <v>46332.0</v>
      </c>
      <c r="E60" s="117">
        <f>IF(B60="","",$C$19)</f>
        <v>682605</v>
      </c>
      <c r="F60" s="117">
        <f>IF(B60="","",IF(B60="Básico",$C$24,IF(B60="Sucesivo",$C$25,$C$26)))</f>
        <v>47827.948464197</v>
      </c>
      <c r="G60" s="117">
        <f>IF(B60="","",IF(B60="Opción de compra",0,(E60-$C$7*F60)*IF(B60="Sucesivo",$C$11,$C$9)))</f>
        <v>13993.4025</v>
      </c>
      <c r="H60" s="117">
        <f>IF(B60="","",F60-G60)</f>
        <v>33834.545964197</v>
      </c>
      <c r="I60" s="117">
        <f>IF(B60="","",E60-H60)</f>
        <v>648770.454035803</v>
      </c>
      <c r="J60" s="117">
        <f>IF(B60="","",IF(OR(inp_Tipo="Arrendamiento Puro",par_BaseIVAFin="Sobre renta",B60="Opción de compra"),F60,G60)*$C$14)</f>
        <v>7652.47175427151</v>
      </c>
      <c r="K60" s="117">
        <f>IF(B60="","",F60+J60)</f>
        <v>55480.4202184685</v>
      </c>
      <c r="L60" s="117">
        <f>IF(B60="","",F60-IF(A60=$C$38,$C$30,0))</f>
        <v>47827.948464197</v>
      </c>
      <c r="M60" s="131">
        <f>IF(B60="","",$C$37*(1+$C$13)^(-C60))</f>
        <v>0.983203605079885</v>
      </c>
      <c r="N60" s="117">
        <f>IF(B60="","",L60*M60)</f>
        <v>47024.6113535734</v>
      </c>
      <c r="O60" s="117">
        <f>IF(B60="","",IF(B60="Básico",F60,0)-IF(A60=$C$38,$C$30,0))</f>
        <v>47827.948464197</v>
      </c>
      <c r="P60" s="130">
        <f>IF(B60="",$C$31,D60)</f>
        <v>46332.0</v>
      </c>
      <c r="Q60" s="117">
        <f>IF(B60="",0,L60)</f>
        <v>47827.948464197</v>
      </c>
      <c r="R60" s="117">
        <f>IF(B60="",0,-F60)</f>
        <v>-47827.948464197</v>
      </c>
      <c r="S60" s="117">
        <f>IF(B60="","",O60*M60)</f>
        <v>47024.6113535734</v>
      </c>
    </row>
    <row r="61">
      <c r="A61" s="53" t="n">
        <v>2</v>
      </c>
      <c r="B61" s="53" t="str">
        <f>IF(A61&gt;$C$38,"",IF(A61&lt;=$C$5,"Básico",IF($C$6&gt;0,"Sucesivo","Opción de compra")))</f>
        <v>Básico</v>
      </c>
      <c r="C61" s="53">
        <f>IF(B61="","",IF(B61="Opción de compra",$C$5,A61-$C$7))</f>
        <v>2</v>
      </c>
      <c r="D61" s="130">
        <f>IF(B61="","",EDATE($C$33,C61))</f>
        <v>46362.0</v>
      </c>
      <c r="E61" s="117">
        <f>IF(B61="","",I60)</f>
        <v>648770.454035803</v>
      </c>
      <c r="F61" s="117">
        <f>IF(B61="","",IF(B61="Básico",$C$24,IF(B61="Sucesivo",$C$25,$C$26)))</f>
        <v>47827.948464197</v>
      </c>
      <c r="G61" s="117">
        <f>IF(B61="","",IF(B61="Opción de compra",0,(E61-$C$7*F61)*IF(B61="Sucesivo",$C$11,$C$9)))</f>
        <v>13299.794307734</v>
      </c>
      <c r="H61" s="117">
        <f>IF(B61="","",F61-G61)</f>
        <v>34528.154156463</v>
      </c>
      <c r="I61" s="117">
        <f>IF(B61="","",E61-H61)</f>
        <v>614242.29987934</v>
      </c>
      <c r="J61" s="117">
        <f>IF(B61="","",IF(OR(inp_Tipo="Arrendamiento Puro",par_BaseIVAFin="Sobre renta",B61="Opción de compra"),F61,G61)*$C$14)</f>
        <v>7652.47175427151</v>
      </c>
      <c r="K61" s="117">
        <f>IF(B61="","",F61+J61)</f>
        <v>55480.4202184685</v>
      </c>
      <c r="L61" s="117">
        <f>IF(B61="","",F61-IF(A61=$C$38,$C$30,0))</f>
        <v>47827.948464197</v>
      </c>
      <c r="M61" s="131">
        <f>IF(B61="","",$C$37*(1+$C$13)^(-C61))</f>
        <v>0.966689329042083</v>
      </c>
      <c r="N61" s="117">
        <f>IF(B61="","",L61*M61)</f>
        <v>46234.7674103139</v>
      </c>
      <c r="O61" s="117">
        <f>IF(B61="","",IF(B61="Básico",F61,0)-IF(A61=$C$38,$C$30,0))</f>
        <v>47827.948464197</v>
      </c>
      <c r="P61" s="130">
        <f>IF(B61="",$C$31,D61)</f>
        <v>46362.0</v>
      </c>
      <c r="Q61" s="117">
        <f>IF(B61="",0,L61)</f>
        <v>47827.948464197</v>
      </c>
      <c r="R61" s="117">
        <f>IF(B61="",0,-F61)</f>
        <v>-47827.948464197</v>
      </c>
      <c r="S61" s="117">
        <f>IF(B61="","",O61*M61)</f>
        <v>46234.7674103139</v>
      </c>
    </row>
    <row r="62">
      <c r="A62" s="53" t="n">
        <v>3</v>
      </c>
      <c r="B62" s="53" t="str">
        <f>IF(A62&gt;$C$38,"",IF(A62&lt;=$C$5,"Básico",IF($C$6&gt;0,"Sucesivo","Opción de compra")))</f>
        <v>Básico</v>
      </c>
      <c r="C62" s="53">
        <f>IF(B62="","",IF(B62="Opción de compra",$C$5,A62-$C$7))</f>
        <v>3</v>
      </c>
      <c r="D62" s="130">
        <f>IF(B62="","",EDATE($C$33,C62))</f>
        <v>46393.0</v>
      </c>
      <c r="E62" s="117">
        <f>IF(B62="","",I61)</f>
        <v>614242.29987934</v>
      </c>
      <c r="F62" s="117">
        <f>IF(B62="","",IF(B62="Básico",$C$24,IF(B62="Sucesivo",$C$25,$C$26)))</f>
        <v>47827.948464197</v>
      </c>
      <c r="G62" s="117">
        <f>IF(B62="","",IF(B62="Opción de compra",0,(E62-$C$7*F62)*IF(B62="Sucesivo",$C$11,$C$9)))</f>
        <v>12591.9671475265</v>
      </c>
      <c r="H62" s="117">
        <f>IF(B62="","",F62-G62)</f>
        <v>35235.9813166705</v>
      </c>
      <c r="I62" s="117">
        <f>IF(B62="","",E62-H62)</f>
        <v>579006.31856267</v>
      </c>
      <c r="J62" s="117">
        <f>IF(B62="","",IF(OR(inp_Tipo="Arrendamiento Puro",par_BaseIVAFin="Sobre renta",B62="Opción de compra"),F62,G62)*$C$14)</f>
        <v>7652.47175427151</v>
      </c>
      <c r="K62" s="117">
        <f>IF(B62="","",F62+J62)</f>
        <v>55480.4202184685</v>
      </c>
      <c r="L62" s="117">
        <f>IF(B62="","",F62-IF(A62=$C$38,$C$30,0))</f>
        <v>47827.948464197</v>
      </c>
      <c r="M62" s="131">
        <f>IF(B62="","",$C$37*(1+$C$13)^(-C62))</f>
        <v>0.950452433306432</v>
      </c>
      <c r="N62" s="117">
        <f>IF(B62="","",L62*M62)</f>
        <v>45458.1899978506</v>
      </c>
      <c r="O62" s="117">
        <f>IF(B62="","",IF(B62="Básico",F62,0)-IF(A62=$C$38,$C$30,0))</f>
        <v>47827.948464197</v>
      </c>
      <c r="P62" s="130">
        <f>IF(B62="",$C$31,D62)</f>
        <v>46393.0</v>
      </c>
      <c r="Q62" s="117">
        <f>IF(B62="",0,L62)</f>
        <v>47827.948464197</v>
      </c>
      <c r="R62" s="117">
        <f>IF(B62="",0,-F62)</f>
        <v>-47827.948464197</v>
      </c>
      <c r="S62" s="117">
        <f>IF(B62="","",O62*M62)</f>
        <v>45458.1899978506</v>
      </c>
    </row>
    <row r="63">
      <c r="A63" s="53" t="n">
        <v>4</v>
      </c>
      <c r="B63" s="53" t="str">
        <f>IF(A63&gt;$C$38,"",IF(A63&lt;=$C$5,"Básico",IF($C$6&gt;0,"Sucesivo","Opción de compra")))</f>
        <v>Básico</v>
      </c>
      <c r="C63" s="53">
        <f>IF(B63="","",IF(B63="Opción de compra",$C$5,A63-$C$7))</f>
        <v>4</v>
      </c>
      <c r="D63" s="130">
        <f>IF(B63="","",EDATE($C$33,C63))</f>
        <v>46424.0</v>
      </c>
      <c r="E63" s="117">
        <f>IF(B63="","",I62)</f>
        <v>579006.31856267</v>
      </c>
      <c r="F63" s="117">
        <f>IF(B63="","",IF(B63="Básico",$C$24,IF(B63="Sucesivo",$C$25,$C$26)))</f>
        <v>47827.948464197</v>
      </c>
      <c r="G63" s="117">
        <f>IF(B63="","",IF(B63="Opción de compra",0,(E63-$C$7*F63)*IF(B63="Sucesivo",$C$11,$C$9)))</f>
        <v>11869.6295305347</v>
      </c>
      <c r="H63" s="117">
        <f>IF(B63="","",F63-G63)</f>
        <v>35958.3189336622</v>
      </c>
      <c r="I63" s="117">
        <f>IF(B63="","",E63-H63)</f>
        <v>543047.999629007</v>
      </c>
      <c r="J63" s="117">
        <f>IF(B63="","",IF(OR(inp_Tipo="Arrendamiento Puro",par_BaseIVAFin="Sobre renta",B63="Opción de compra"),F63,G63)*$C$14)</f>
        <v>7652.47175427151</v>
      </c>
      <c r="K63" s="117">
        <f>IF(B63="","",F63+J63)</f>
        <v>55480.4202184685</v>
      </c>
      <c r="L63" s="117">
        <f>IF(B63="","",F63-IF(A63=$C$38,$C$30,0))</f>
        <v>47827.948464197</v>
      </c>
      <c r="M63" s="131">
        <f>IF(B63="","",$C$37*(1+$C$13)^(-C63))</f>
        <v>0.934488258883833</v>
      </c>
      <c r="N63" s="117">
        <f>IF(B63="","",L63*M63)</f>
        <v>44694.6562862931</v>
      </c>
      <c r="O63" s="117">
        <f>IF(B63="","",IF(B63="Básico",F63,0)-IF(A63=$C$38,$C$30,0))</f>
        <v>47827.948464197</v>
      </c>
      <c r="P63" s="130">
        <f>IF(B63="",$C$31,D63)</f>
        <v>46424.0</v>
      </c>
      <c r="Q63" s="117">
        <f>IF(B63="",0,L63)</f>
        <v>47827.948464197</v>
      </c>
      <c r="R63" s="117">
        <f>IF(B63="",0,-F63)</f>
        <v>-47827.948464197</v>
      </c>
      <c r="S63" s="117">
        <f>IF(B63="","",O63*M63)</f>
        <v>44694.6562862931</v>
      </c>
    </row>
    <row r="64">
      <c r="A64" s="53" t="n">
        <v>5</v>
      </c>
      <c r="B64" s="53" t="str">
        <f>IF(A64&gt;$C$38,"",IF(A64&lt;=$C$5,"Básico",IF($C$6&gt;0,"Sucesivo","Opción de compra")))</f>
        <v>Básico</v>
      </c>
      <c r="C64" s="53">
        <f>IF(B64="","",IF(B64="Opción de compra",$C$5,A64-$C$7))</f>
        <v>5</v>
      </c>
      <c r="D64" s="130">
        <f>IF(B64="","",EDATE($C$33,C64))</f>
        <v>46452.0</v>
      </c>
      <c r="E64" s="117">
        <f>IF(B64="","",I63)</f>
        <v>543047.999629007</v>
      </c>
      <c r="F64" s="117">
        <f>IF(B64="","",IF(B64="Básico",$C$24,IF(B64="Sucesivo",$C$25,$C$26)))</f>
        <v>47827.948464197</v>
      </c>
      <c r="G64" s="117">
        <f>IF(B64="","",IF(B64="Opción de compra",0,(E64-$C$7*F64)*IF(B64="Sucesivo",$C$11,$C$9)))</f>
        <v>11132.4839923947</v>
      </c>
      <c r="H64" s="117">
        <f>IF(B64="","",F64-G64)</f>
        <v>36695.4644718023</v>
      </c>
      <c r="I64" s="117">
        <f>IF(B64="","",E64-H64)</f>
        <v>506352.535157205</v>
      </c>
      <c r="J64" s="117">
        <f>IF(B64="","",IF(OR(inp_Tipo="Arrendamiento Puro",par_BaseIVAFin="Sobre renta",B64="Opción de compra"),F64,G64)*$C$14)</f>
        <v>7652.47175427151</v>
      </c>
      <c r="K64" s="117">
        <f>IF(B64="","",F64+J64)</f>
        <v>55480.4202184685</v>
      </c>
      <c r="L64" s="117">
        <f>IF(B64="","",F64-IF(A64=$C$38,$C$30,0))</f>
        <v>47827.948464197</v>
      </c>
      <c r="M64" s="131">
        <f>IF(B64="","",$C$37*(1+$C$13)^(-C64))</f>
        <v>0.918792225039409</v>
      </c>
      <c r="N64" s="117">
        <f>IF(B64="","",L64*M64)</f>
        <v>43943.9471884897</v>
      </c>
      <c r="O64" s="117">
        <f>IF(B64="","",IF(B64="Básico",F64,0)-IF(A64=$C$38,$C$30,0))</f>
        <v>47827.948464197</v>
      </c>
      <c r="P64" s="130">
        <f>IF(B64="",$C$31,D64)</f>
        <v>46452.0</v>
      </c>
      <c r="Q64" s="117">
        <f>IF(B64="",0,L64)</f>
        <v>47827.948464197</v>
      </c>
      <c r="R64" s="117">
        <f>IF(B64="",0,-F64)</f>
        <v>-47827.948464197</v>
      </c>
      <c r="S64" s="117">
        <f>IF(B64="","",O64*M64)</f>
        <v>43943.9471884897</v>
      </c>
    </row>
    <row r="65">
      <c r="A65" s="53" t="n">
        <v>6</v>
      </c>
      <c r="B65" s="53" t="str">
        <f>IF(A65&gt;$C$38,"",IF(A65&lt;=$C$5,"Básico",IF($C$6&gt;0,"Sucesivo","Opción de compra")))</f>
        <v>Básico</v>
      </c>
      <c r="C65" s="53">
        <f>IF(B65="","",IF(B65="Opción de compra",$C$5,A65-$C$7))</f>
        <v>6</v>
      </c>
      <c r="D65" s="130">
        <f>IF(B65="","",EDATE($C$33,C65))</f>
        <v>46483.0</v>
      </c>
      <c r="E65" s="117">
        <f>IF(B65="","",I64)</f>
        <v>506352.535157205</v>
      </c>
      <c r="F65" s="117">
        <f>IF(B65="","",IF(B65="Básico",$C$24,IF(B65="Sucesivo",$C$25,$C$26)))</f>
        <v>47827.948464197</v>
      </c>
      <c r="G65" s="117">
        <f>IF(B65="","",IF(B65="Opción de compra",0,(E65-$C$7*F65)*IF(B65="Sucesivo",$C$11,$C$9)))</f>
        <v>10380.2269707227</v>
      </c>
      <c r="H65" s="117">
        <f>IF(B65="","",F65-G65)</f>
        <v>37447.7214934743</v>
      </c>
      <c r="I65" s="117">
        <f>IF(B65="","",E65-H65)</f>
        <v>468904.813663731</v>
      </c>
      <c r="J65" s="117">
        <f>IF(B65="","",IF(OR(inp_Tipo="Arrendamiento Puro",par_BaseIVAFin="Sobre renta",B65="Opción de compra"),F65,G65)*$C$14)</f>
        <v>7652.47175427151</v>
      </c>
      <c r="K65" s="117">
        <f>IF(B65="","",F65+J65)</f>
        <v>55480.4202184685</v>
      </c>
      <c r="L65" s="117">
        <f>IF(B65="","",F65-IF(A65=$C$38,$C$30,0))</f>
        <v>47827.948464197</v>
      </c>
      <c r="M65" s="131">
        <f>IF(B65="","",$C$37*(1+$C$13)^(-C65))</f>
        <v>0.903359827978117</v>
      </c>
      <c r="N65" s="117">
        <f>IF(B65="","",L65*M65)</f>
        <v>43205.8472971632</v>
      </c>
      <c r="O65" s="117">
        <f>IF(B65="","",IF(B65="Básico",F65,0)-IF(A65=$C$38,$C$30,0))</f>
        <v>47827.948464197</v>
      </c>
      <c r="P65" s="130">
        <f>IF(B65="",$C$31,D65)</f>
        <v>46483.0</v>
      </c>
      <c r="Q65" s="117">
        <f>IF(B65="",0,L65)</f>
        <v>47827.948464197</v>
      </c>
      <c r="R65" s="117">
        <f>IF(B65="",0,-F65)</f>
        <v>-47827.948464197</v>
      </c>
      <c r="S65" s="117">
        <f>IF(B65="","",O65*M65)</f>
        <v>43205.8472971632</v>
      </c>
    </row>
    <row r="66">
      <c r="A66" s="53" t="n">
        <v>7</v>
      </c>
      <c r="B66" s="53" t="str">
        <f>IF(A66&gt;$C$38,"",IF(A66&lt;=$C$5,"Básico",IF($C$6&gt;0,"Sucesivo","Opción de compra")))</f>
        <v>Básico</v>
      </c>
      <c r="C66" s="53">
        <f>IF(B66="","",IF(B66="Opción de compra",$C$5,A66-$C$7))</f>
        <v>7</v>
      </c>
      <c r="D66" s="130">
        <f>IF(B66="","",EDATE($C$33,C66))</f>
        <v>46513.0</v>
      </c>
      <c r="E66" s="117">
        <f>IF(B66="","",I65)</f>
        <v>468904.813663731</v>
      </c>
      <c r="F66" s="117">
        <f>IF(B66="","",IF(B66="Básico",$C$24,IF(B66="Sucesivo",$C$25,$C$26)))</f>
        <v>47827.948464197</v>
      </c>
      <c r="G66" s="117">
        <f>IF(B66="","",IF(B66="Opción de compra",0,(E66-$C$7*F66)*IF(B66="Sucesivo",$C$11,$C$9)))</f>
        <v>9612.54868010648</v>
      </c>
      <c r="H66" s="117">
        <f>IF(B66="","",F66-G66)</f>
        <v>38215.3997840905</v>
      </c>
      <c r="I66" s="117">
        <f>IF(B66="","",E66-H66)</f>
        <v>430689.41387964</v>
      </c>
      <c r="J66" s="117">
        <f>IF(B66="","",IF(OR(inp_Tipo="Arrendamiento Puro",par_BaseIVAFin="Sobre renta",B66="Opción de compra"),F66,G66)*$C$14)</f>
        <v>7652.47175427151</v>
      </c>
      <c r="K66" s="117">
        <f>IF(B66="","",F66+J66)</f>
        <v>55480.4202184685</v>
      </c>
      <c r="L66" s="117">
        <f>IF(B66="","",F66-IF(A66=$C$38,$C$30,0))</f>
        <v>47827.948464197</v>
      </c>
      <c r="M66" s="131">
        <f>IF(B66="","",$C$37*(1+$C$13)^(-C66))</f>
        <v>0.888186639552429</v>
      </c>
      <c r="N66" s="117">
        <f>IF(B66="","",L66*M66)</f>
        <v>42480.1448231019</v>
      </c>
      <c r="O66" s="117">
        <f>IF(B66="","",IF(B66="Básico",F66,0)-IF(A66=$C$38,$C$30,0))</f>
        <v>47827.948464197</v>
      </c>
      <c r="P66" s="130">
        <f>IF(B66="",$C$31,D66)</f>
        <v>46513.0</v>
      </c>
      <c r="Q66" s="117">
        <f>IF(B66="",0,L66)</f>
        <v>47827.948464197</v>
      </c>
      <c r="R66" s="117">
        <f>IF(B66="",0,-F66)</f>
        <v>-47827.948464197</v>
      </c>
      <c r="S66" s="117">
        <f>IF(B66="","",O66*M66)</f>
        <v>42480.1448231019</v>
      </c>
    </row>
    <row r="67">
      <c r="A67" s="53" t="n">
        <v>8</v>
      </c>
      <c r="B67" s="53" t="str">
        <f>IF(A67&gt;$C$38,"",IF(A67&lt;=$C$5,"Básico",IF($C$6&gt;0,"Sucesivo","Opción de compra")))</f>
        <v>Básico</v>
      </c>
      <c r="C67" s="53">
        <f>IF(B67="","",IF(B67="Opción de compra",$C$5,A67-$C$7))</f>
        <v>8</v>
      </c>
      <c r="D67" s="130">
        <f>IF(B67="","",EDATE($C$33,C67))</f>
        <v>46544.0</v>
      </c>
      <c r="E67" s="117">
        <f>IF(B67="","",I66)</f>
        <v>430689.41387964</v>
      </c>
      <c r="F67" s="117">
        <f>IF(B67="","",IF(B67="Básico",$C$24,IF(B67="Sucesivo",$C$25,$C$26)))</f>
        <v>47827.948464197</v>
      </c>
      <c r="G67" s="117">
        <f>IF(B67="","",IF(B67="Opción de compra",0,(E67-$C$7*F67)*IF(B67="Sucesivo",$C$11,$C$9)))</f>
        <v>8829.13298453263</v>
      </c>
      <c r="H67" s="117">
        <f>IF(B67="","",F67-G67)</f>
        <v>38998.8154796643</v>
      </c>
      <c r="I67" s="117">
        <f>IF(B67="","",E67-H67)</f>
        <v>391690.598399976</v>
      </c>
      <c r="J67" s="117">
        <f>IF(B67="","",IF(OR(inp_Tipo="Arrendamiento Puro",par_BaseIVAFin="Sobre renta",B67="Opción de compra"),F67,G67)*$C$14)</f>
        <v>7652.47175427151</v>
      </c>
      <c r="K67" s="117">
        <f>IF(B67="","",F67+J67)</f>
        <v>55480.4202184685</v>
      </c>
      <c r="L67" s="117">
        <f>IF(B67="","",F67-IF(A67=$C$38,$C$30,0))</f>
        <v>47827.948464197</v>
      </c>
      <c r="M67" s="131">
        <f>IF(B67="","",$C$37*(1+$C$13)^(-C67))</f>
        <v>0.873268305991737</v>
      </c>
      <c r="N67" s="117">
        <f>IF(B67="","",L67*M67)</f>
        <v>41766.6315343894</v>
      </c>
      <c r="O67" s="117">
        <f>IF(B67="","",IF(B67="Básico",F67,0)-IF(A67=$C$38,$C$30,0))</f>
        <v>47827.948464197</v>
      </c>
      <c r="P67" s="130">
        <f>IF(B67="",$C$31,D67)</f>
        <v>46544.0</v>
      </c>
      <c r="Q67" s="117">
        <f>IF(B67="",0,L67)</f>
        <v>47827.948464197</v>
      </c>
      <c r="R67" s="117">
        <f>IF(B67="",0,-F67)</f>
        <v>-47827.948464197</v>
      </c>
      <c r="S67" s="117">
        <f>IF(B67="","",O67*M67)</f>
        <v>41766.6315343894</v>
      </c>
    </row>
    <row r="68">
      <c r="A68" s="53" t="n">
        <v>9</v>
      </c>
      <c r="B68" s="53" t="str">
        <f>IF(A68&gt;$C$38,"",IF(A68&lt;=$C$5,"Básico",IF($C$6&gt;0,"Sucesivo","Opción de compra")))</f>
        <v>Básico</v>
      </c>
      <c r="C68" s="53">
        <f>IF(B68="","",IF(B68="Opción de compra",$C$5,A68-$C$7))</f>
        <v>9</v>
      </c>
      <c r="D68" s="130">
        <f>IF(B68="","",EDATE($C$33,C68))</f>
        <v>46574.0</v>
      </c>
      <c r="E68" s="117">
        <f>IF(B68="","",I67)</f>
        <v>391690.598399976</v>
      </c>
      <c r="F68" s="117">
        <f>IF(B68="","",IF(B68="Básico",$C$24,IF(B68="Sucesivo",$C$25,$C$26)))</f>
        <v>47827.948464197</v>
      </c>
      <c r="G68" s="117">
        <f>IF(B68="","",IF(B68="Opción de compra",0,(E68-$C$7*F68)*IF(B68="Sucesivo",$C$11,$C$9)))</f>
        <v>8029.65726719951</v>
      </c>
      <c r="H68" s="117">
        <f>IF(B68="","",F68-G68)</f>
        <v>39798.2911969974</v>
      </c>
      <c r="I68" s="117">
        <f>IF(B68="","",E68-H68)</f>
        <v>351892.307202979</v>
      </c>
      <c r="J68" s="117">
        <f>IF(B68="","",IF(OR(inp_Tipo="Arrendamiento Puro",par_BaseIVAFin="Sobre renta",B68="Opción de compra"),F68,G68)*$C$14)</f>
        <v>7652.47175427151</v>
      </c>
      <c r="K68" s="117">
        <f>IF(B68="","",F68+J68)</f>
        <v>55480.4202184685</v>
      </c>
      <c r="L68" s="117">
        <f>IF(B68="","",F68-IF(A68=$C$38,$C$30,0))</f>
        <v>47827.948464197</v>
      </c>
      <c r="M68" s="131">
        <f>IF(B68="","",$C$37*(1+$C$13)^(-C68))</f>
        <v>0.85860054665308</v>
      </c>
      <c r="N68" s="117">
        <f>IF(B68="","",L68*M68)</f>
        <v>41065.1026966549</v>
      </c>
      <c r="O68" s="117">
        <f>IF(B68="","",IF(B68="Básico",F68,0)-IF(A68=$C$38,$C$30,0))</f>
        <v>47827.948464197</v>
      </c>
      <c r="P68" s="130">
        <f>IF(B68="",$C$31,D68)</f>
        <v>46574.0</v>
      </c>
      <c r="Q68" s="117">
        <f>IF(B68="",0,L68)</f>
        <v>47827.948464197</v>
      </c>
      <c r="R68" s="117">
        <f>IF(B68="",0,-F68)</f>
        <v>-47827.948464197</v>
      </c>
      <c r="S68" s="117">
        <f>IF(B68="","",O68*M68)</f>
        <v>41065.1026966549</v>
      </c>
    </row>
    <row r="69">
      <c r="A69" s="53" t="n">
        <v>10</v>
      </c>
      <c r="B69" s="53" t="str">
        <f>IF(A69&gt;$C$38,"",IF(A69&lt;=$C$5,"Básico",IF($C$6&gt;0,"Sucesivo","Opción de compra")))</f>
        <v>Básico</v>
      </c>
      <c r="C69" s="53">
        <f>IF(B69="","",IF(B69="Opción de compra",$C$5,A69-$C$7))</f>
        <v>10</v>
      </c>
      <c r="D69" s="130">
        <f>IF(B69="","",EDATE($C$33,C69))</f>
        <v>46605.0</v>
      </c>
      <c r="E69" s="117">
        <f>IF(B69="","",I68)</f>
        <v>351892.307202979</v>
      </c>
      <c r="F69" s="117">
        <f>IF(B69="","",IF(B69="Básico",$C$24,IF(B69="Sucesivo",$C$25,$C$26)))</f>
        <v>47827.948464197</v>
      </c>
      <c r="G69" s="117">
        <f>IF(B69="","",IF(B69="Opción de compra",0,(E69-$C$7*F69)*IF(B69="Sucesivo",$C$11,$C$9)))</f>
        <v>7213.79229766106</v>
      </c>
      <c r="H69" s="117">
        <f>IF(B69="","",F69-G69)</f>
        <v>40614.1561665359</v>
      </c>
      <c r="I69" s="117">
        <f>IF(B69="","",E69-H69)</f>
        <v>311278.151036443</v>
      </c>
      <c r="J69" s="117">
        <f>IF(B69="","",IF(OR(inp_Tipo="Arrendamiento Puro",par_BaseIVAFin="Sobre renta",B69="Opción de compra"),F69,G69)*$C$14)</f>
        <v>7652.47175427151</v>
      </c>
      <c r="K69" s="117">
        <f>IF(B69="","",F69+J69)</f>
        <v>55480.4202184685</v>
      </c>
      <c r="L69" s="117">
        <f>IF(B69="","",F69-IF(A69=$C$38,$C$30,0))</f>
        <v>47827.948464197</v>
      </c>
      <c r="M69" s="131">
        <f>IF(B69="","",$C$37*(1+$C$13)^(-C69))</f>
        <v>0.844179152792869</v>
      </c>
      <c r="N69" s="117">
        <f>IF(B69="","",L69*M69)</f>
        <v>40375.3570143268</v>
      </c>
      <c r="O69" s="117">
        <f>IF(B69="","",IF(B69="Básico",F69,0)-IF(A69=$C$38,$C$30,0))</f>
        <v>47827.948464197</v>
      </c>
      <c r="P69" s="130">
        <f>IF(B69="",$C$31,D69)</f>
        <v>46605.0</v>
      </c>
      <c r="Q69" s="117">
        <f>IF(B69="",0,L69)</f>
        <v>47827.948464197</v>
      </c>
      <c r="R69" s="117">
        <f>IF(B69="",0,-F69)</f>
        <v>-47827.948464197</v>
      </c>
      <c r="S69" s="117">
        <f>IF(B69="","",O69*M69)</f>
        <v>40375.3570143268</v>
      </c>
    </row>
    <row r="70">
      <c r="A70" s="53" t="n">
        <v>11</v>
      </c>
      <c r="B70" s="53" t="str">
        <f>IF(A70&gt;$C$38,"",IF(A70&lt;=$C$5,"Básico",IF($C$6&gt;0,"Sucesivo","Opción de compra")))</f>
        <v>Básico</v>
      </c>
      <c r="C70" s="53">
        <f>IF(B70="","",IF(B70="Opción de compra",$C$5,A70-$C$7))</f>
        <v>11</v>
      </c>
      <c r="D70" s="130">
        <f>IF(B70="","",EDATE($C$33,C70))</f>
        <v>46636.0</v>
      </c>
      <c r="E70" s="117">
        <f>IF(B70="","",I69)</f>
        <v>311278.151036443</v>
      </c>
      <c r="F70" s="117">
        <f>IF(B70="","",IF(B70="Básico",$C$24,IF(B70="Sucesivo",$C$25,$C$26)))</f>
        <v>47827.948464197</v>
      </c>
      <c r="G70" s="117">
        <f>IF(B70="","",IF(B70="Opción de compra",0,(E70-$C$7*F70)*IF(B70="Sucesivo",$C$11,$C$9)))</f>
        <v>6381.20209624708</v>
      </c>
      <c r="H70" s="117">
        <f>IF(B70="","",F70-G70)</f>
        <v>41446.7463679499</v>
      </c>
      <c r="I70" s="117">
        <f>IF(B70="","",E70-H70)</f>
        <v>269831.404668493</v>
      </c>
      <c r="J70" s="117">
        <f>IF(B70="","",IF(OR(inp_Tipo="Arrendamiento Puro",par_BaseIVAFin="Sobre renta",B70="Opción de compra"),F70,G70)*$C$14)</f>
        <v>7652.47175427151</v>
      </c>
      <c r="K70" s="117">
        <f>IF(B70="","",F70+J70)</f>
        <v>55480.4202184685</v>
      </c>
      <c r="L70" s="117">
        <f>IF(B70="","",F70-IF(A70=$C$38,$C$30,0))</f>
        <v>47827.948464197</v>
      </c>
      <c r="M70" s="131">
        <f>IF(B70="","",$C$37*(1+$C$13)^(-C70))</f>
        <v>0.829999986359232</v>
      </c>
      <c r="N70" s="117">
        <f>IF(B70="","",L70*M70)</f>
        <v>39697.1965728735</v>
      </c>
      <c r="O70" s="117">
        <f>IF(B70="","",IF(B70="Básico",F70,0)-IF(A70=$C$38,$C$30,0))</f>
        <v>47827.948464197</v>
      </c>
      <c r="P70" s="130">
        <f>IF(B70="",$C$31,D70)</f>
        <v>46636.0</v>
      </c>
      <c r="Q70" s="117">
        <f>IF(B70="",0,L70)</f>
        <v>47827.948464197</v>
      </c>
      <c r="R70" s="117">
        <f>IF(B70="",0,-F70)</f>
        <v>-47827.948464197</v>
      </c>
      <c r="S70" s="117">
        <f>IF(B70="","",O70*M70)</f>
        <v>39697.1965728735</v>
      </c>
    </row>
    <row r="71">
      <c r="A71" s="53" t="n">
        <v>12</v>
      </c>
      <c r="B71" s="53" t="str">
        <f>IF(A71&gt;$C$38,"",IF(A71&lt;=$C$5,"Básico",IF($C$6&gt;0,"Sucesivo","Opción de compra")))</f>
        <v>Básico</v>
      </c>
      <c r="C71" s="53">
        <f>IF(B71="","",IF(B71="Opción de compra",$C$5,A71-$C$7))</f>
        <v>12</v>
      </c>
      <c r="D71" s="130">
        <f>IF(B71="","",EDATE($C$33,C71))</f>
        <v>46666.0</v>
      </c>
      <c r="E71" s="117">
        <f>IF(B71="","",I70)</f>
        <v>269831.404668493</v>
      </c>
      <c r="F71" s="117">
        <f>IF(B71="","",IF(B71="Básico",$C$24,IF(B71="Sucesivo",$C$25,$C$26)))</f>
        <v>47827.948464197</v>
      </c>
      <c r="G71" s="117">
        <f>IF(B71="","",IF(B71="Opción de compra",0,(E71-$C$7*F71)*IF(B71="Sucesivo",$C$11,$C$9)))</f>
        <v>5531.5437957041</v>
      </c>
      <c r="H71" s="117">
        <f>IF(B71="","",F71-G71)</f>
        <v>42296.4046684929</v>
      </c>
      <c r="I71" s="117">
        <f>IF(B71="","",E71-H71)</f>
        <v>227535</v>
      </c>
      <c r="J71" s="117">
        <f>IF(B71="","",IF(OR(inp_Tipo="Arrendamiento Puro",par_BaseIVAFin="Sobre renta",B71="Opción de compra"),F71,G71)*$C$14)</f>
        <v>7652.47175427151</v>
      </c>
      <c r="K71" s="117">
        <f>IF(B71="","",F71+J71)</f>
        <v>55480.4202184685</v>
      </c>
      <c r="L71" s="117">
        <f>IF(B71="","",F71-IF(A71=$C$38,$C$30,0))</f>
        <v>47827.948464197</v>
      </c>
      <c r="M71" s="131">
        <f>IF(B71="","",$C$37*(1+$C$13)^(-C71))</f>
        <v>0.816058978804652</v>
      </c>
      <c r="N71" s="117">
        <f>IF(B71="","",L71*M71)</f>
        <v>39030.4267820141</v>
      </c>
      <c r="O71" s="117">
        <f>IF(B71="","",IF(B71="Básico",F71,0)-IF(A71=$C$38,$C$30,0))</f>
        <v>47827.948464197</v>
      </c>
      <c r="P71" s="130">
        <f>IF(B71="",$C$31,D71)</f>
        <v>46666.0</v>
      </c>
      <c r="Q71" s="117">
        <f>IF(B71="",0,L71)</f>
        <v>47827.948464197</v>
      </c>
      <c r="R71" s="117">
        <f>IF(B71="",0,-F71)</f>
        <v>-47827.948464197</v>
      </c>
      <c r="S71" s="117">
        <f>IF(B71="","",O71*M71)</f>
        <v>39030.4267820141</v>
      </c>
    </row>
    <row r="72">
      <c r="A72" s="53" t="n">
        <v>13</v>
      </c>
      <c r="B72" s="53" t="str">
        <f>IF(A72&gt;$C$38,"",IF(A72&lt;=$C$5,"Básico",IF($C$6&gt;0,"Sucesivo","Opción de compra")))</f>
        <v>Opción de compra</v>
      </c>
      <c r="C72" s="53">
        <f>IF(B72="","",IF(B72="Opción de compra",$C$5,A72-$C$7))</f>
        <v>12</v>
      </c>
      <c r="D72" s="130">
        <f>IF(B72="","",EDATE($C$33,C72))</f>
        <v>46666.0</v>
      </c>
      <c r="E72" s="117">
        <f>IF(B72="","",I71)</f>
        <v>227535</v>
      </c>
      <c r="F72" s="117">
        <f>IF(B72="","",IF(B72="Básico",$C$24,IF(B72="Sucesivo",$C$25,$C$26)))</f>
        <v>227535</v>
      </c>
      <c r="G72" s="117">
        <f>IF(B72="","",IF(B72="Opción de compra",0,(E72-$C$7*F72)*IF(B72="Sucesivo",$C$11,$C$9)))</f>
        <v>0</v>
      </c>
      <c r="H72" s="117">
        <f>IF(B72="","",F72-G72)</f>
        <v>227535</v>
      </c>
      <c r="I72" s="117">
        <f>IF(B72="","",E72-H72)</f>
        <v>0</v>
      </c>
      <c r="J72" s="117">
        <f>IF(B72="","",IF(OR(inp_Tipo="Arrendamiento Puro",par_BaseIVAFin="Sobre renta",B72="Opción de compra"),F72,G72)*$C$14)</f>
        <v>36405.6</v>
      </c>
      <c r="K72" s="117">
        <f>IF(B72="","",F72+J72)</f>
        <v>263940.6</v>
      </c>
      <c r="L72" s="117">
        <f>IF(B72="","",F72-IF(A72=$C$38,$C$30,0))</f>
        <v>227535</v>
      </c>
      <c r="M72" s="131">
        <f>IF(B72="","",$C$37*(1+$C$13)^(-C72))</f>
        <v>0.816058978804652</v>
      </c>
      <c r="N72" s="117">
        <f>IF(B72="","",L72*M72)</f>
        <v>185681.979742317</v>
      </c>
      <c r="O72" s="117">
        <f>IF(B72="","",IF(B72="Básico",F72,0)-IF(A72=$C$38,$C$30,0))</f>
        <v>0</v>
      </c>
      <c r="P72" s="130">
        <f>IF(B72="",$C$31,D72)</f>
        <v>46666.0</v>
      </c>
      <c r="Q72" s="117">
        <f>IF(B72="",0,L72)</f>
        <v>227535</v>
      </c>
      <c r="R72" s="117">
        <f>IF(B72="",0,-F72)</f>
        <v>-227535</v>
      </c>
      <c r="S72" s="117">
        <f>IF(B72="","",O72*M72)</f>
        <v>0</v>
      </c>
    </row>
    <row r="73">
      <c r="A73" s="53" t="n">
        <v>14</v>
      </c>
      <c r="B73" s="53" t="str">
        <f>IF(A73&gt;$C$38,"",IF(A73&lt;=$C$5,"Básico",IF($C$6&gt;0,"Sucesivo","Opción de compra")))</f>
        <v/>
      </c>
      <c r="C73" s="53" t="str">
        <f>IF(B73="","",IF(B73="Opción de compra",$C$5,A73-$C$7))</f>
        <v/>
      </c>
      <c r="D73" s="130" t="str">
        <f>IF(B73="","",EDATE($C$33,C73))</f>
        <v/>
      </c>
      <c r="E73" s="117" t="str">
        <f>IF(B73="","",I72)</f>
        <v/>
      </c>
      <c r="F73" s="117" t="str">
        <f>IF(B73="","",IF(B73="Básico",$C$24,IF(B73="Sucesivo",$C$25,$C$26)))</f>
        <v/>
      </c>
      <c r="G73" s="117" t="str">
        <f>IF(B73="","",IF(B73="Opción de compra",0,(E73-$C$7*F73)*IF(B73="Sucesivo",$C$11,$C$9)))</f>
        <v/>
      </c>
      <c r="H73" s="117" t="str">
        <f>IF(B73="","",F73-G73)</f>
        <v/>
      </c>
      <c r="I73" s="117" t="str">
        <f>IF(B73="","",E73-H73)</f>
        <v/>
      </c>
      <c r="J73" s="117" t="str">
        <f>IF(B73="","",IF(OR(inp_Tipo="Arrendamiento Puro",par_BaseIVAFin="Sobre renta",B73="Opción de compra"),F73,G73)*$C$14)</f>
        <v/>
      </c>
      <c r="K73" s="117" t="str">
        <f>IF(B73="","",F73+J73)</f>
        <v/>
      </c>
      <c r="L73" s="117" t="str">
        <f>IF(B73="","",F73-IF(A73=$C$38,$C$30,0))</f>
        <v/>
      </c>
      <c r="M73" s="131" t="str">
        <f>IF(B73="","",$C$37*(1+$C$13)^(-C73))</f>
        <v/>
      </c>
      <c r="N73" s="117" t="str">
        <f>IF(B73="","",L73*M73)</f>
        <v/>
      </c>
      <c r="O73" s="117" t="str">
        <f>IF(B73="","",IF(B73="Básico",F73,0)-IF(A73=$C$38,$C$30,0))</f>
        <v/>
      </c>
      <c r="P73" s="130">
        <f>IF(B73="",$C$31,D73)</f>
        <v>46301.0</v>
      </c>
      <c r="Q73" s="117">
        <f>IF(B73="",0,L73)</f>
        <v>0</v>
      </c>
      <c r="R73" s="117">
        <f>IF(B73="",0,-F73)</f>
        <v>0</v>
      </c>
      <c r="S73" s="117" t="str">
        <f>IF(B73="","",O73*M73)</f>
        <v/>
      </c>
    </row>
    <row r="74">
      <c r="A74" s="53" t="n">
        <v>15</v>
      </c>
      <c r="B74" s="53" t="str">
        <f>IF(A74&gt;$C$38,"",IF(A74&lt;=$C$5,"Básico",IF($C$6&gt;0,"Sucesivo","Opción de compra")))</f>
        <v/>
      </c>
      <c r="C74" s="53" t="str">
        <f>IF(B74="","",IF(B74="Opción de compra",$C$5,A74-$C$7))</f>
        <v/>
      </c>
      <c r="D74" s="130" t="str">
        <f>IF(B74="","",EDATE($C$33,C74))</f>
        <v/>
      </c>
      <c r="E74" s="117" t="str">
        <f>IF(B74="","",I73)</f>
        <v/>
      </c>
      <c r="F74" s="117" t="str">
        <f>IF(B74="","",IF(B74="Básico",$C$24,IF(B74="Sucesivo",$C$25,$C$26)))</f>
        <v/>
      </c>
      <c r="G74" s="117" t="str">
        <f>IF(B74="","",IF(B74="Opción de compra",0,(E74-$C$7*F74)*IF(B74="Sucesivo",$C$11,$C$9)))</f>
        <v/>
      </c>
      <c r="H74" s="117" t="str">
        <f>IF(B74="","",F74-G74)</f>
        <v/>
      </c>
      <c r="I74" s="117" t="str">
        <f>IF(B74="","",E74-H74)</f>
        <v/>
      </c>
      <c r="J74" s="117" t="str">
        <f>IF(B74="","",IF(OR(inp_Tipo="Arrendamiento Puro",par_BaseIVAFin="Sobre renta",B74="Opción de compra"),F74,G74)*$C$14)</f>
        <v/>
      </c>
      <c r="K74" s="117" t="str">
        <f>IF(B74="","",F74+J74)</f>
        <v/>
      </c>
      <c r="L74" s="117" t="str">
        <f>IF(B74="","",F74-IF(A74=$C$38,$C$30,0))</f>
        <v/>
      </c>
      <c r="M74" s="131" t="str">
        <f>IF(B74="","",$C$37*(1+$C$13)^(-C74))</f>
        <v/>
      </c>
      <c r="N74" s="117" t="str">
        <f>IF(B74="","",L74*M74)</f>
        <v/>
      </c>
      <c r="O74" s="117" t="str">
        <f>IF(B74="","",IF(B74="Básico",F74,0)-IF(A74=$C$38,$C$30,0))</f>
        <v/>
      </c>
      <c r="P74" s="130">
        <f>IF(B74="",$C$31,D74)</f>
        <v>46301.0</v>
      </c>
      <c r="Q74" s="117">
        <f>IF(B74="",0,L74)</f>
        <v>0</v>
      </c>
      <c r="R74" s="117">
        <f>IF(B74="",0,-F74)</f>
        <v>0</v>
      </c>
      <c r="S74" s="117" t="str">
        <f>IF(B74="","",O74*M74)</f>
        <v/>
      </c>
    </row>
    <row r="75">
      <c r="A75" s="53" t="n">
        <v>16</v>
      </c>
      <c r="B75" s="53" t="str">
        <f>IF(A75&gt;$C$38,"",IF(A75&lt;=$C$5,"Básico",IF($C$6&gt;0,"Sucesivo","Opción de compra")))</f>
        <v/>
      </c>
      <c r="C75" s="53" t="str">
        <f>IF(B75="","",IF(B75="Opción de compra",$C$5,A75-$C$7))</f>
        <v/>
      </c>
      <c r="D75" s="130" t="str">
        <f>IF(B75="","",EDATE($C$33,C75))</f>
        <v/>
      </c>
      <c r="E75" s="117" t="str">
        <f>IF(B75="","",I74)</f>
        <v/>
      </c>
      <c r="F75" s="117" t="str">
        <f>IF(B75="","",IF(B75="Básico",$C$24,IF(B75="Sucesivo",$C$25,$C$26)))</f>
        <v/>
      </c>
      <c r="G75" s="117" t="str">
        <f>IF(B75="","",IF(B75="Opción de compra",0,(E75-$C$7*F75)*IF(B75="Sucesivo",$C$11,$C$9)))</f>
        <v/>
      </c>
      <c r="H75" s="117" t="str">
        <f>IF(B75="","",F75-G75)</f>
        <v/>
      </c>
      <c r="I75" s="117" t="str">
        <f>IF(B75="","",E75-H75)</f>
        <v/>
      </c>
      <c r="J75" s="117" t="str">
        <f>IF(B75="","",IF(OR(inp_Tipo="Arrendamiento Puro",par_BaseIVAFin="Sobre renta",B75="Opción de compra"),F75,G75)*$C$14)</f>
        <v/>
      </c>
      <c r="K75" s="117" t="str">
        <f>IF(B75="","",F75+J75)</f>
        <v/>
      </c>
      <c r="L75" s="117" t="str">
        <f>IF(B75="","",F75-IF(A75=$C$38,$C$30,0))</f>
        <v/>
      </c>
      <c r="M75" s="131" t="str">
        <f>IF(B75="","",$C$37*(1+$C$13)^(-C75))</f>
        <v/>
      </c>
      <c r="N75" s="117" t="str">
        <f>IF(B75="","",L75*M75)</f>
        <v/>
      </c>
      <c r="O75" s="117" t="str">
        <f>IF(B75="","",IF(B75="Básico",F75,0)-IF(A75=$C$38,$C$30,0))</f>
        <v/>
      </c>
      <c r="P75" s="130">
        <f>IF(B75="",$C$31,D75)</f>
        <v>46301.0</v>
      </c>
      <c r="Q75" s="117">
        <f>IF(B75="",0,L75)</f>
        <v>0</v>
      </c>
      <c r="R75" s="117">
        <f>IF(B75="",0,-F75)</f>
        <v>0</v>
      </c>
      <c r="S75" s="117" t="str">
        <f>IF(B75="","",O75*M75)</f>
        <v/>
      </c>
    </row>
    <row r="76">
      <c r="A76" s="53" t="n">
        <v>17</v>
      </c>
      <c r="B76" s="53" t="str">
        <f>IF(A76&gt;$C$38,"",IF(A76&lt;=$C$5,"Básico",IF($C$6&gt;0,"Sucesivo","Opción de compra")))</f>
        <v/>
      </c>
      <c r="C76" s="53" t="str">
        <f>IF(B76="","",IF(B76="Opción de compra",$C$5,A76-$C$7))</f>
        <v/>
      </c>
      <c r="D76" s="130" t="str">
        <f>IF(B76="","",EDATE($C$33,C76))</f>
        <v/>
      </c>
      <c r="E76" s="117" t="str">
        <f>IF(B76="","",I75)</f>
        <v/>
      </c>
      <c r="F76" s="117" t="str">
        <f>IF(B76="","",IF(B76="Básico",$C$24,IF(B76="Sucesivo",$C$25,$C$26)))</f>
        <v/>
      </c>
      <c r="G76" s="117" t="str">
        <f>IF(B76="","",IF(B76="Opción de compra",0,(E76-$C$7*F76)*IF(B76="Sucesivo",$C$11,$C$9)))</f>
        <v/>
      </c>
      <c r="H76" s="117" t="str">
        <f>IF(B76="","",F76-G76)</f>
        <v/>
      </c>
      <c r="I76" s="117" t="str">
        <f>IF(B76="","",E76-H76)</f>
        <v/>
      </c>
      <c r="J76" s="117" t="str">
        <f>IF(B76="","",IF(OR(inp_Tipo="Arrendamiento Puro",par_BaseIVAFin="Sobre renta",B76="Opción de compra"),F76,G76)*$C$14)</f>
        <v/>
      </c>
      <c r="K76" s="117" t="str">
        <f>IF(B76="","",F76+J76)</f>
        <v/>
      </c>
      <c r="L76" s="117" t="str">
        <f>IF(B76="","",F76-IF(A76=$C$38,$C$30,0))</f>
        <v/>
      </c>
      <c r="M76" s="131" t="str">
        <f>IF(B76="","",$C$37*(1+$C$13)^(-C76))</f>
        <v/>
      </c>
      <c r="N76" s="117" t="str">
        <f>IF(B76="","",L76*M76)</f>
        <v/>
      </c>
      <c r="O76" s="117" t="str">
        <f>IF(B76="","",IF(B76="Básico",F76,0)-IF(A76=$C$38,$C$30,0))</f>
        <v/>
      </c>
      <c r="P76" s="130">
        <f>IF(B76="",$C$31,D76)</f>
        <v>46301.0</v>
      </c>
      <c r="Q76" s="117">
        <f>IF(B76="",0,L76)</f>
        <v>0</v>
      </c>
      <c r="R76" s="117">
        <f>IF(B76="",0,-F76)</f>
        <v>0</v>
      </c>
      <c r="S76" s="117" t="str">
        <f>IF(B76="","",O76*M76)</f>
        <v/>
      </c>
    </row>
    <row r="77">
      <c r="A77" s="53" t="n">
        <v>18</v>
      </c>
      <c r="B77" s="53" t="str">
        <f>IF(A77&gt;$C$38,"",IF(A77&lt;=$C$5,"Básico",IF($C$6&gt;0,"Sucesivo","Opción de compra")))</f>
        <v/>
      </c>
      <c r="C77" s="53" t="str">
        <f>IF(B77="","",IF(B77="Opción de compra",$C$5,A77-$C$7))</f>
        <v/>
      </c>
      <c r="D77" s="130" t="str">
        <f>IF(B77="","",EDATE($C$33,C77))</f>
        <v/>
      </c>
      <c r="E77" s="117" t="str">
        <f>IF(B77="","",I76)</f>
        <v/>
      </c>
      <c r="F77" s="117" t="str">
        <f>IF(B77="","",IF(B77="Básico",$C$24,IF(B77="Sucesivo",$C$25,$C$26)))</f>
        <v/>
      </c>
      <c r="G77" s="117" t="str">
        <f>IF(B77="","",IF(B77="Opción de compra",0,(E77-$C$7*F77)*IF(B77="Sucesivo",$C$11,$C$9)))</f>
        <v/>
      </c>
      <c r="H77" s="117" t="str">
        <f>IF(B77="","",F77-G77)</f>
        <v/>
      </c>
      <c r="I77" s="117" t="str">
        <f>IF(B77="","",E77-H77)</f>
        <v/>
      </c>
      <c r="J77" s="117" t="str">
        <f>IF(B77="","",IF(OR(inp_Tipo="Arrendamiento Puro",par_BaseIVAFin="Sobre renta",B77="Opción de compra"),F77,G77)*$C$14)</f>
        <v/>
      </c>
      <c r="K77" s="117" t="str">
        <f>IF(B77="","",F77+J77)</f>
        <v/>
      </c>
      <c r="L77" s="117" t="str">
        <f>IF(B77="","",F77-IF(A77=$C$38,$C$30,0))</f>
        <v/>
      </c>
      <c r="M77" s="131" t="str">
        <f>IF(B77="","",$C$37*(1+$C$13)^(-C77))</f>
        <v/>
      </c>
      <c r="N77" s="117" t="str">
        <f>IF(B77="","",L77*M77)</f>
        <v/>
      </c>
      <c r="O77" s="117" t="str">
        <f>IF(B77="","",IF(B77="Básico",F77,0)-IF(A77=$C$38,$C$30,0))</f>
        <v/>
      </c>
      <c r="P77" s="130">
        <f>IF(B77="",$C$31,D77)</f>
        <v>46301.0</v>
      </c>
      <c r="Q77" s="117">
        <f>IF(B77="",0,L77)</f>
        <v>0</v>
      </c>
      <c r="R77" s="117">
        <f>IF(B77="",0,-F77)</f>
        <v>0</v>
      </c>
      <c r="S77" s="117" t="str">
        <f>IF(B77="","",O77*M77)</f>
        <v/>
      </c>
    </row>
    <row r="78">
      <c r="A78" s="53" t="n">
        <v>19</v>
      </c>
      <c r="B78" s="53" t="str">
        <f>IF(A78&gt;$C$38,"",IF(A78&lt;=$C$5,"Básico",IF($C$6&gt;0,"Sucesivo","Opción de compra")))</f>
        <v/>
      </c>
      <c r="C78" s="53" t="str">
        <f>IF(B78="","",IF(B78="Opción de compra",$C$5,A78-$C$7))</f>
        <v/>
      </c>
      <c r="D78" s="130" t="str">
        <f>IF(B78="","",EDATE($C$33,C78))</f>
        <v/>
      </c>
      <c r="E78" s="117" t="str">
        <f>IF(B78="","",I77)</f>
        <v/>
      </c>
      <c r="F78" s="117" t="str">
        <f>IF(B78="","",IF(B78="Básico",$C$24,IF(B78="Sucesivo",$C$25,$C$26)))</f>
        <v/>
      </c>
      <c r="G78" s="117" t="str">
        <f>IF(B78="","",IF(B78="Opción de compra",0,(E78-$C$7*F78)*IF(B78="Sucesivo",$C$11,$C$9)))</f>
        <v/>
      </c>
      <c r="H78" s="117" t="str">
        <f>IF(B78="","",F78-G78)</f>
        <v/>
      </c>
      <c r="I78" s="117" t="str">
        <f>IF(B78="","",E78-H78)</f>
        <v/>
      </c>
      <c r="J78" s="117" t="str">
        <f>IF(B78="","",IF(OR(inp_Tipo="Arrendamiento Puro",par_BaseIVAFin="Sobre renta",B78="Opción de compra"),F78,G78)*$C$14)</f>
        <v/>
      </c>
      <c r="K78" s="117" t="str">
        <f>IF(B78="","",F78+J78)</f>
        <v/>
      </c>
      <c r="L78" s="117" t="str">
        <f>IF(B78="","",F78-IF(A78=$C$38,$C$30,0))</f>
        <v/>
      </c>
      <c r="M78" s="131" t="str">
        <f>IF(B78="","",$C$37*(1+$C$13)^(-C78))</f>
        <v/>
      </c>
      <c r="N78" s="117" t="str">
        <f>IF(B78="","",L78*M78)</f>
        <v/>
      </c>
      <c r="O78" s="117" t="str">
        <f>IF(B78="","",IF(B78="Básico",F78,0)-IF(A78=$C$38,$C$30,0))</f>
        <v/>
      </c>
      <c r="P78" s="130">
        <f>IF(B78="",$C$31,D78)</f>
        <v>46301.0</v>
      </c>
      <c r="Q78" s="117">
        <f>IF(B78="",0,L78)</f>
        <v>0</v>
      </c>
      <c r="R78" s="117">
        <f>IF(B78="",0,-F78)</f>
        <v>0</v>
      </c>
      <c r="S78" s="117" t="str">
        <f>IF(B78="","",O78*M78)</f>
        <v/>
      </c>
    </row>
    <row r="79">
      <c r="A79" s="53" t="n">
        <v>20</v>
      </c>
      <c r="B79" s="53" t="str">
        <f>IF(A79&gt;$C$38,"",IF(A79&lt;=$C$5,"Básico",IF($C$6&gt;0,"Sucesivo","Opción de compra")))</f>
        <v/>
      </c>
      <c r="C79" s="53" t="str">
        <f>IF(B79="","",IF(B79="Opción de compra",$C$5,A79-$C$7))</f>
        <v/>
      </c>
      <c r="D79" s="130" t="str">
        <f>IF(B79="","",EDATE($C$33,C79))</f>
        <v/>
      </c>
      <c r="E79" s="117" t="str">
        <f>IF(B79="","",I78)</f>
        <v/>
      </c>
      <c r="F79" s="117" t="str">
        <f>IF(B79="","",IF(B79="Básico",$C$24,IF(B79="Sucesivo",$C$25,$C$26)))</f>
        <v/>
      </c>
      <c r="G79" s="117" t="str">
        <f>IF(B79="","",IF(B79="Opción de compra",0,(E79-$C$7*F79)*IF(B79="Sucesivo",$C$11,$C$9)))</f>
        <v/>
      </c>
      <c r="H79" s="117" t="str">
        <f>IF(B79="","",F79-G79)</f>
        <v/>
      </c>
      <c r="I79" s="117" t="str">
        <f>IF(B79="","",E79-H79)</f>
        <v/>
      </c>
      <c r="J79" s="117" t="str">
        <f>IF(B79="","",IF(OR(inp_Tipo="Arrendamiento Puro",par_BaseIVAFin="Sobre renta",B79="Opción de compra"),F79,G79)*$C$14)</f>
        <v/>
      </c>
      <c r="K79" s="117" t="str">
        <f>IF(B79="","",F79+J79)</f>
        <v/>
      </c>
      <c r="L79" s="117" t="str">
        <f>IF(B79="","",F79-IF(A79=$C$38,$C$30,0))</f>
        <v/>
      </c>
      <c r="M79" s="131" t="str">
        <f>IF(B79="","",$C$37*(1+$C$13)^(-C79))</f>
        <v/>
      </c>
      <c r="N79" s="117" t="str">
        <f>IF(B79="","",L79*M79)</f>
        <v/>
      </c>
      <c r="O79" s="117" t="str">
        <f>IF(B79="","",IF(B79="Básico",F79,0)-IF(A79=$C$38,$C$30,0))</f>
        <v/>
      </c>
      <c r="P79" s="130">
        <f>IF(B79="",$C$31,D79)</f>
        <v>46301.0</v>
      </c>
      <c r="Q79" s="117">
        <f>IF(B79="",0,L79)</f>
        <v>0</v>
      </c>
      <c r="R79" s="117">
        <f>IF(B79="",0,-F79)</f>
        <v>0</v>
      </c>
      <c r="S79" s="117" t="str">
        <f>IF(B79="","",O79*M79)</f>
        <v/>
      </c>
    </row>
    <row r="80">
      <c r="A80" s="53" t="n">
        <v>21</v>
      </c>
      <c r="B80" s="53" t="str">
        <f>IF(A80&gt;$C$38,"",IF(A80&lt;=$C$5,"Básico",IF($C$6&gt;0,"Sucesivo","Opción de compra")))</f>
        <v/>
      </c>
      <c r="C80" s="53" t="str">
        <f>IF(B80="","",IF(B80="Opción de compra",$C$5,A80-$C$7))</f>
        <v/>
      </c>
      <c r="D80" s="130" t="str">
        <f>IF(B80="","",EDATE($C$33,C80))</f>
        <v/>
      </c>
      <c r="E80" s="117" t="str">
        <f>IF(B80="","",I79)</f>
        <v/>
      </c>
      <c r="F80" s="117" t="str">
        <f>IF(B80="","",IF(B80="Básico",$C$24,IF(B80="Sucesivo",$C$25,$C$26)))</f>
        <v/>
      </c>
      <c r="G80" s="117" t="str">
        <f>IF(B80="","",IF(B80="Opción de compra",0,(E80-$C$7*F80)*IF(B80="Sucesivo",$C$11,$C$9)))</f>
        <v/>
      </c>
      <c r="H80" s="117" t="str">
        <f>IF(B80="","",F80-G80)</f>
        <v/>
      </c>
      <c r="I80" s="117" t="str">
        <f>IF(B80="","",E80-H80)</f>
        <v/>
      </c>
      <c r="J80" s="117" t="str">
        <f>IF(B80="","",IF(OR(inp_Tipo="Arrendamiento Puro",par_BaseIVAFin="Sobre renta",B80="Opción de compra"),F80,G80)*$C$14)</f>
        <v/>
      </c>
      <c r="K80" s="117" t="str">
        <f>IF(B80="","",F80+J80)</f>
        <v/>
      </c>
      <c r="L80" s="117" t="str">
        <f>IF(B80="","",F80-IF(A80=$C$38,$C$30,0))</f>
        <v/>
      </c>
      <c r="M80" s="131" t="str">
        <f>IF(B80="","",$C$37*(1+$C$13)^(-C80))</f>
        <v/>
      </c>
      <c r="N80" s="117" t="str">
        <f>IF(B80="","",L80*M80)</f>
        <v/>
      </c>
      <c r="O80" s="117" t="str">
        <f>IF(B80="","",IF(B80="Básico",F80,0)-IF(A80=$C$38,$C$30,0))</f>
        <v/>
      </c>
      <c r="P80" s="130">
        <f>IF(B80="",$C$31,D80)</f>
        <v>46301.0</v>
      </c>
      <c r="Q80" s="117">
        <f>IF(B80="",0,L80)</f>
        <v>0</v>
      </c>
      <c r="R80" s="117">
        <f>IF(B80="",0,-F80)</f>
        <v>0</v>
      </c>
      <c r="S80" s="117" t="str">
        <f>IF(B80="","",O80*M80)</f>
        <v/>
      </c>
    </row>
    <row r="81">
      <c r="A81" s="53" t="n">
        <v>22</v>
      </c>
      <c r="B81" s="53" t="str">
        <f>IF(A81&gt;$C$38,"",IF(A81&lt;=$C$5,"Básico",IF($C$6&gt;0,"Sucesivo","Opción de compra")))</f>
        <v/>
      </c>
      <c r="C81" s="53" t="str">
        <f>IF(B81="","",IF(B81="Opción de compra",$C$5,A81-$C$7))</f>
        <v/>
      </c>
      <c r="D81" s="130" t="str">
        <f>IF(B81="","",EDATE($C$33,C81))</f>
        <v/>
      </c>
      <c r="E81" s="117" t="str">
        <f>IF(B81="","",I80)</f>
        <v/>
      </c>
      <c r="F81" s="117" t="str">
        <f>IF(B81="","",IF(B81="Básico",$C$24,IF(B81="Sucesivo",$C$25,$C$26)))</f>
        <v/>
      </c>
      <c r="G81" s="117" t="str">
        <f>IF(B81="","",IF(B81="Opción de compra",0,(E81-$C$7*F81)*IF(B81="Sucesivo",$C$11,$C$9)))</f>
        <v/>
      </c>
      <c r="H81" s="117" t="str">
        <f>IF(B81="","",F81-G81)</f>
        <v/>
      </c>
      <c r="I81" s="117" t="str">
        <f>IF(B81="","",E81-H81)</f>
        <v/>
      </c>
      <c r="J81" s="117" t="str">
        <f>IF(B81="","",IF(OR(inp_Tipo="Arrendamiento Puro",par_BaseIVAFin="Sobre renta",B81="Opción de compra"),F81,G81)*$C$14)</f>
        <v/>
      </c>
      <c r="K81" s="117" t="str">
        <f>IF(B81="","",F81+J81)</f>
        <v/>
      </c>
      <c r="L81" s="117" t="str">
        <f>IF(B81="","",F81-IF(A81=$C$38,$C$30,0))</f>
        <v/>
      </c>
      <c r="M81" s="131" t="str">
        <f>IF(B81="","",$C$37*(1+$C$13)^(-C81))</f>
        <v/>
      </c>
      <c r="N81" s="117" t="str">
        <f>IF(B81="","",L81*M81)</f>
        <v/>
      </c>
      <c r="O81" s="117" t="str">
        <f>IF(B81="","",IF(B81="Básico",F81,0)-IF(A81=$C$38,$C$30,0))</f>
        <v/>
      </c>
      <c r="P81" s="130">
        <f>IF(B81="",$C$31,D81)</f>
        <v>46301.0</v>
      </c>
      <c r="Q81" s="117">
        <f>IF(B81="",0,L81)</f>
        <v>0</v>
      </c>
      <c r="R81" s="117">
        <f>IF(B81="",0,-F81)</f>
        <v>0</v>
      </c>
      <c r="S81" s="117" t="str">
        <f>IF(B81="","",O81*M81)</f>
        <v/>
      </c>
    </row>
    <row r="82">
      <c r="A82" s="53" t="n">
        <v>23</v>
      </c>
      <c r="B82" s="53" t="str">
        <f>IF(A82&gt;$C$38,"",IF(A82&lt;=$C$5,"Básico",IF($C$6&gt;0,"Sucesivo","Opción de compra")))</f>
        <v/>
      </c>
      <c r="C82" s="53" t="str">
        <f>IF(B82="","",IF(B82="Opción de compra",$C$5,A82-$C$7))</f>
        <v/>
      </c>
      <c r="D82" s="130" t="str">
        <f>IF(B82="","",EDATE($C$33,C82))</f>
        <v/>
      </c>
      <c r="E82" s="117" t="str">
        <f>IF(B82="","",I81)</f>
        <v/>
      </c>
      <c r="F82" s="117" t="str">
        <f>IF(B82="","",IF(B82="Básico",$C$24,IF(B82="Sucesivo",$C$25,$C$26)))</f>
        <v/>
      </c>
      <c r="G82" s="117" t="str">
        <f>IF(B82="","",IF(B82="Opción de compra",0,(E82-$C$7*F82)*IF(B82="Sucesivo",$C$11,$C$9)))</f>
        <v/>
      </c>
      <c r="H82" s="117" t="str">
        <f>IF(B82="","",F82-G82)</f>
        <v/>
      </c>
      <c r="I82" s="117" t="str">
        <f>IF(B82="","",E82-H82)</f>
        <v/>
      </c>
      <c r="J82" s="117" t="str">
        <f>IF(B82="","",IF(OR(inp_Tipo="Arrendamiento Puro",par_BaseIVAFin="Sobre renta",B82="Opción de compra"),F82,G82)*$C$14)</f>
        <v/>
      </c>
      <c r="K82" s="117" t="str">
        <f>IF(B82="","",F82+J82)</f>
        <v/>
      </c>
      <c r="L82" s="117" t="str">
        <f>IF(B82="","",F82-IF(A82=$C$38,$C$30,0))</f>
        <v/>
      </c>
      <c r="M82" s="131" t="str">
        <f>IF(B82="","",$C$37*(1+$C$13)^(-C82))</f>
        <v/>
      </c>
      <c r="N82" s="117" t="str">
        <f>IF(B82="","",L82*M82)</f>
        <v/>
      </c>
      <c r="O82" s="117" t="str">
        <f>IF(B82="","",IF(B82="Básico",F82,0)-IF(A82=$C$38,$C$30,0))</f>
        <v/>
      </c>
      <c r="P82" s="130">
        <f>IF(B82="",$C$31,D82)</f>
        <v>46301.0</v>
      </c>
      <c r="Q82" s="117">
        <f>IF(B82="",0,L82)</f>
        <v>0</v>
      </c>
      <c r="R82" s="117">
        <f>IF(B82="",0,-F82)</f>
        <v>0</v>
      </c>
      <c r="S82" s="117" t="str">
        <f>IF(B82="","",O82*M82)</f>
        <v/>
      </c>
    </row>
    <row r="83">
      <c r="A83" s="53" t="n">
        <v>24</v>
      </c>
      <c r="B83" s="53" t="str">
        <f>IF(A83&gt;$C$38,"",IF(A83&lt;=$C$5,"Básico",IF($C$6&gt;0,"Sucesivo","Opción de compra")))</f>
        <v/>
      </c>
      <c r="C83" s="53" t="str">
        <f>IF(B83="","",IF(B83="Opción de compra",$C$5,A83-$C$7))</f>
        <v/>
      </c>
      <c r="D83" s="130" t="str">
        <f>IF(B83="","",EDATE($C$33,C83))</f>
        <v/>
      </c>
      <c r="E83" s="117" t="str">
        <f>IF(B83="","",I82)</f>
        <v/>
      </c>
      <c r="F83" s="117" t="str">
        <f>IF(B83="","",IF(B83="Básico",$C$24,IF(B83="Sucesivo",$C$25,$C$26)))</f>
        <v/>
      </c>
      <c r="G83" s="117" t="str">
        <f>IF(B83="","",IF(B83="Opción de compra",0,(E83-$C$7*F83)*IF(B83="Sucesivo",$C$11,$C$9)))</f>
        <v/>
      </c>
      <c r="H83" s="117" t="str">
        <f>IF(B83="","",F83-G83)</f>
        <v/>
      </c>
      <c r="I83" s="117" t="str">
        <f>IF(B83="","",E83-H83)</f>
        <v/>
      </c>
      <c r="J83" s="117" t="str">
        <f>IF(B83="","",IF(OR(inp_Tipo="Arrendamiento Puro",par_BaseIVAFin="Sobre renta",B83="Opción de compra"),F83,G83)*$C$14)</f>
        <v/>
      </c>
      <c r="K83" s="117" t="str">
        <f>IF(B83="","",F83+J83)</f>
        <v/>
      </c>
      <c r="L83" s="117" t="str">
        <f>IF(B83="","",F83-IF(A83=$C$38,$C$30,0))</f>
        <v/>
      </c>
      <c r="M83" s="131" t="str">
        <f>IF(B83="","",$C$37*(1+$C$13)^(-C83))</f>
        <v/>
      </c>
      <c r="N83" s="117" t="str">
        <f>IF(B83="","",L83*M83)</f>
        <v/>
      </c>
      <c r="O83" s="117" t="str">
        <f>IF(B83="","",IF(B83="Básico",F83,0)-IF(A83=$C$38,$C$30,0))</f>
        <v/>
      </c>
      <c r="P83" s="130">
        <f>IF(B83="",$C$31,D83)</f>
        <v>46301.0</v>
      </c>
      <c r="Q83" s="117">
        <f>IF(B83="",0,L83)</f>
        <v>0</v>
      </c>
      <c r="R83" s="117">
        <f>IF(B83="",0,-F83)</f>
        <v>0</v>
      </c>
      <c r="S83" s="117" t="str">
        <f>IF(B83="","",O83*M83)</f>
        <v/>
      </c>
    </row>
    <row r="84">
      <c r="A84" s="53" t="n">
        <v>25</v>
      </c>
      <c r="B84" s="53" t="str">
        <f>IF(A84&gt;$C$38,"",IF(A84&lt;=$C$5,"Básico",IF($C$6&gt;0,"Sucesivo","Opción de compra")))</f>
        <v/>
      </c>
      <c r="C84" s="53" t="str">
        <f>IF(B84="","",IF(B84="Opción de compra",$C$5,A84-$C$7))</f>
        <v/>
      </c>
      <c r="D84" s="130" t="str">
        <f>IF(B84="","",EDATE($C$33,C84))</f>
        <v/>
      </c>
      <c r="E84" s="117" t="str">
        <f>IF(B84="","",I83)</f>
        <v/>
      </c>
      <c r="F84" s="117" t="str">
        <f>IF(B84="","",IF(B84="Básico",$C$24,IF(B84="Sucesivo",$C$25,$C$26)))</f>
        <v/>
      </c>
      <c r="G84" s="117" t="str">
        <f>IF(B84="","",IF(B84="Opción de compra",0,(E84-$C$7*F84)*IF(B84="Sucesivo",$C$11,$C$9)))</f>
        <v/>
      </c>
      <c r="H84" s="117" t="str">
        <f>IF(B84="","",F84-G84)</f>
        <v/>
      </c>
      <c r="I84" s="117" t="str">
        <f>IF(B84="","",E84-H84)</f>
        <v/>
      </c>
      <c r="J84" s="117" t="str">
        <f>IF(B84="","",IF(OR(inp_Tipo="Arrendamiento Puro",par_BaseIVAFin="Sobre renta",B84="Opción de compra"),F84,G84)*$C$14)</f>
        <v/>
      </c>
      <c r="K84" s="117" t="str">
        <f>IF(B84="","",F84+J84)</f>
        <v/>
      </c>
      <c r="L84" s="117" t="str">
        <f>IF(B84="","",F84-IF(A84=$C$38,$C$30,0))</f>
        <v/>
      </c>
      <c r="M84" s="131" t="str">
        <f>IF(B84="","",$C$37*(1+$C$13)^(-C84))</f>
        <v/>
      </c>
      <c r="N84" s="117" t="str">
        <f>IF(B84="","",L84*M84)</f>
        <v/>
      </c>
      <c r="O84" s="117" t="str">
        <f>IF(B84="","",IF(B84="Básico",F84,0)-IF(A84=$C$38,$C$30,0))</f>
        <v/>
      </c>
      <c r="P84" s="130">
        <f>IF(B84="",$C$31,D84)</f>
        <v>46301.0</v>
      </c>
      <c r="Q84" s="117">
        <f>IF(B84="",0,L84)</f>
        <v>0</v>
      </c>
      <c r="R84" s="117">
        <f>IF(B84="",0,-F84)</f>
        <v>0</v>
      </c>
      <c r="S84" s="117" t="str">
        <f>IF(B84="","",O84*M84)</f>
        <v/>
      </c>
    </row>
    <row r="85">
      <c r="A85" s="53" t="n">
        <v>26</v>
      </c>
      <c r="B85" s="53" t="str">
        <f>IF(A85&gt;$C$38,"",IF(A85&lt;=$C$5,"Básico",IF($C$6&gt;0,"Sucesivo","Opción de compra")))</f>
        <v/>
      </c>
      <c r="C85" s="53" t="str">
        <f>IF(B85="","",IF(B85="Opción de compra",$C$5,A85-$C$7))</f>
        <v/>
      </c>
      <c r="D85" s="130" t="str">
        <f>IF(B85="","",EDATE($C$33,C85))</f>
        <v/>
      </c>
      <c r="E85" s="117" t="str">
        <f>IF(B85="","",I84)</f>
        <v/>
      </c>
      <c r="F85" s="117" t="str">
        <f>IF(B85="","",IF(B85="Básico",$C$24,IF(B85="Sucesivo",$C$25,$C$26)))</f>
        <v/>
      </c>
      <c r="G85" s="117" t="str">
        <f>IF(B85="","",IF(B85="Opción de compra",0,(E85-$C$7*F85)*IF(B85="Sucesivo",$C$11,$C$9)))</f>
        <v/>
      </c>
      <c r="H85" s="117" t="str">
        <f>IF(B85="","",F85-G85)</f>
        <v/>
      </c>
      <c r="I85" s="117" t="str">
        <f>IF(B85="","",E85-H85)</f>
        <v/>
      </c>
      <c r="J85" s="117" t="str">
        <f>IF(B85="","",IF(OR(inp_Tipo="Arrendamiento Puro",par_BaseIVAFin="Sobre renta",B85="Opción de compra"),F85,G85)*$C$14)</f>
        <v/>
      </c>
      <c r="K85" s="117" t="str">
        <f>IF(B85="","",F85+J85)</f>
        <v/>
      </c>
      <c r="L85" s="117" t="str">
        <f>IF(B85="","",F85-IF(A85=$C$38,$C$30,0))</f>
        <v/>
      </c>
      <c r="M85" s="131" t="str">
        <f>IF(B85="","",$C$37*(1+$C$13)^(-C85))</f>
        <v/>
      </c>
      <c r="N85" s="117" t="str">
        <f>IF(B85="","",L85*M85)</f>
        <v/>
      </c>
      <c r="O85" s="117" t="str">
        <f>IF(B85="","",IF(B85="Básico",F85,0)-IF(A85=$C$38,$C$30,0))</f>
        <v/>
      </c>
      <c r="P85" s="130">
        <f>IF(B85="",$C$31,D85)</f>
        <v>46301.0</v>
      </c>
      <c r="Q85" s="117">
        <f>IF(B85="",0,L85)</f>
        <v>0</v>
      </c>
      <c r="R85" s="117">
        <f>IF(B85="",0,-F85)</f>
        <v>0</v>
      </c>
      <c r="S85" s="117" t="str">
        <f>IF(B85="","",O85*M85)</f>
        <v/>
      </c>
    </row>
    <row r="86">
      <c r="A86" s="53" t="n">
        <v>27</v>
      </c>
      <c r="B86" s="53" t="str">
        <f>IF(A86&gt;$C$38,"",IF(A86&lt;=$C$5,"Básico",IF($C$6&gt;0,"Sucesivo","Opción de compra")))</f>
        <v/>
      </c>
      <c r="C86" s="53" t="str">
        <f>IF(B86="","",IF(B86="Opción de compra",$C$5,A86-$C$7))</f>
        <v/>
      </c>
      <c r="D86" s="130" t="str">
        <f>IF(B86="","",EDATE($C$33,C86))</f>
        <v/>
      </c>
      <c r="E86" s="117" t="str">
        <f>IF(B86="","",I85)</f>
        <v/>
      </c>
      <c r="F86" s="117" t="str">
        <f>IF(B86="","",IF(B86="Básico",$C$24,IF(B86="Sucesivo",$C$25,$C$26)))</f>
        <v/>
      </c>
      <c r="G86" s="117" t="str">
        <f>IF(B86="","",IF(B86="Opción de compra",0,(E86-$C$7*F86)*IF(B86="Sucesivo",$C$11,$C$9)))</f>
        <v/>
      </c>
      <c r="H86" s="117" t="str">
        <f>IF(B86="","",F86-G86)</f>
        <v/>
      </c>
      <c r="I86" s="117" t="str">
        <f>IF(B86="","",E86-H86)</f>
        <v/>
      </c>
      <c r="J86" s="117" t="str">
        <f>IF(B86="","",IF(OR(inp_Tipo="Arrendamiento Puro",par_BaseIVAFin="Sobre renta",B86="Opción de compra"),F86,G86)*$C$14)</f>
        <v/>
      </c>
      <c r="K86" s="117" t="str">
        <f>IF(B86="","",F86+J86)</f>
        <v/>
      </c>
      <c r="L86" s="117" t="str">
        <f>IF(B86="","",F86-IF(A86=$C$38,$C$30,0))</f>
        <v/>
      </c>
      <c r="M86" s="131" t="str">
        <f>IF(B86="","",$C$37*(1+$C$13)^(-C86))</f>
        <v/>
      </c>
      <c r="N86" s="117" t="str">
        <f>IF(B86="","",L86*M86)</f>
        <v/>
      </c>
      <c r="O86" s="117" t="str">
        <f>IF(B86="","",IF(B86="Básico",F86,0)-IF(A86=$C$38,$C$30,0))</f>
        <v/>
      </c>
      <c r="P86" s="130">
        <f>IF(B86="",$C$31,D86)</f>
        <v>46301.0</v>
      </c>
      <c r="Q86" s="117">
        <f>IF(B86="",0,L86)</f>
        <v>0</v>
      </c>
      <c r="R86" s="117">
        <f>IF(B86="",0,-F86)</f>
        <v>0</v>
      </c>
      <c r="S86" s="117" t="str">
        <f>IF(B86="","",O86*M86)</f>
        <v/>
      </c>
    </row>
    <row r="87">
      <c r="A87" s="53" t="n">
        <v>28</v>
      </c>
      <c r="B87" s="53" t="str">
        <f>IF(A87&gt;$C$38,"",IF(A87&lt;=$C$5,"Básico",IF($C$6&gt;0,"Sucesivo","Opción de compra")))</f>
        <v/>
      </c>
      <c r="C87" s="53" t="str">
        <f>IF(B87="","",IF(B87="Opción de compra",$C$5,A87-$C$7))</f>
        <v/>
      </c>
      <c r="D87" s="130" t="str">
        <f>IF(B87="","",EDATE($C$33,C87))</f>
        <v/>
      </c>
      <c r="E87" s="117" t="str">
        <f>IF(B87="","",I86)</f>
        <v/>
      </c>
      <c r="F87" s="117" t="str">
        <f>IF(B87="","",IF(B87="Básico",$C$24,IF(B87="Sucesivo",$C$25,$C$26)))</f>
        <v/>
      </c>
      <c r="G87" s="117" t="str">
        <f>IF(B87="","",IF(B87="Opción de compra",0,(E87-$C$7*F87)*IF(B87="Sucesivo",$C$11,$C$9)))</f>
        <v/>
      </c>
      <c r="H87" s="117" t="str">
        <f>IF(B87="","",F87-G87)</f>
        <v/>
      </c>
      <c r="I87" s="117" t="str">
        <f>IF(B87="","",E87-H87)</f>
        <v/>
      </c>
      <c r="J87" s="117" t="str">
        <f>IF(B87="","",IF(OR(inp_Tipo="Arrendamiento Puro",par_BaseIVAFin="Sobre renta",B87="Opción de compra"),F87,G87)*$C$14)</f>
        <v/>
      </c>
      <c r="K87" s="117" t="str">
        <f>IF(B87="","",F87+J87)</f>
        <v/>
      </c>
      <c r="L87" s="117" t="str">
        <f>IF(B87="","",F87-IF(A87=$C$38,$C$30,0))</f>
        <v/>
      </c>
      <c r="M87" s="131" t="str">
        <f>IF(B87="","",$C$37*(1+$C$13)^(-C87))</f>
        <v/>
      </c>
      <c r="N87" s="117" t="str">
        <f>IF(B87="","",L87*M87)</f>
        <v/>
      </c>
      <c r="O87" s="117" t="str">
        <f>IF(B87="","",IF(B87="Básico",F87,0)-IF(A87=$C$38,$C$30,0))</f>
        <v/>
      </c>
      <c r="P87" s="130">
        <f>IF(B87="",$C$31,D87)</f>
        <v>46301.0</v>
      </c>
      <c r="Q87" s="117">
        <f>IF(B87="",0,L87)</f>
        <v>0</v>
      </c>
      <c r="R87" s="117">
        <f>IF(B87="",0,-F87)</f>
        <v>0</v>
      </c>
      <c r="S87" s="117" t="str">
        <f>IF(B87="","",O87*M87)</f>
        <v/>
      </c>
    </row>
    <row r="88">
      <c r="A88" s="53" t="n">
        <v>29</v>
      </c>
      <c r="B88" s="53" t="str">
        <f>IF(A88&gt;$C$38,"",IF(A88&lt;=$C$5,"Básico",IF($C$6&gt;0,"Sucesivo","Opción de compra")))</f>
        <v/>
      </c>
      <c r="C88" s="53" t="str">
        <f>IF(B88="","",IF(B88="Opción de compra",$C$5,A88-$C$7))</f>
        <v/>
      </c>
      <c r="D88" s="130" t="str">
        <f>IF(B88="","",EDATE($C$33,C88))</f>
        <v/>
      </c>
      <c r="E88" s="117" t="str">
        <f>IF(B88="","",I87)</f>
        <v/>
      </c>
      <c r="F88" s="117" t="str">
        <f>IF(B88="","",IF(B88="Básico",$C$24,IF(B88="Sucesivo",$C$25,$C$26)))</f>
        <v/>
      </c>
      <c r="G88" s="117" t="str">
        <f>IF(B88="","",IF(B88="Opción de compra",0,(E88-$C$7*F88)*IF(B88="Sucesivo",$C$11,$C$9)))</f>
        <v/>
      </c>
      <c r="H88" s="117" t="str">
        <f>IF(B88="","",F88-G88)</f>
        <v/>
      </c>
      <c r="I88" s="117" t="str">
        <f>IF(B88="","",E88-H88)</f>
        <v/>
      </c>
      <c r="J88" s="117" t="str">
        <f>IF(B88="","",IF(OR(inp_Tipo="Arrendamiento Puro",par_BaseIVAFin="Sobre renta",B88="Opción de compra"),F88,G88)*$C$14)</f>
        <v/>
      </c>
      <c r="K88" s="117" t="str">
        <f>IF(B88="","",F88+J88)</f>
        <v/>
      </c>
      <c r="L88" s="117" t="str">
        <f>IF(B88="","",F88-IF(A88=$C$38,$C$30,0))</f>
        <v/>
      </c>
      <c r="M88" s="131" t="str">
        <f>IF(B88="","",$C$37*(1+$C$13)^(-C88))</f>
        <v/>
      </c>
      <c r="N88" s="117" t="str">
        <f>IF(B88="","",L88*M88)</f>
        <v/>
      </c>
      <c r="O88" s="117" t="str">
        <f>IF(B88="","",IF(B88="Básico",F88,0)-IF(A88=$C$38,$C$30,0))</f>
        <v/>
      </c>
      <c r="P88" s="130">
        <f>IF(B88="",$C$31,D88)</f>
        <v>46301.0</v>
      </c>
      <c r="Q88" s="117">
        <f>IF(B88="",0,L88)</f>
        <v>0</v>
      </c>
      <c r="R88" s="117">
        <f>IF(B88="",0,-F88)</f>
        <v>0</v>
      </c>
      <c r="S88" s="117" t="str">
        <f>IF(B88="","",O88*M88)</f>
        <v/>
      </c>
    </row>
    <row r="89">
      <c r="A89" s="53" t="n">
        <v>30</v>
      </c>
      <c r="B89" s="53" t="str">
        <f>IF(A89&gt;$C$38,"",IF(A89&lt;=$C$5,"Básico",IF($C$6&gt;0,"Sucesivo","Opción de compra")))</f>
        <v/>
      </c>
      <c r="C89" s="53" t="str">
        <f>IF(B89="","",IF(B89="Opción de compra",$C$5,A89-$C$7))</f>
        <v/>
      </c>
      <c r="D89" s="130" t="str">
        <f>IF(B89="","",EDATE($C$33,C89))</f>
        <v/>
      </c>
      <c r="E89" s="117" t="str">
        <f>IF(B89="","",I88)</f>
        <v/>
      </c>
      <c r="F89" s="117" t="str">
        <f>IF(B89="","",IF(B89="Básico",$C$24,IF(B89="Sucesivo",$C$25,$C$26)))</f>
        <v/>
      </c>
      <c r="G89" s="117" t="str">
        <f>IF(B89="","",IF(B89="Opción de compra",0,(E89-$C$7*F89)*IF(B89="Sucesivo",$C$11,$C$9)))</f>
        <v/>
      </c>
      <c r="H89" s="117" t="str">
        <f>IF(B89="","",F89-G89)</f>
        <v/>
      </c>
      <c r="I89" s="117" t="str">
        <f>IF(B89="","",E89-H89)</f>
        <v/>
      </c>
      <c r="J89" s="117" t="str">
        <f>IF(B89="","",IF(OR(inp_Tipo="Arrendamiento Puro",par_BaseIVAFin="Sobre renta",B89="Opción de compra"),F89,G89)*$C$14)</f>
        <v/>
      </c>
      <c r="K89" s="117" t="str">
        <f>IF(B89="","",F89+J89)</f>
        <v/>
      </c>
      <c r="L89" s="117" t="str">
        <f>IF(B89="","",F89-IF(A89=$C$38,$C$30,0))</f>
        <v/>
      </c>
      <c r="M89" s="131" t="str">
        <f>IF(B89="","",$C$37*(1+$C$13)^(-C89))</f>
        <v/>
      </c>
      <c r="N89" s="117" t="str">
        <f>IF(B89="","",L89*M89)</f>
        <v/>
      </c>
      <c r="O89" s="117" t="str">
        <f>IF(B89="","",IF(B89="Básico",F89,0)-IF(A89=$C$38,$C$30,0))</f>
        <v/>
      </c>
      <c r="P89" s="130">
        <f>IF(B89="",$C$31,D89)</f>
        <v>46301.0</v>
      </c>
      <c r="Q89" s="117">
        <f>IF(B89="",0,L89)</f>
        <v>0</v>
      </c>
      <c r="R89" s="117">
        <f>IF(B89="",0,-F89)</f>
        <v>0</v>
      </c>
      <c r="S89" s="117" t="str">
        <f>IF(B89="","",O89*M89)</f>
        <v/>
      </c>
    </row>
    <row r="90">
      <c r="A90" s="53" t="n">
        <v>31</v>
      </c>
      <c r="B90" s="53" t="str">
        <f>IF(A90&gt;$C$38,"",IF(A90&lt;=$C$5,"Básico",IF($C$6&gt;0,"Sucesivo","Opción de compra")))</f>
        <v/>
      </c>
      <c r="C90" s="53" t="str">
        <f>IF(B90="","",IF(B90="Opción de compra",$C$5,A90-$C$7))</f>
        <v/>
      </c>
      <c r="D90" s="130" t="str">
        <f>IF(B90="","",EDATE($C$33,C90))</f>
        <v/>
      </c>
      <c r="E90" s="117" t="str">
        <f>IF(B90="","",I89)</f>
        <v/>
      </c>
      <c r="F90" s="117" t="str">
        <f>IF(B90="","",IF(B90="Básico",$C$24,IF(B90="Sucesivo",$C$25,$C$26)))</f>
        <v/>
      </c>
      <c r="G90" s="117" t="str">
        <f>IF(B90="","",IF(B90="Opción de compra",0,(E90-$C$7*F90)*IF(B90="Sucesivo",$C$11,$C$9)))</f>
        <v/>
      </c>
      <c r="H90" s="117" t="str">
        <f>IF(B90="","",F90-G90)</f>
        <v/>
      </c>
      <c r="I90" s="117" t="str">
        <f>IF(B90="","",E90-H90)</f>
        <v/>
      </c>
      <c r="J90" s="117" t="str">
        <f>IF(B90="","",IF(OR(inp_Tipo="Arrendamiento Puro",par_BaseIVAFin="Sobre renta",B90="Opción de compra"),F90,G90)*$C$14)</f>
        <v/>
      </c>
      <c r="K90" s="117" t="str">
        <f>IF(B90="","",F90+J90)</f>
        <v/>
      </c>
      <c r="L90" s="117" t="str">
        <f>IF(B90="","",F90-IF(A90=$C$38,$C$30,0))</f>
        <v/>
      </c>
      <c r="M90" s="131" t="str">
        <f>IF(B90="","",$C$37*(1+$C$13)^(-C90))</f>
        <v/>
      </c>
      <c r="N90" s="117" t="str">
        <f>IF(B90="","",L90*M90)</f>
        <v/>
      </c>
      <c r="O90" s="117" t="str">
        <f>IF(B90="","",IF(B90="Básico",F90,0)-IF(A90=$C$38,$C$30,0))</f>
        <v/>
      </c>
      <c r="P90" s="130">
        <f>IF(B90="",$C$31,D90)</f>
        <v>46301.0</v>
      </c>
      <c r="Q90" s="117">
        <f>IF(B90="",0,L90)</f>
        <v>0</v>
      </c>
      <c r="R90" s="117">
        <f>IF(B90="",0,-F90)</f>
        <v>0</v>
      </c>
      <c r="S90" s="117" t="str">
        <f>IF(B90="","",O90*M90)</f>
        <v/>
      </c>
    </row>
    <row r="91">
      <c r="A91" s="53" t="n">
        <v>32</v>
      </c>
      <c r="B91" s="53" t="str">
        <f>IF(A91&gt;$C$38,"",IF(A91&lt;=$C$5,"Básico",IF($C$6&gt;0,"Sucesivo","Opción de compra")))</f>
        <v/>
      </c>
      <c r="C91" s="53" t="str">
        <f>IF(B91="","",IF(B91="Opción de compra",$C$5,A91-$C$7))</f>
        <v/>
      </c>
      <c r="D91" s="130" t="str">
        <f>IF(B91="","",EDATE($C$33,C91))</f>
        <v/>
      </c>
      <c r="E91" s="117" t="str">
        <f>IF(B91="","",I90)</f>
        <v/>
      </c>
      <c r="F91" s="117" t="str">
        <f>IF(B91="","",IF(B91="Básico",$C$24,IF(B91="Sucesivo",$C$25,$C$26)))</f>
        <v/>
      </c>
      <c r="G91" s="117" t="str">
        <f>IF(B91="","",IF(B91="Opción de compra",0,(E91-$C$7*F91)*IF(B91="Sucesivo",$C$11,$C$9)))</f>
        <v/>
      </c>
      <c r="H91" s="117" t="str">
        <f>IF(B91="","",F91-G91)</f>
        <v/>
      </c>
      <c r="I91" s="117" t="str">
        <f>IF(B91="","",E91-H91)</f>
        <v/>
      </c>
      <c r="J91" s="117" t="str">
        <f>IF(B91="","",IF(OR(inp_Tipo="Arrendamiento Puro",par_BaseIVAFin="Sobre renta",B91="Opción de compra"),F91,G91)*$C$14)</f>
        <v/>
      </c>
      <c r="K91" s="117" t="str">
        <f>IF(B91="","",F91+J91)</f>
        <v/>
      </c>
      <c r="L91" s="117" t="str">
        <f>IF(B91="","",F91-IF(A91=$C$38,$C$30,0))</f>
        <v/>
      </c>
      <c r="M91" s="131" t="str">
        <f>IF(B91="","",$C$37*(1+$C$13)^(-C91))</f>
        <v/>
      </c>
      <c r="N91" s="117" t="str">
        <f>IF(B91="","",L91*M91)</f>
        <v/>
      </c>
      <c r="O91" s="117" t="str">
        <f>IF(B91="","",IF(B91="Básico",F91,0)-IF(A91=$C$38,$C$30,0))</f>
        <v/>
      </c>
      <c r="P91" s="130">
        <f>IF(B91="",$C$31,D91)</f>
        <v>46301.0</v>
      </c>
      <c r="Q91" s="117">
        <f>IF(B91="",0,L91)</f>
        <v>0</v>
      </c>
      <c r="R91" s="117">
        <f>IF(B91="",0,-F91)</f>
        <v>0</v>
      </c>
      <c r="S91" s="117" t="str">
        <f>IF(B91="","",O91*M91)</f>
        <v/>
      </c>
    </row>
    <row r="92">
      <c r="A92" s="53" t="n">
        <v>33</v>
      </c>
      <c r="B92" s="53" t="str">
        <f>IF(A92&gt;$C$38,"",IF(A92&lt;=$C$5,"Básico",IF($C$6&gt;0,"Sucesivo","Opción de compra")))</f>
        <v/>
      </c>
      <c r="C92" s="53" t="str">
        <f>IF(B92="","",IF(B92="Opción de compra",$C$5,A92-$C$7))</f>
        <v/>
      </c>
      <c r="D92" s="130" t="str">
        <f>IF(B92="","",EDATE($C$33,C92))</f>
        <v/>
      </c>
      <c r="E92" s="117" t="str">
        <f>IF(B92="","",I91)</f>
        <v/>
      </c>
      <c r="F92" s="117" t="str">
        <f>IF(B92="","",IF(B92="Básico",$C$24,IF(B92="Sucesivo",$C$25,$C$26)))</f>
        <v/>
      </c>
      <c r="G92" s="117" t="str">
        <f>IF(B92="","",IF(B92="Opción de compra",0,(E92-$C$7*F92)*IF(B92="Sucesivo",$C$11,$C$9)))</f>
        <v/>
      </c>
      <c r="H92" s="117" t="str">
        <f>IF(B92="","",F92-G92)</f>
        <v/>
      </c>
      <c r="I92" s="117" t="str">
        <f>IF(B92="","",E92-H92)</f>
        <v/>
      </c>
      <c r="J92" s="117" t="str">
        <f>IF(B92="","",IF(OR(inp_Tipo="Arrendamiento Puro",par_BaseIVAFin="Sobre renta",B92="Opción de compra"),F92,G92)*$C$14)</f>
        <v/>
      </c>
      <c r="K92" s="117" t="str">
        <f>IF(B92="","",F92+J92)</f>
        <v/>
      </c>
      <c r="L92" s="117" t="str">
        <f>IF(B92="","",F92-IF(A92=$C$38,$C$30,0))</f>
        <v/>
      </c>
      <c r="M92" s="131" t="str">
        <f>IF(B92="","",$C$37*(1+$C$13)^(-C92))</f>
        <v/>
      </c>
      <c r="N92" s="117" t="str">
        <f>IF(B92="","",L92*M92)</f>
        <v/>
      </c>
      <c r="O92" s="117" t="str">
        <f>IF(B92="","",IF(B92="Básico",F92,0)-IF(A92=$C$38,$C$30,0))</f>
        <v/>
      </c>
      <c r="P92" s="130">
        <f>IF(B92="",$C$31,D92)</f>
        <v>46301.0</v>
      </c>
      <c r="Q92" s="117">
        <f>IF(B92="",0,L92)</f>
        <v>0</v>
      </c>
      <c r="R92" s="117">
        <f>IF(B92="",0,-F92)</f>
        <v>0</v>
      </c>
      <c r="S92" s="117" t="str">
        <f>IF(B92="","",O92*M92)</f>
        <v/>
      </c>
    </row>
    <row r="93">
      <c r="A93" s="53" t="n">
        <v>34</v>
      </c>
      <c r="B93" s="53" t="str">
        <f>IF(A93&gt;$C$38,"",IF(A93&lt;=$C$5,"Básico",IF($C$6&gt;0,"Sucesivo","Opción de compra")))</f>
        <v/>
      </c>
      <c r="C93" s="53" t="str">
        <f>IF(B93="","",IF(B93="Opción de compra",$C$5,A93-$C$7))</f>
        <v/>
      </c>
      <c r="D93" s="130" t="str">
        <f>IF(B93="","",EDATE($C$33,C93))</f>
        <v/>
      </c>
      <c r="E93" s="117" t="str">
        <f>IF(B93="","",I92)</f>
        <v/>
      </c>
      <c r="F93" s="117" t="str">
        <f>IF(B93="","",IF(B93="Básico",$C$24,IF(B93="Sucesivo",$C$25,$C$26)))</f>
        <v/>
      </c>
      <c r="G93" s="117" t="str">
        <f>IF(B93="","",IF(B93="Opción de compra",0,(E93-$C$7*F93)*IF(B93="Sucesivo",$C$11,$C$9)))</f>
        <v/>
      </c>
      <c r="H93" s="117" t="str">
        <f>IF(B93="","",F93-G93)</f>
        <v/>
      </c>
      <c r="I93" s="117" t="str">
        <f>IF(B93="","",E93-H93)</f>
        <v/>
      </c>
      <c r="J93" s="117" t="str">
        <f>IF(B93="","",IF(OR(inp_Tipo="Arrendamiento Puro",par_BaseIVAFin="Sobre renta",B93="Opción de compra"),F93,G93)*$C$14)</f>
        <v/>
      </c>
      <c r="K93" s="117" t="str">
        <f>IF(B93="","",F93+J93)</f>
        <v/>
      </c>
      <c r="L93" s="117" t="str">
        <f>IF(B93="","",F93-IF(A93=$C$38,$C$30,0))</f>
        <v/>
      </c>
      <c r="M93" s="131" t="str">
        <f>IF(B93="","",$C$37*(1+$C$13)^(-C93))</f>
        <v/>
      </c>
      <c r="N93" s="117" t="str">
        <f>IF(B93="","",L93*M93)</f>
        <v/>
      </c>
      <c r="O93" s="117" t="str">
        <f>IF(B93="","",IF(B93="Básico",F93,0)-IF(A93=$C$38,$C$30,0))</f>
        <v/>
      </c>
      <c r="P93" s="130">
        <f>IF(B93="",$C$31,D93)</f>
        <v>46301.0</v>
      </c>
      <c r="Q93" s="117">
        <f>IF(B93="",0,L93)</f>
        <v>0</v>
      </c>
      <c r="R93" s="117">
        <f>IF(B93="",0,-F93)</f>
        <v>0</v>
      </c>
      <c r="S93" s="117" t="str">
        <f>IF(B93="","",O93*M93)</f>
        <v/>
      </c>
    </row>
    <row r="94">
      <c r="A94" s="53" t="n">
        <v>35</v>
      </c>
      <c r="B94" s="53" t="str">
        <f>IF(A94&gt;$C$38,"",IF(A94&lt;=$C$5,"Básico",IF($C$6&gt;0,"Sucesivo","Opción de compra")))</f>
        <v/>
      </c>
      <c r="C94" s="53" t="str">
        <f>IF(B94="","",IF(B94="Opción de compra",$C$5,A94-$C$7))</f>
        <v/>
      </c>
      <c r="D94" s="130" t="str">
        <f>IF(B94="","",EDATE($C$33,C94))</f>
        <v/>
      </c>
      <c r="E94" s="117" t="str">
        <f>IF(B94="","",I93)</f>
        <v/>
      </c>
      <c r="F94" s="117" t="str">
        <f>IF(B94="","",IF(B94="Básico",$C$24,IF(B94="Sucesivo",$C$25,$C$26)))</f>
        <v/>
      </c>
      <c r="G94" s="117" t="str">
        <f>IF(B94="","",IF(B94="Opción de compra",0,(E94-$C$7*F94)*IF(B94="Sucesivo",$C$11,$C$9)))</f>
        <v/>
      </c>
      <c r="H94" s="117" t="str">
        <f>IF(B94="","",F94-G94)</f>
        <v/>
      </c>
      <c r="I94" s="117" t="str">
        <f>IF(B94="","",E94-H94)</f>
        <v/>
      </c>
      <c r="J94" s="117" t="str">
        <f>IF(B94="","",IF(OR(inp_Tipo="Arrendamiento Puro",par_BaseIVAFin="Sobre renta",B94="Opción de compra"),F94,G94)*$C$14)</f>
        <v/>
      </c>
      <c r="K94" s="117" t="str">
        <f>IF(B94="","",F94+J94)</f>
        <v/>
      </c>
      <c r="L94" s="117" t="str">
        <f>IF(B94="","",F94-IF(A94=$C$38,$C$30,0))</f>
        <v/>
      </c>
      <c r="M94" s="131" t="str">
        <f>IF(B94="","",$C$37*(1+$C$13)^(-C94))</f>
        <v/>
      </c>
      <c r="N94" s="117" t="str">
        <f>IF(B94="","",L94*M94)</f>
        <v/>
      </c>
      <c r="O94" s="117" t="str">
        <f>IF(B94="","",IF(B94="Básico",F94,0)-IF(A94=$C$38,$C$30,0))</f>
        <v/>
      </c>
      <c r="P94" s="130">
        <f>IF(B94="",$C$31,D94)</f>
        <v>46301.0</v>
      </c>
      <c r="Q94" s="117">
        <f>IF(B94="",0,L94)</f>
        <v>0</v>
      </c>
      <c r="R94" s="117">
        <f>IF(B94="",0,-F94)</f>
        <v>0</v>
      </c>
      <c r="S94" s="117" t="str">
        <f>IF(B94="","",O94*M94)</f>
        <v/>
      </c>
    </row>
    <row r="95">
      <c r="A95" s="53" t="n">
        <v>36</v>
      </c>
      <c r="B95" s="53" t="str">
        <f>IF(A95&gt;$C$38,"",IF(A95&lt;=$C$5,"Básico",IF($C$6&gt;0,"Sucesivo","Opción de compra")))</f>
        <v/>
      </c>
      <c r="C95" s="53" t="str">
        <f>IF(B95="","",IF(B95="Opción de compra",$C$5,A95-$C$7))</f>
        <v/>
      </c>
      <c r="D95" s="130" t="str">
        <f>IF(B95="","",EDATE($C$33,C95))</f>
        <v/>
      </c>
      <c r="E95" s="117" t="str">
        <f>IF(B95="","",I94)</f>
        <v/>
      </c>
      <c r="F95" s="117" t="str">
        <f>IF(B95="","",IF(B95="Básico",$C$24,IF(B95="Sucesivo",$C$25,$C$26)))</f>
        <v/>
      </c>
      <c r="G95" s="117" t="str">
        <f>IF(B95="","",IF(B95="Opción de compra",0,(E95-$C$7*F95)*IF(B95="Sucesivo",$C$11,$C$9)))</f>
        <v/>
      </c>
      <c r="H95" s="117" t="str">
        <f>IF(B95="","",F95-G95)</f>
        <v/>
      </c>
      <c r="I95" s="117" t="str">
        <f>IF(B95="","",E95-H95)</f>
        <v/>
      </c>
      <c r="J95" s="117" t="str">
        <f>IF(B95="","",IF(OR(inp_Tipo="Arrendamiento Puro",par_BaseIVAFin="Sobre renta",B95="Opción de compra"),F95,G95)*$C$14)</f>
        <v/>
      </c>
      <c r="K95" s="117" t="str">
        <f>IF(B95="","",F95+J95)</f>
        <v/>
      </c>
      <c r="L95" s="117" t="str">
        <f>IF(B95="","",F95-IF(A95=$C$38,$C$30,0))</f>
        <v/>
      </c>
      <c r="M95" s="131" t="str">
        <f>IF(B95="","",$C$37*(1+$C$13)^(-C95))</f>
        <v/>
      </c>
      <c r="N95" s="117" t="str">
        <f>IF(B95="","",L95*M95)</f>
        <v/>
      </c>
      <c r="O95" s="117" t="str">
        <f>IF(B95="","",IF(B95="Básico",F95,0)-IF(A95=$C$38,$C$30,0))</f>
        <v/>
      </c>
      <c r="P95" s="130">
        <f>IF(B95="",$C$31,D95)</f>
        <v>46301.0</v>
      </c>
      <c r="Q95" s="117">
        <f>IF(B95="",0,L95)</f>
        <v>0</v>
      </c>
      <c r="R95" s="117">
        <f>IF(B95="",0,-F95)</f>
        <v>0</v>
      </c>
      <c r="S95" s="117" t="str">
        <f>IF(B95="","",O95*M95)</f>
        <v/>
      </c>
    </row>
    <row r="96">
      <c r="A96" s="53" t="n">
        <v>37</v>
      </c>
      <c r="B96" s="53" t="str">
        <f>IF(A96&gt;$C$38,"",IF(A96&lt;=$C$5,"Básico",IF($C$6&gt;0,"Sucesivo","Opción de compra")))</f>
        <v/>
      </c>
      <c r="C96" s="53" t="str">
        <f>IF(B96="","",IF(B96="Opción de compra",$C$5,A96-$C$7))</f>
        <v/>
      </c>
      <c r="D96" s="130" t="str">
        <f>IF(B96="","",EDATE($C$33,C96))</f>
        <v/>
      </c>
      <c r="E96" s="117" t="str">
        <f>IF(B96="","",I95)</f>
        <v/>
      </c>
      <c r="F96" s="117" t="str">
        <f>IF(B96="","",IF(B96="Básico",$C$24,IF(B96="Sucesivo",$C$25,$C$26)))</f>
        <v/>
      </c>
      <c r="G96" s="117" t="str">
        <f>IF(B96="","",IF(B96="Opción de compra",0,(E96-$C$7*F96)*IF(B96="Sucesivo",$C$11,$C$9)))</f>
        <v/>
      </c>
      <c r="H96" s="117" t="str">
        <f>IF(B96="","",F96-G96)</f>
        <v/>
      </c>
      <c r="I96" s="117" t="str">
        <f>IF(B96="","",E96-H96)</f>
        <v/>
      </c>
      <c r="J96" s="117" t="str">
        <f>IF(B96="","",IF(OR(inp_Tipo="Arrendamiento Puro",par_BaseIVAFin="Sobre renta",B96="Opción de compra"),F96,G96)*$C$14)</f>
        <v/>
      </c>
      <c r="K96" s="117" t="str">
        <f>IF(B96="","",F96+J96)</f>
        <v/>
      </c>
      <c r="L96" s="117" t="str">
        <f>IF(B96="","",F96-IF(A96=$C$38,$C$30,0))</f>
        <v/>
      </c>
      <c r="M96" s="131" t="str">
        <f>IF(B96="","",$C$37*(1+$C$13)^(-C96))</f>
        <v/>
      </c>
      <c r="N96" s="117" t="str">
        <f>IF(B96="","",L96*M96)</f>
        <v/>
      </c>
      <c r="O96" s="117" t="str">
        <f>IF(B96="","",IF(B96="Básico",F96,0)-IF(A96=$C$38,$C$30,0))</f>
        <v/>
      </c>
      <c r="P96" s="130">
        <f>IF(B96="",$C$31,D96)</f>
        <v>46301.0</v>
      </c>
      <c r="Q96" s="117">
        <f>IF(B96="",0,L96)</f>
        <v>0</v>
      </c>
      <c r="R96" s="117">
        <f>IF(B96="",0,-F96)</f>
        <v>0</v>
      </c>
      <c r="S96" s="117" t="str">
        <f>IF(B96="","",O96*M96)</f>
        <v/>
      </c>
    </row>
    <row r="97">
      <c r="A97" s="53" t="n">
        <v>38</v>
      </c>
      <c r="B97" s="53" t="str">
        <f>IF(A97&gt;$C$38,"",IF(A97&lt;=$C$5,"Básico",IF($C$6&gt;0,"Sucesivo","Opción de compra")))</f>
        <v/>
      </c>
      <c r="C97" s="53" t="str">
        <f>IF(B97="","",IF(B97="Opción de compra",$C$5,A97-$C$7))</f>
        <v/>
      </c>
      <c r="D97" s="130" t="str">
        <f>IF(B97="","",EDATE($C$33,C97))</f>
        <v/>
      </c>
      <c r="E97" s="117" t="str">
        <f>IF(B97="","",I96)</f>
        <v/>
      </c>
      <c r="F97" s="117" t="str">
        <f>IF(B97="","",IF(B97="Básico",$C$24,IF(B97="Sucesivo",$C$25,$C$26)))</f>
        <v/>
      </c>
      <c r="G97" s="117" t="str">
        <f>IF(B97="","",IF(B97="Opción de compra",0,(E97-$C$7*F97)*IF(B97="Sucesivo",$C$11,$C$9)))</f>
        <v/>
      </c>
      <c r="H97" s="117" t="str">
        <f>IF(B97="","",F97-G97)</f>
        <v/>
      </c>
      <c r="I97" s="117" t="str">
        <f>IF(B97="","",E97-H97)</f>
        <v/>
      </c>
      <c r="J97" s="117" t="str">
        <f>IF(B97="","",IF(OR(inp_Tipo="Arrendamiento Puro",par_BaseIVAFin="Sobre renta",B97="Opción de compra"),F97,G97)*$C$14)</f>
        <v/>
      </c>
      <c r="K97" s="117" t="str">
        <f>IF(B97="","",F97+J97)</f>
        <v/>
      </c>
      <c r="L97" s="117" t="str">
        <f>IF(B97="","",F97-IF(A97=$C$38,$C$30,0))</f>
        <v/>
      </c>
      <c r="M97" s="131" t="str">
        <f>IF(B97="","",$C$37*(1+$C$13)^(-C97))</f>
        <v/>
      </c>
      <c r="N97" s="117" t="str">
        <f>IF(B97="","",L97*M97)</f>
        <v/>
      </c>
      <c r="O97" s="117" t="str">
        <f>IF(B97="","",IF(B97="Básico",F97,0)-IF(A97=$C$38,$C$30,0))</f>
        <v/>
      </c>
      <c r="P97" s="130">
        <f>IF(B97="",$C$31,D97)</f>
        <v>46301.0</v>
      </c>
      <c r="Q97" s="117">
        <f>IF(B97="",0,L97)</f>
        <v>0</v>
      </c>
      <c r="R97" s="117">
        <f>IF(B97="",0,-F97)</f>
        <v>0</v>
      </c>
      <c r="S97" s="117" t="str">
        <f>IF(B97="","",O97*M97)</f>
        <v/>
      </c>
    </row>
    <row r="98">
      <c r="A98" s="53" t="n">
        <v>39</v>
      </c>
      <c r="B98" s="53" t="str">
        <f>IF(A98&gt;$C$38,"",IF(A98&lt;=$C$5,"Básico",IF($C$6&gt;0,"Sucesivo","Opción de compra")))</f>
        <v/>
      </c>
      <c r="C98" s="53" t="str">
        <f>IF(B98="","",IF(B98="Opción de compra",$C$5,A98-$C$7))</f>
        <v/>
      </c>
      <c r="D98" s="130" t="str">
        <f>IF(B98="","",EDATE($C$33,C98))</f>
        <v/>
      </c>
      <c r="E98" s="117" t="str">
        <f>IF(B98="","",I97)</f>
        <v/>
      </c>
      <c r="F98" s="117" t="str">
        <f>IF(B98="","",IF(B98="Básico",$C$24,IF(B98="Sucesivo",$C$25,$C$26)))</f>
        <v/>
      </c>
      <c r="G98" s="117" t="str">
        <f>IF(B98="","",IF(B98="Opción de compra",0,(E98-$C$7*F98)*IF(B98="Sucesivo",$C$11,$C$9)))</f>
        <v/>
      </c>
      <c r="H98" s="117" t="str">
        <f>IF(B98="","",F98-G98)</f>
        <v/>
      </c>
      <c r="I98" s="117" t="str">
        <f>IF(B98="","",E98-H98)</f>
        <v/>
      </c>
      <c r="J98" s="117" t="str">
        <f>IF(B98="","",IF(OR(inp_Tipo="Arrendamiento Puro",par_BaseIVAFin="Sobre renta",B98="Opción de compra"),F98,G98)*$C$14)</f>
        <v/>
      </c>
      <c r="K98" s="117" t="str">
        <f>IF(B98="","",F98+J98)</f>
        <v/>
      </c>
      <c r="L98" s="117" t="str">
        <f>IF(B98="","",F98-IF(A98=$C$38,$C$30,0))</f>
        <v/>
      </c>
      <c r="M98" s="131" t="str">
        <f>IF(B98="","",$C$37*(1+$C$13)^(-C98))</f>
        <v/>
      </c>
      <c r="N98" s="117" t="str">
        <f>IF(B98="","",L98*M98)</f>
        <v/>
      </c>
      <c r="O98" s="117" t="str">
        <f>IF(B98="","",IF(B98="Básico",F98,0)-IF(A98=$C$38,$C$30,0))</f>
        <v/>
      </c>
      <c r="P98" s="130">
        <f>IF(B98="",$C$31,D98)</f>
        <v>46301.0</v>
      </c>
      <c r="Q98" s="117">
        <f>IF(B98="",0,L98)</f>
        <v>0</v>
      </c>
      <c r="R98" s="117">
        <f>IF(B98="",0,-F98)</f>
        <v>0</v>
      </c>
      <c r="S98" s="117" t="str">
        <f>IF(B98="","",O98*M98)</f>
        <v/>
      </c>
    </row>
    <row r="99">
      <c r="A99" s="53" t="n">
        <v>40</v>
      </c>
      <c r="B99" s="53" t="str">
        <f>IF(A99&gt;$C$38,"",IF(A99&lt;=$C$5,"Básico",IF($C$6&gt;0,"Sucesivo","Opción de compra")))</f>
        <v/>
      </c>
      <c r="C99" s="53" t="str">
        <f>IF(B99="","",IF(B99="Opción de compra",$C$5,A99-$C$7))</f>
        <v/>
      </c>
      <c r="D99" s="130" t="str">
        <f>IF(B99="","",EDATE($C$33,C99))</f>
        <v/>
      </c>
      <c r="E99" s="117" t="str">
        <f>IF(B99="","",I98)</f>
        <v/>
      </c>
      <c r="F99" s="117" t="str">
        <f>IF(B99="","",IF(B99="Básico",$C$24,IF(B99="Sucesivo",$C$25,$C$26)))</f>
        <v/>
      </c>
      <c r="G99" s="117" t="str">
        <f>IF(B99="","",IF(B99="Opción de compra",0,(E99-$C$7*F99)*IF(B99="Sucesivo",$C$11,$C$9)))</f>
        <v/>
      </c>
      <c r="H99" s="117" t="str">
        <f>IF(B99="","",F99-G99)</f>
        <v/>
      </c>
      <c r="I99" s="117" t="str">
        <f>IF(B99="","",E99-H99)</f>
        <v/>
      </c>
      <c r="J99" s="117" t="str">
        <f>IF(B99="","",IF(OR(inp_Tipo="Arrendamiento Puro",par_BaseIVAFin="Sobre renta",B99="Opción de compra"),F99,G99)*$C$14)</f>
        <v/>
      </c>
      <c r="K99" s="117" t="str">
        <f>IF(B99="","",F99+J99)</f>
        <v/>
      </c>
      <c r="L99" s="117" t="str">
        <f>IF(B99="","",F99-IF(A99=$C$38,$C$30,0))</f>
        <v/>
      </c>
      <c r="M99" s="131" t="str">
        <f>IF(B99="","",$C$37*(1+$C$13)^(-C99))</f>
        <v/>
      </c>
      <c r="N99" s="117" t="str">
        <f>IF(B99="","",L99*M99)</f>
        <v/>
      </c>
      <c r="O99" s="117" t="str">
        <f>IF(B99="","",IF(B99="Básico",F99,0)-IF(A99=$C$38,$C$30,0))</f>
        <v/>
      </c>
      <c r="P99" s="130">
        <f>IF(B99="",$C$31,D99)</f>
        <v>46301.0</v>
      </c>
      <c r="Q99" s="117">
        <f>IF(B99="",0,L99)</f>
        <v>0</v>
      </c>
      <c r="R99" s="117">
        <f>IF(B99="",0,-F99)</f>
        <v>0</v>
      </c>
      <c r="S99" s="117" t="str">
        <f>IF(B99="","",O99*M99)</f>
        <v/>
      </c>
    </row>
    <row r="100">
      <c r="A100" s="53" t="n">
        <v>41</v>
      </c>
      <c r="B100" s="53" t="str">
        <f>IF(A100&gt;$C$38,"",IF(A100&lt;=$C$5,"Básico",IF($C$6&gt;0,"Sucesivo","Opción de compra")))</f>
        <v/>
      </c>
      <c r="C100" s="53" t="str">
        <f>IF(B100="","",IF(B100="Opción de compra",$C$5,A100-$C$7))</f>
        <v/>
      </c>
      <c r="D100" s="130" t="str">
        <f>IF(B100="","",EDATE($C$33,C100))</f>
        <v/>
      </c>
      <c r="E100" s="117" t="str">
        <f>IF(B100="","",I99)</f>
        <v/>
      </c>
      <c r="F100" s="117" t="str">
        <f>IF(B100="","",IF(B100="Básico",$C$24,IF(B100="Sucesivo",$C$25,$C$26)))</f>
        <v/>
      </c>
      <c r="G100" s="117" t="str">
        <f>IF(B100="","",IF(B100="Opción de compra",0,(E100-$C$7*F100)*IF(B100="Sucesivo",$C$11,$C$9)))</f>
        <v/>
      </c>
      <c r="H100" s="117" t="str">
        <f>IF(B100="","",F100-G100)</f>
        <v/>
      </c>
      <c r="I100" s="117" t="str">
        <f>IF(B100="","",E100-H100)</f>
        <v/>
      </c>
      <c r="J100" s="117" t="str">
        <f>IF(B100="","",IF(OR(inp_Tipo="Arrendamiento Puro",par_BaseIVAFin="Sobre renta",B100="Opción de compra"),F100,G100)*$C$14)</f>
        <v/>
      </c>
      <c r="K100" s="117" t="str">
        <f>IF(B100="","",F100+J100)</f>
        <v/>
      </c>
      <c r="L100" s="117" t="str">
        <f>IF(B100="","",F100-IF(A100=$C$38,$C$30,0))</f>
        <v/>
      </c>
      <c r="M100" s="131" t="str">
        <f>IF(B100="","",$C$37*(1+$C$13)^(-C100))</f>
        <v/>
      </c>
      <c r="N100" s="117" t="str">
        <f>IF(B100="","",L100*M100)</f>
        <v/>
      </c>
      <c r="O100" s="117" t="str">
        <f>IF(B100="","",IF(B100="Básico",F100,0)-IF(A100=$C$38,$C$30,0))</f>
        <v/>
      </c>
      <c r="P100" s="130">
        <f>IF(B100="",$C$31,D100)</f>
        <v>46301.0</v>
      </c>
      <c r="Q100" s="117">
        <f>IF(B100="",0,L100)</f>
        <v>0</v>
      </c>
      <c r="R100" s="117">
        <f>IF(B100="",0,-F100)</f>
        <v>0</v>
      </c>
      <c r="S100" s="117" t="str">
        <f>IF(B100="","",O100*M100)</f>
        <v/>
      </c>
    </row>
    <row r="101">
      <c r="A101" s="53" t="n">
        <v>42</v>
      </c>
      <c r="B101" s="53" t="str">
        <f>IF(A101&gt;$C$38,"",IF(A101&lt;=$C$5,"Básico",IF($C$6&gt;0,"Sucesivo","Opción de compra")))</f>
        <v/>
      </c>
      <c r="C101" s="53" t="str">
        <f>IF(B101="","",IF(B101="Opción de compra",$C$5,A101-$C$7))</f>
        <v/>
      </c>
      <c r="D101" s="130" t="str">
        <f>IF(B101="","",EDATE($C$33,C101))</f>
        <v/>
      </c>
      <c r="E101" s="117" t="str">
        <f>IF(B101="","",I100)</f>
        <v/>
      </c>
      <c r="F101" s="117" t="str">
        <f>IF(B101="","",IF(B101="Básico",$C$24,IF(B101="Sucesivo",$C$25,$C$26)))</f>
        <v/>
      </c>
      <c r="G101" s="117" t="str">
        <f>IF(B101="","",IF(B101="Opción de compra",0,(E101-$C$7*F101)*IF(B101="Sucesivo",$C$11,$C$9)))</f>
        <v/>
      </c>
      <c r="H101" s="117" t="str">
        <f>IF(B101="","",F101-G101)</f>
        <v/>
      </c>
      <c r="I101" s="117" t="str">
        <f>IF(B101="","",E101-H101)</f>
        <v/>
      </c>
      <c r="J101" s="117" t="str">
        <f>IF(B101="","",IF(OR(inp_Tipo="Arrendamiento Puro",par_BaseIVAFin="Sobre renta",B101="Opción de compra"),F101,G101)*$C$14)</f>
        <v/>
      </c>
      <c r="K101" s="117" t="str">
        <f>IF(B101="","",F101+J101)</f>
        <v/>
      </c>
      <c r="L101" s="117" t="str">
        <f>IF(B101="","",F101-IF(A101=$C$38,$C$30,0))</f>
        <v/>
      </c>
      <c r="M101" s="131" t="str">
        <f>IF(B101="","",$C$37*(1+$C$13)^(-C101))</f>
        <v/>
      </c>
      <c r="N101" s="117" t="str">
        <f>IF(B101="","",L101*M101)</f>
        <v/>
      </c>
      <c r="O101" s="117" t="str">
        <f>IF(B101="","",IF(B101="Básico",F101,0)-IF(A101=$C$38,$C$30,0))</f>
        <v/>
      </c>
      <c r="P101" s="130">
        <f>IF(B101="",$C$31,D101)</f>
        <v>46301.0</v>
      </c>
      <c r="Q101" s="117">
        <f>IF(B101="",0,L101)</f>
        <v>0</v>
      </c>
      <c r="R101" s="117">
        <f>IF(B101="",0,-F101)</f>
        <v>0</v>
      </c>
      <c r="S101" s="117" t="str">
        <f>IF(B101="","",O101*M101)</f>
        <v/>
      </c>
    </row>
    <row r="102">
      <c r="A102" s="53" t="n">
        <v>43</v>
      </c>
      <c r="B102" s="53" t="str">
        <f>IF(A102&gt;$C$38,"",IF(A102&lt;=$C$5,"Básico",IF($C$6&gt;0,"Sucesivo","Opción de compra")))</f>
        <v/>
      </c>
      <c r="C102" s="53" t="str">
        <f>IF(B102="","",IF(B102="Opción de compra",$C$5,A102-$C$7))</f>
        <v/>
      </c>
      <c r="D102" s="130" t="str">
        <f>IF(B102="","",EDATE($C$33,C102))</f>
        <v/>
      </c>
      <c r="E102" s="117" t="str">
        <f>IF(B102="","",I101)</f>
        <v/>
      </c>
      <c r="F102" s="117" t="str">
        <f>IF(B102="","",IF(B102="Básico",$C$24,IF(B102="Sucesivo",$C$25,$C$26)))</f>
        <v/>
      </c>
      <c r="G102" s="117" t="str">
        <f>IF(B102="","",IF(B102="Opción de compra",0,(E102-$C$7*F102)*IF(B102="Sucesivo",$C$11,$C$9)))</f>
        <v/>
      </c>
      <c r="H102" s="117" t="str">
        <f>IF(B102="","",F102-G102)</f>
        <v/>
      </c>
      <c r="I102" s="117" t="str">
        <f>IF(B102="","",E102-H102)</f>
        <v/>
      </c>
      <c r="J102" s="117" t="str">
        <f>IF(B102="","",IF(OR(inp_Tipo="Arrendamiento Puro",par_BaseIVAFin="Sobre renta",B102="Opción de compra"),F102,G102)*$C$14)</f>
        <v/>
      </c>
      <c r="K102" s="117" t="str">
        <f>IF(B102="","",F102+J102)</f>
        <v/>
      </c>
      <c r="L102" s="117" t="str">
        <f>IF(B102="","",F102-IF(A102=$C$38,$C$30,0))</f>
        <v/>
      </c>
      <c r="M102" s="131" t="str">
        <f>IF(B102="","",$C$37*(1+$C$13)^(-C102))</f>
        <v/>
      </c>
      <c r="N102" s="117" t="str">
        <f>IF(B102="","",L102*M102)</f>
        <v/>
      </c>
      <c r="O102" s="117" t="str">
        <f>IF(B102="","",IF(B102="Básico",F102,0)-IF(A102=$C$38,$C$30,0))</f>
        <v/>
      </c>
      <c r="P102" s="130">
        <f>IF(B102="",$C$31,D102)</f>
        <v>46301.0</v>
      </c>
      <c r="Q102" s="117">
        <f>IF(B102="",0,L102)</f>
        <v>0</v>
      </c>
      <c r="R102" s="117">
        <f>IF(B102="",0,-F102)</f>
        <v>0</v>
      </c>
      <c r="S102" s="117" t="str">
        <f>IF(B102="","",O102*M102)</f>
        <v/>
      </c>
    </row>
    <row r="103">
      <c r="A103" s="53" t="n">
        <v>44</v>
      </c>
      <c r="B103" s="53" t="str">
        <f>IF(A103&gt;$C$38,"",IF(A103&lt;=$C$5,"Básico",IF($C$6&gt;0,"Sucesivo","Opción de compra")))</f>
        <v/>
      </c>
      <c r="C103" s="53" t="str">
        <f>IF(B103="","",IF(B103="Opción de compra",$C$5,A103-$C$7))</f>
        <v/>
      </c>
      <c r="D103" s="130" t="str">
        <f>IF(B103="","",EDATE($C$33,C103))</f>
        <v/>
      </c>
      <c r="E103" s="117" t="str">
        <f>IF(B103="","",I102)</f>
        <v/>
      </c>
      <c r="F103" s="117" t="str">
        <f>IF(B103="","",IF(B103="Básico",$C$24,IF(B103="Sucesivo",$C$25,$C$26)))</f>
        <v/>
      </c>
      <c r="G103" s="117" t="str">
        <f>IF(B103="","",IF(B103="Opción de compra",0,(E103-$C$7*F103)*IF(B103="Sucesivo",$C$11,$C$9)))</f>
        <v/>
      </c>
      <c r="H103" s="117" t="str">
        <f>IF(B103="","",F103-G103)</f>
        <v/>
      </c>
      <c r="I103" s="117" t="str">
        <f>IF(B103="","",E103-H103)</f>
        <v/>
      </c>
      <c r="J103" s="117" t="str">
        <f>IF(B103="","",IF(OR(inp_Tipo="Arrendamiento Puro",par_BaseIVAFin="Sobre renta",B103="Opción de compra"),F103,G103)*$C$14)</f>
        <v/>
      </c>
      <c r="K103" s="117" t="str">
        <f>IF(B103="","",F103+J103)</f>
        <v/>
      </c>
      <c r="L103" s="117" t="str">
        <f>IF(B103="","",F103-IF(A103=$C$38,$C$30,0))</f>
        <v/>
      </c>
      <c r="M103" s="131" t="str">
        <f>IF(B103="","",$C$37*(1+$C$13)^(-C103))</f>
        <v/>
      </c>
      <c r="N103" s="117" t="str">
        <f>IF(B103="","",L103*M103)</f>
        <v/>
      </c>
      <c r="O103" s="117" t="str">
        <f>IF(B103="","",IF(B103="Básico",F103,0)-IF(A103=$C$38,$C$30,0))</f>
        <v/>
      </c>
      <c r="P103" s="130">
        <f>IF(B103="",$C$31,D103)</f>
        <v>46301.0</v>
      </c>
      <c r="Q103" s="117">
        <f>IF(B103="",0,L103)</f>
        <v>0</v>
      </c>
      <c r="R103" s="117">
        <f>IF(B103="",0,-F103)</f>
        <v>0</v>
      </c>
      <c r="S103" s="117" t="str">
        <f>IF(B103="","",O103*M103)</f>
        <v/>
      </c>
    </row>
    <row r="104">
      <c r="A104" s="53" t="n">
        <v>45</v>
      </c>
      <c r="B104" s="53" t="str">
        <f>IF(A104&gt;$C$38,"",IF(A104&lt;=$C$5,"Básico",IF($C$6&gt;0,"Sucesivo","Opción de compra")))</f>
        <v/>
      </c>
      <c r="C104" s="53" t="str">
        <f>IF(B104="","",IF(B104="Opción de compra",$C$5,A104-$C$7))</f>
        <v/>
      </c>
      <c r="D104" s="130" t="str">
        <f>IF(B104="","",EDATE($C$33,C104))</f>
        <v/>
      </c>
      <c r="E104" s="117" t="str">
        <f>IF(B104="","",I103)</f>
        <v/>
      </c>
      <c r="F104" s="117" t="str">
        <f>IF(B104="","",IF(B104="Básico",$C$24,IF(B104="Sucesivo",$C$25,$C$26)))</f>
        <v/>
      </c>
      <c r="G104" s="117" t="str">
        <f>IF(B104="","",IF(B104="Opción de compra",0,(E104-$C$7*F104)*IF(B104="Sucesivo",$C$11,$C$9)))</f>
        <v/>
      </c>
      <c r="H104" s="117" t="str">
        <f>IF(B104="","",F104-G104)</f>
        <v/>
      </c>
      <c r="I104" s="117" t="str">
        <f>IF(B104="","",E104-H104)</f>
        <v/>
      </c>
      <c r="J104" s="117" t="str">
        <f>IF(B104="","",IF(OR(inp_Tipo="Arrendamiento Puro",par_BaseIVAFin="Sobre renta",B104="Opción de compra"),F104,G104)*$C$14)</f>
        <v/>
      </c>
      <c r="K104" s="117" t="str">
        <f>IF(B104="","",F104+J104)</f>
        <v/>
      </c>
      <c r="L104" s="117" t="str">
        <f>IF(B104="","",F104-IF(A104=$C$38,$C$30,0))</f>
        <v/>
      </c>
      <c r="M104" s="131" t="str">
        <f>IF(B104="","",$C$37*(1+$C$13)^(-C104))</f>
        <v/>
      </c>
      <c r="N104" s="117" t="str">
        <f>IF(B104="","",L104*M104)</f>
        <v/>
      </c>
      <c r="O104" s="117" t="str">
        <f>IF(B104="","",IF(B104="Básico",F104,0)-IF(A104=$C$38,$C$30,0))</f>
        <v/>
      </c>
      <c r="P104" s="130">
        <f>IF(B104="",$C$31,D104)</f>
        <v>46301.0</v>
      </c>
      <c r="Q104" s="117">
        <f>IF(B104="",0,L104)</f>
        <v>0</v>
      </c>
      <c r="R104" s="117">
        <f>IF(B104="",0,-F104)</f>
        <v>0</v>
      </c>
      <c r="S104" s="117" t="str">
        <f>IF(B104="","",O104*M104)</f>
        <v/>
      </c>
    </row>
    <row r="105">
      <c r="A105" s="53" t="n">
        <v>46</v>
      </c>
      <c r="B105" s="53" t="str">
        <f>IF(A105&gt;$C$38,"",IF(A105&lt;=$C$5,"Básico",IF($C$6&gt;0,"Sucesivo","Opción de compra")))</f>
        <v/>
      </c>
      <c r="C105" s="53" t="str">
        <f>IF(B105="","",IF(B105="Opción de compra",$C$5,A105-$C$7))</f>
        <v/>
      </c>
      <c r="D105" s="130" t="str">
        <f>IF(B105="","",EDATE($C$33,C105))</f>
        <v/>
      </c>
      <c r="E105" s="117" t="str">
        <f>IF(B105="","",I104)</f>
        <v/>
      </c>
      <c r="F105" s="117" t="str">
        <f>IF(B105="","",IF(B105="Básico",$C$24,IF(B105="Sucesivo",$C$25,$C$26)))</f>
        <v/>
      </c>
      <c r="G105" s="117" t="str">
        <f>IF(B105="","",IF(B105="Opción de compra",0,(E105-$C$7*F105)*IF(B105="Sucesivo",$C$11,$C$9)))</f>
        <v/>
      </c>
      <c r="H105" s="117" t="str">
        <f>IF(B105="","",F105-G105)</f>
        <v/>
      </c>
      <c r="I105" s="117" t="str">
        <f>IF(B105="","",E105-H105)</f>
        <v/>
      </c>
      <c r="J105" s="117" t="str">
        <f>IF(B105="","",IF(OR(inp_Tipo="Arrendamiento Puro",par_BaseIVAFin="Sobre renta",B105="Opción de compra"),F105,G105)*$C$14)</f>
        <v/>
      </c>
      <c r="K105" s="117" t="str">
        <f>IF(B105="","",F105+J105)</f>
        <v/>
      </c>
      <c r="L105" s="117" t="str">
        <f>IF(B105="","",F105-IF(A105=$C$38,$C$30,0))</f>
        <v/>
      </c>
      <c r="M105" s="131" t="str">
        <f>IF(B105="","",$C$37*(1+$C$13)^(-C105))</f>
        <v/>
      </c>
      <c r="N105" s="117" t="str">
        <f>IF(B105="","",L105*M105)</f>
        <v/>
      </c>
      <c r="O105" s="117" t="str">
        <f>IF(B105="","",IF(B105="Básico",F105,0)-IF(A105=$C$38,$C$30,0))</f>
        <v/>
      </c>
      <c r="P105" s="130">
        <f>IF(B105="",$C$31,D105)</f>
        <v>46301.0</v>
      </c>
      <c r="Q105" s="117">
        <f>IF(B105="",0,L105)</f>
        <v>0</v>
      </c>
      <c r="R105" s="117">
        <f>IF(B105="",0,-F105)</f>
        <v>0</v>
      </c>
      <c r="S105" s="117" t="str">
        <f>IF(B105="","",O105*M105)</f>
        <v/>
      </c>
    </row>
    <row r="106">
      <c r="A106" s="53" t="n">
        <v>47</v>
      </c>
      <c r="B106" s="53" t="str">
        <f>IF(A106&gt;$C$38,"",IF(A106&lt;=$C$5,"Básico",IF($C$6&gt;0,"Sucesivo","Opción de compra")))</f>
        <v/>
      </c>
      <c r="C106" s="53" t="str">
        <f>IF(B106="","",IF(B106="Opción de compra",$C$5,A106-$C$7))</f>
        <v/>
      </c>
      <c r="D106" s="130" t="str">
        <f>IF(B106="","",EDATE($C$33,C106))</f>
        <v/>
      </c>
      <c r="E106" s="117" t="str">
        <f>IF(B106="","",I105)</f>
        <v/>
      </c>
      <c r="F106" s="117" t="str">
        <f>IF(B106="","",IF(B106="Básico",$C$24,IF(B106="Sucesivo",$C$25,$C$26)))</f>
        <v/>
      </c>
      <c r="G106" s="117" t="str">
        <f>IF(B106="","",IF(B106="Opción de compra",0,(E106-$C$7*F106)*IF(B106="Sucesivo",$C$11,$C$9)))</f>
        <v/>
      </c>
      <c r="H106" s="117" t="str">
        <f>IF(B106="","",F106-G106)</f>
        <v/>
      </c>
      <c r="I106" s="117" t="str">
        <f>IF(B106="","",E106-H106)</f>
        <v/>
      </c>
      <c r="J106" s="117" t="str">
        <f>IF(B106="","",IF(OR(inp_Tipo="Arrendamiento Puro",par_BaseIVAFin="Sobre renta",B106="Opción de compra"),F106,G106)*$C$14)</f>
        <v/>
      </c>
      <c r="K106" s="117" t="str">
        <f>IF(B106="","",F106+J106)</f>
        <v/>
      </c>
      <c r="L106" s="117" t="str">
        <f>IF(B106="","",F106-IF(A106=$C$38,$C$30,0))</f>
        <v/>
      </c>
      <c r="M106" s="131" t="str">
        <f>IF(B106="","",$C$37*(1+$C$13)^(-C106))</f>
        <v/>
      </c>
      <c r="N106" s="117" t="str">
        <f>IF(B106="","",L106*M106)</f>
        <v/>
      </c>
      <c r="O106" s="117" t="str">
        <f>IF(B106="","",IF(B106="Básico",F106,0)-IF(A106=$C$38,$C$30,0))</f>
        <v/>
      </c>
      <c r="P106" s="130">
        <f>IF(B106="",$C$31,D106)</f>
        <v>46301.0</v>
      </c>
      <c r="Q106" s="117">
        <f>IF(B106="",0,L106)</f>
        <v>0</v>
      </c>
      <c r="R106" s="117">
        <f>IF(B106="",0,-F106)</f>
        <v>0</v>
      </c>
      <c r="S106" s="117" t="str">
        <f>IF(B106="","",O106*M106)</f>
        <v/>
      </c>
    </row>
    <row r="107">
      <c r="A107" s="53" t="n">
        <v>48</v>
      </c>
      <c r="B107" s="53" t="str">
        <f>IF(A107&gt;$C$38,"",IF(A107&lt;=$C$5,"Básico",IF($C$6&gt;0,"Sucesivo","Opción de compra")))</f>
        <v/>
      </c>
      <c r="C107" s="53" t="str">
        <f>IF(B107="","",IF(B107="Opción de compra",$C$5,A107-$C$7))</f>
        <v/>
      </c>
      <c r="D107" s="130" t="str">
        <f>IF(B107="","",EDATE($C$33,C107))</f>
        <v/>
      </c>
      <c r="E107" s="117" t="str">
        <f>IF(B107="","",I106)</f>
        <v/>
      </c>
      <c r="F107" s="117" t="str">
        <f>IF(B107="","",IF(B107="Básico",$C$24,IF(B107="Sucesivo",$C$25,$C$26)))</f>
        <v/>
      </c>
      <c r="G107" s="117" t="str">
        <f>IF(B107="","",IF(B107="Opción de compra",0,(E107-$C$7*F107)*IF(B107="Sucesivo",$C$11,$C$9)))</f>
        <v/>
      </c>
      <c r="H107" s="117" t="str">
        <f>IF(B107="","",F107-G107)</f>
        <v/>
      </c>
      <c r="I107" s="117" t="str">
        <f>IF(B107="","",E107-H107)</f>
        <v/>
      </c>
      <c r="J107" s="117" t="str">
        <f>IF(B107="","",IF(OR(inp_Tipo="Arrendamiento Puro",par_BaseIVAFin="Sobre renta",B107="Opción de compra"),F107,G107)*$C$14)</f>
        <v/>
      </c>
      <c r="K107" s="117" t="str">
        <f>IF(B107="","",F107+J107)</f>
        <v/>
      </c>
      <c r="L107" s="117" t="str">
        <f>IF(B107="","",F107-IF(A107=$C$38,$C$30,0))</f>
        <v/>
      </c>
      <c r="M107" s="131" t="str">
        <f>IF(B107="","",$C$37*(1+$C$13)^(-C107))</f>
        <v/>
      </c>
      <c r="N107" s="117" t="str">
        <f>IF(B107="","",L107*M107)</f>
        <v/>
      </c>
      <c r="O107" s="117" t="str">
        <f>IF(B107="","",IF(B107="Básico",F107,0)-IF(A107=$C$38,$C$30,0))</f>
        <v/>
      </c>
      <c r="P107" s="130">
        <f>IF(B107="",$C$31,D107)</f>
        <v>46301.0</v>
      </c>
      <c r="Q107" s="117">
        <f>IF(B107="",0,L107)</f>
        <v>0</v>
      </c>
      <c r="R107" s="117">
        <f>IF(B107="",0,-F107)</f>
        <v>0</v>
      </c>
      <c r="S107" s="117" t="str">
        <f>IF(B107="","",O107*M107)</f>
        <v/>
      </c>
    </row>
    <row r="108">
      <c r="A108" s="53" t="n">
        <v>49</v>
      </c>
      <c r="B108" s="53" t="str">
        <f>IF(A108&gt;$C$38,"",IF(A108&lt;=$C$5,"Básico",IF($C$6&gt;0,"Sucesivo","Opción de compra")))</f>
        <v/>
      </c>
      <c r="C108" s="53" t="str">
        <f>IF(B108="","",IF(B108="Opción de compra",$C$5,A108-$C$7))</f>
        <v/>
      </c>
      <c r="D108" s="130" t="str">
        <f>IF(B108="","",EDATE($C$33,C108))</f>
        <v/>
      </c>
      <c r="E108" s="117" t="str">
        <f>IF(B108="","",I107)</f>
        <v/>
      </c>
      <c r="F108" s="117" t="str">
        <f>IF(B108="","",IF(B108="Básico",$C$24,IF(B108="Sucesivo",$C$25,$C$26)))</f>
        <v/>
      </c>
      <c r="G108" s="117" t="str">
        <f>IF(B108="","",IF(B108="Opción de compra",0,(E108-$C$7*F108)*IF(B108="Sucesivo",$C$11,$C$9)))</f>
        <v/>
      </c>
      <c r="H108" s="117" t="str">
        <f>IF(B108="","",F108-G108)</f>
        <v/>
      </c>
      <c r="I108" s="117" t="str">
        <f>IF(B108="","",E108-H108)</f>
        <v/>
      </c>
      <c r="J108" s="117" t="str">
        <f>IF(B108="","",IF(OR(inp_Tipo="Arrendamiento Puro",par_BaseIVAFin="Sobre renta",B108="Opción de compra"),F108,G108)*$C$14)</f>
        <v/>
      </c>
      <c r="K108" s="117" t="str">
        <f>IF(B108="","",F108+J108)</f>
        <v/>
      </c>
      <c r="L108" s="117" t="str">
        <f>IF(B108="","",F108-IF(A108=$C$38,$C$30,0))</f>
        <v/>
      </c>
      <c r="M108" s="131" t="str">
        <f>IF(B108="","",$C$37*(1+$C$13)^(-C108))</f>
        <v/>
      </c>
      <c r="N108" s="117" t="str">
        <f>IF(B108="","",L108*M108)</f>
        <v/>
      </c>
      <c r="O108" s="117" t="str">
        <f>IF(B108="","",IF(B108="Básico",F108,0)-IF(A108=$C$38,$C$30,0))</f>
        <v/>
      </c>
      <c r="P108" s="130">
        <f>IF(B108="",$C$31,D108)</f>
        <v>46301.0</v>
      </c>
      <c r="Q108" s="117">
        <f>IF(B108="",0,L108)</f>
        <v>0</v>
      </c>
      <c r="R108" s="117">
        <f>IF(B108="",0,-F108)</f>
        <v>0</v>
      </c>
      <c r="S108" s="117" t="str">
        <f>IF(B108="","",O108*M108)</f>
        <v/>
      </c>
    </row>
    <row r="109">
      <c r="A109" s="53" t="n">
        <v>50</v>
      </c>
      <c r="B109" s="53" t="str">
        <f>IF(A109&gt;$C$38,"",IF(A109&lt;=$C$5,"Básico",IF($C$6&gt;0,"Sucesivo","Opción de compra")))</f>
        <v/>
      </c>
      <c r="C109" s="53" t="str">
        <f>IF(B109="","",IF(B109="Opción de compra",$C$5,A109-$C$7))</f>
        <v/>
      </c>
      <c r="D109" s="130" t="str">
        <f>IF(B109="","",EDATE($C$33,C109))</f>
        <v/>
      </c>
      <c r="E109" s="117" t="str">
        <f>IF(B109="","",I108)</f>
        <v/>
      </c>
      <c r="F109" s="117" t="str">
        <f>IF(B109="","",IF(B109="Básico",$C$24,IF(B109="Sucesivo",$C$25,$C$26)))</f>
        <v/>
      </c>
      <c r="G109" s="117" t="str">
        <f>IF(B109="","",IF(B109="Opción de compra",0,(E109-$C$7*F109)*IF(B109="Sucesivo",$C$11,$C$9)))</f>
        <v/>
      </c>
      <c r="H109" s="117" t="str">
        <f>IF(B109="","",F109-G109)</f>
        <v/>
      </c>
      <c r="I109" s="117" t="str">
        <f>IF(B109="","",E109-H109)</f>
        <v/>
      </c>
      <c r="J109" s="117" t="str">
        <f>IF(B109="","",IF(OR(inp_Tipo="Arrendamiento Puro",par_BaseIVAFin="Sobre renta",B109="Opción de compra"),F109,G109)*$C$14)</f>
        <v/>
      </c>
      <c r="K109" s="117" t="str">
        <f>IF(B109="","",F109+J109)</f>
        <v/>
      </c>
      <c r="L109" s="117" t="str">
        <f>IF(B109="","",F109-IF(A109=$C$38,$C$30,0))</f>
        <v/>
      </c>
      <c r="M109" s="131" t="str">
        <f>IF(B109="","",$C$37*(1+$C$13)^(-C109))</f>
        <v/>
      </c>
      <c r="N109" s="117" t="str">
        <f>IF(B109="","",L109*M109)</f>
        <v/>
      </c>
      <c r="O109" s="117" t="str">
        <f>IF(B109="","",IF(B109="Básico",F109,0)-IF(A109=$C$38,$C$30,0))</f>
        <v/>
      </c>
      <c r="P109" s="130">
        <f>IF(B109="",$C$31,D109)</f>
        <v>46301.0</v>
      </c>
      <c r="Q109" s="117">
        <f>IF(B109="",0,L109)</f>
        <v>0</v>
      </c>
      <c r="R109" s="117">
        <f>IF(B109="",0,-F109)</f>
        <v>0</v>
      </c>
      <c r="S109" s="117" t="str">
        <f>IF(B109="","",O109*M109)</f>
        <v/>
      </c>
    </row>
    <row r="110">
      <c r="A110" s="53" t="n">
        <v>51</v>
      </c>
      <c r="B110" s="53" t="str">
        <f>IF(A110&gt;$C$38,"",IF(A110&lt;=$C$5,"Básico",IF($C$6&gt;0,"Sucesivo","Opción de compra")))</f>
        <v/>
      </c>
      <c r="C110" s="53" t="str">
        <f>IF(B110="","",IF(B110="Opción de compra",$C$5,A110-$C$7))</f>
        <v/>
      </c>
      <c r="D110" s="130" t="str">
        <f>IF(B110="","",EDATE($C$33,C110))</f>
        <v/>
      </c>
      <c r="E110" s="117" t="str">
        <f>IF(B110="","",I109)</f>
        <v/>
      </c>
      <c r="F110" s="117" t="str">
        <f>IF(B110="","",IF(B110="Básico",$C$24,IF(B110="Sucesivo",$C$25,$C$26)))</f>
        <v/>
      </c>
      <c r="G110" s="117" t="str">
        <f>IF(B110="","",IF(B110="Opción de compra",0,(E110-$C$7*F110)*IF(B110="Sucesivo",$C$11,$C$9)))</f>
        <v/>
      </c>
      <c r="H110" s="117" t="str">
        <f>IF(B110="","",F110-G110)</f>
        <v/>
      </c>
      <c r="I110" s="117" t="str">
        <f>IF(B110="","",E110-H110)</f>
        <v/>
      </c>
      <c r="J110" s="117" t="str">
        <f>IF(B110="","",IF(OR(inp_Tipo="Arrendamiento Puro",par_BaseIVAFin="Sobre renta",B110="Opción de compra"),F110,G110)*$C$14)</f>
        <v/>
      </c>
      <c r="K110" s="117" t="str">
        <f>IF(B110="","",F110+J110)</f>
        <v/>
      </c>
      <c r="L110" s="117" t="str">
        <f>IF(B110="","",F110-IF(A110=$C$38,$C$30,0))</f>
        <v/>
      </c>
      <c r="M110" s="131" t="str">
        <f>IF(B110="","",$C$37*(1+$C$13)^(-C110))</f>
        <v/>
      </c>
      <c r="N110" s="117" t="str">
        <f>IF(B110="","",L110*M110)</f>
        <v/>
      </c>
      <c r="O110" s="117" t="str">
        <f>IF(B110="","",IF(B110="Básico",F110,0)-IF(A110=$C$38,$C$30,0))</f>
        <v/>
      </c>
      <c r="P110" s="130">
        <f>IF(B110="",$C$31,D110)</f>
        <v>46301.0</v>
      </c>
      <c r="Q110" s="117">
        <f>IF(B110="",0,L110)</f>
        <v>0</v>
      </c>
      <c r="R110" s="117">
        <f>IF(B110="",0,-F110)</f>
        <v>0</v>
      </c>
      <c r="S110" s="117" t="str">
        <f>IF(B110="","",O110*M110)</f>
        <v/>
      </c>
    </row>
    <row r="111">
      <c r="A111" s="53" t="n">
        <v>52</v>
      </c>
      <c r="B111" s="53" t="str">
        <f>IF(A111&gt;$C$38,"",IF(A111&lt;=$C$5,"Básico",IF($C$6&gt;0,"Sucesivo","Opción de compra")))</f>
        <v/>
      </c>
      <c r="C111" s="53" t="str">
        <f>IF(B111="","",IF(B111="Opción de compra",$C$5,A111-$C$7))</f>
        <v/>
      </c>
      <c r="D111" s="130" t="str">
        <f>IF(B111="","",EDATE($C$33,C111))</f>
        <v/>
      </c>
      <c r="E111" s="117" t="str">
        <f>IF(B111="","",I110)</f>
        <v/>
      </c>
      <c r="F111" s="117" t="str">
        <f>IF(B111="","",IF(B111="Básico",$C$24,IF(B111="Sucesivo",$C$25,$C$26)))</f>
        <v/>
      </c>
      <c r="G111" s="117" t="str">
        <f>IF(B111="","",IF(B111="Opción de compra",0,(E111-$C$7*F111)*IF(B111="Sucesivo",$C$11,$C$9)))</f>
        <v/>
      </c>
      <c r="H111" s="117" t="str">
        <f>IF(B111="","",F111-G111)</f>
        <v/>
      </c>
      <c r="I111" s="117" t="str">
        <f>IF(B111="","",E111-H111)</f>
        <v/>
      </c>
      <c r="J111" s="117" t="str">
        <f>IF(B111="","",IF(OR(inp_Tipo="Arrendamiento Puro",par_BaseIVAFin="Sobre renta",B111="Opción de compra"),F111,G111)*$C$14)</f>
        <v/>
      </c>
      <c r="K111" s="117" t="str">
        <f>IF(B111="","",F111+J111)</f>
        <v/>
      </c>
      <c r="L111" s="117" t="str">
        <f>IF(B111="","",F111-IF(A111=$C$38,$C$30,0))</f>
        <v/>
      </c>
      <c r="M111" s="131" t="str">
        <f>IF(B111="","",$C$37*(1+$C$13)^(-C111))</f>
        <v/>
      </c>
      <c r="N111" s="117" t="str">
        <f>IF(B111="","",L111*M111)</f>
        <v/>
      </c>
      <c r="O111" s="117" t="str">
        <f>IF(B111="","",IF(B111="Básico",F111,0)-IF(A111=$C$38,$C$30,0))</f>
        <v/>
      </c>
      <c r="P111" s="130">
        <f>IF(B111="",$C$31,D111)</f>
        <v>46301.0</v>
      </c>
      <c r="Q111" s="117">
        <f>IF(B111="",0,L111)</f>
        <v>0</v>
      </c>
      <c r="R111" s="117">
        <f>IF(B111="",0,-F111)</f>
        <v>0</v>
      </c>
      <c r="S111" s="117" t="str">
        <f>IF(B111="","",O111*M111)</f>
        <v/>
      </c>
    </row>
    <row r="112">
      <c r="A112" s="53" t="n">
        <v>53</v>
      </c>
      <c r="B112" s="53" t="str">
        <f>IF(A112&gt;$C$38,"",IF(A112&lt;=$C$5,"Básico",IF($C$6&gt;0,"Sucesivo","Opción de compra")))</f>
        <v/>
      </c>
      <c r="C112" s="53" t="str">
        <f>IF(B112="","",IF(B112="Opción de compra",$C$5,A112-$C$7))</f>
        <v/>
      </c>
      <c r="D112" s="130" t="str">
        <f>IF(B112="","",EDATE($C$33,C112))</f>
        <v/>
      </c>
      <c r="E112" s="117" t="str">
        <f>IF(B112="","",I111)</f>
        <v/>
      </c>
      <c r="F112" s="117" t="str">
        <f>IF(B112="","",IF(B112="Básico",$C$24,IF(B112="Sucesivo",$C$25,$C$26)))</f>
        <v/>
      </c>
      <c r="G112" s="117" t="str">
        <f>IF(B112="","",IF(B112="Opción de compra",0,(E112-$C$7*F112)*IF(B112="Sucesivo",$C$11,$C$9)))</f>
        <v/>
      </c>
      <c r="H112" s="117" t="str">
        <f>IF(B112="","",F112-G112)</f>
        <v/>
      </c>
      <c r="I112" s="117" t="str">
        <f>IF(B112="","",E112-H112)</f>
        <v/>
      </c>
      <c r="J112" s="117" t="str">
        <f>IF(B112="","",IF(OR(inp_Tipo="Arrendamiento Puro",par_BaseIVAFin="Sobre renta",B112="Opción de compra"),F112,G112)*$C$14)</f>
        <v/>
      </c>
      <c r="K112" s="117" t="str">
        <f>IF(B112="","",F112+J112)</f>
        <v/>
      </c>
      <c r="L112" s="117" t="str">
        <f>IF(B112="","",F112-IF(A112=$C$38,$C$30,0))</f>
        <v/>
      </c>
      <c r="M112" s="131" t="str">
        <f>IF(B112="","",$C$37*(1+$C$13)^(-C112))</f>
        <v/>
      </c>
      <c r="N112" s="117" t="str">
        <f>IF(B112="","",L112*M112)</f>
        <v/>
      </c>
      <c r="O112" s="117" t="str">
        <f>IF(B112="","",IF(B112="Básico",F112,0)-IF(A112=$C$38,$C$30,0))</f>
        <v/>
      </c>
      <c r="P112" s="130">
        <f>IF(B112="",$C$31,D112)</f>
        <v>46301.0</v>
      </c>
      <c r="Q112" s="117">
        <f>IF(B112="",0,L112)</f>
        <v>0</v>
      </c>
      <c r="R112" s="117">
        <f>IF(B112="",0,-F112)</f>
        <v>0</v>
      </c>
      <c r="S112" s="117" t="str">
        <f>IF(B112="","",O112*M112)</f>
        <v/>
      </c>
    </row>
    <row r="113">
      <c r="A113" s="53" t="n">
        <v>54</v>
      </c>
      <c r="B113" s="53" t="str">
        <f>IF(A113&gt;$C$38,"",IF(A113&lt;=$C$5,"Básico",IF($C$6&gt;0,"Sucesivo","Opción de compra")))</f>
        <v/>
      </c>
      <c r="C113" s="53" t="str">
        <f>IF(B113="","",IF(B113="Opción de compra",$C$5,A113-$C$7))</f>
        <v/>
      </c>
      <c r="D113" s="130" t="str">
        <f>IF(B113="","",EDATE($C$33,C113))</f>
        <v/>
      </c>
      <c r="E113" s="117" t="str">
        <f>IF(B113="","",I112)</f>
        <v/>
      </c>
      <c r="F113" s="117" t="str">
        <f>IF(B113="","",IF(B113="Básico",$C$24,IF(B113="Sucesivo",$C$25,$C$26)))</f>
        <v/>
      </c>
      <c r="G113" s="117" t="str">
        <f>IF(B113="","",IF(B113="Opción de compra",0,(E113-$C$7*F113)*IF(B113="Sucesivo",$C$11,$C$9)))</f>
        <v/>
      </c>
      <c r="H113" s="117" t="str">
        <f>IF(B113="","",F113-G113)</f>
        <v/>
      </c>
      <c r="I113" s="117" t="str">
        <f>IF(B113="","",E113-H113)</f>
        <v/>
      </c>
      <c r="J113" s="117" t="str">
        <f>IF(B113="","",IF(OR(inp_Tipo="Arrendamiento Puro",par_BaseIVAFin="Sobre renta",B113="Opción de compra"),F113,G113)*$C$14)</f>
        <v/>
      </c>
      <c r="K113" s="117" t="str">
        <f>IF(B113="","",F113+J113)</f>
        <v/>
      </c>
      <c r="L113" s="117" t="str">
        <f>IF(B113="","",F113-IF(A113=$C$38,$C$30,0))</f>
        <v/>
      </c>
      <c r="M113" s="131" t="str">
        <f>IF(B113="","",$C$37*(1+$C$13)^(-C113))</f>
        <v/>
      </c>
      <c r="N113" s="117" t="str">
        <f>IF(B113="","",L113*M113)</f>
        <v/>
      </c>
      <c r="O113" s="117" t="str">
        <f>IF(B113="","",IF(B113="Básico",F113,0)-IF(A113=$C$38,$C$30,0))</f>
        <v/>
      </c>
      <c r="P113" s="130">
        <f>IF(B113="",$C$31,D113)</f>
        <v>46301.0</v>
      </c>
      <c r="Q113" s="117">
        <f>IF(B113="",0,L113)</f>
        <v>0</v>
      </c>
      <c r="R113" s="117">
        <f>IF(B113="",0,-F113)</f>
        <v>0</v>
      </c>
      <c r="S113" s="117" t="str">
        <f>IF(B113="","",O113*M113)</f>
        <v/>
      </c>
    </row>
    <row r="114">
      <c r="A114" s="53" t="n">
        <v>55</v>
      </c>
      <c r="B114" s="53" t="str">
        <f>IF(A114&gt;$C$38,"",IF(A114&lt;=$C$5,"Básico",IF($C$6&gt;0,"Sucesivo","Opción de compra")))</f>
        <v/>
      </c>
      <c r="C114" s="53" t="str">
        <f>IF(B114="","",IF(B114="Opción de compra",$C$5,A114-$C$7))</f>
        <v/>
      </c>
      <c r="D114" s="130" t="str">
        <f>IF(B114="","",EDATE($C$33,C114))</f>
        <v/>
      </c>
      <c r="E114" s="117" t="str">
        <f>IF(B114="","",I113)</f>
        <v/>
      </c>
      <c r="F114" s="117" t="str">
        <f>IF(B114="","",IF(B114="Básico",$C$24,IF(B114="Sucesivo",$C$25,$C$26)))</f>
        <v/>
      </c>
      <c r="G114" s="117" t="str">
        <f>IF(B114="","",IF(B114="Opción de compra",0,(E114-$C$7*F114)*IF(B114="Sucesivo",$C$11,$C$9)))</f>
        <v/>
      </c>
      <c r="H114" s="117" t="str">
        <f>IF(B114="","",F114-G114)</f>
        <v/>
      </c>
      <c r="I114" s="117" t="str">
        <f>IF(B114="","",E114-H114)</f>
        <v/>
      </c>
      <c r="J114" s="117" t="str">
        <f>IF(B114="","",IF(OR(inp_Tipo="Arrendamiento Puro",par_BaseIVAFin="Sobre renta",B114="Opción de compra"),F114,G114)*$C$14)</f>
        <v/>
      </c>
      <c r="K114" s="117" t="str">
        <f>IF(B114="","",F114+J114)</f>
        <v/>
      </c>
      <c r="L114" s="117" t="str">
        <f>IF(B114="","",F114-IF(A114=$C$38,$C$30,0))</f>
        <v/>
      </c>
      <c r="M114" s="131" t="str">
        <f>IF(B114="","",$C$37*(1+$C$13)^(-C114))</f>
        <v/>
      </c>
      <c r="N114" s="117" t="str">
        <f>IF(B114="","",L114*M114)</f>
        <v/>
      </c>
      <c r="O114" s="117" t="str">
        <f>IF(B114="","",IF(B114="Básico",F114,0)-IF(A114=$C$38,$C$30,0))</f>
        <v/>
      </c>
      <c r="P114" s="130">
        <f>IF(B114="",$C$31,D114)</f>
        <v>46301.0</v>
      </c>
      <c r="Q114" s="117">
        <f>IF(B114="",0,L114)</f>
        <v>0</v>
      </c>
      <c r="R114" s="117">
        <f>IF(B114="",0,-F114)</f>
        <v>0</v>
      </c>
      <c r="S114" s="117" t="str">
        <f>IF(B114="","",O114*M114)</f>
        <v/>
      </c>
    </row>
    <row r="115">
      <c r="A115" s="53" t="n">
        <v>56</v>
      </c>
      <c r="B115" s="53" t="str">
        <f>IF(A115&gt;$C$38,"",IF(A115&lt;=$C$5,"Básico",IF($C$6&gt;0,"Sucesivo","Opción de compra")))</f>
        <v/>
      </c>
      <c r="C115" s="53" t="str">
        <f>IF(B115="","",IF(B115="Opción de compra",$C$5,A115-$C$7))</f>
        <v/>
      </c>
      <c r="D115" s="130" t="str">
        <f>IF(B115="","",EDATE($C$33,C115))</f>
        <v/>
      </c>
      <c r="E115" s="117" t="str">
        <f>IF(B115="","",I114)</f>
        <v/>
      </c>
      <c r="F115" s="117" t="str">
        <f>IF(B115="","",IF(B115="Básico",$C$24,IF(B115="Sucesivo",$C$25,$C$26)))</f>
        <v/>
      </c>
      <c r="G115" s="117" t="str">
        <f>IF(B115="","",IF(B115="Opción de compra",0,(E115-$C$7*F115)*IF(B115="Sucesivo",$C$11,$C$9)))</f>
        <v/>
      </c>
      <c r="H115" s="117" t="str">
        <f>IF(B115="","",F115-G115)</f>
        <v/>
      </c>
      <c r="I115" s="117" t="str">
        <f>IF(B115="","",E115-H115)</f>
        <v/>
      </c>
      <c r="J115" s="117" t="str">
        <f>IF(B115="","",IF(OR(inp_Tipo="Arrendamiento Puro",par_BaseIVAFin="Sobre renta",B115="Opción de compra"),F115,G115)*$C$14)</f>
        <v/>
      </c>
      <c r="K115" s="117" t="str">
        <f>IF(B115="","",F115+J115)</f>
        <v/>
      </c>
      <c r="L115" s="117" t="str">
        <f>IF(B115="","",F115-IF(A115=$C$38,$C$30,0))</f>
        <v/>
      </c>
      <c r="M115" s="131" t="str">
        <f>IF(B115="","",$C$37*(1+$C$13)^(-C115))</f>
        <v/>
      </c>
      <c r="N115" s="117" t="str">
        <f>IF(B115="","",L115*M115)</f>
        <v/>
      </c>
      <c r="O115" s="117" t="str">
        <f>IF(B115="","",IF(B115="Básico",F115,0)-IF(A115=$C$38,$C$30,0))</f>
        <v/>
      </c>
      <c r="P115" s="130">
        <f>IF(B115="",$C$31,D115)</f>
        <v>46301.0</v>
      </c>
      <c r="Q115" s="117">
        <f>IF(B115="",0,L115)</f>
        <v>0</v>
      </c>
      <c r="R115" s="117">
        <f>IF(B115="",0,-F115)</f>
        <v>0</v>
      </c>
      <c r="S115" s="117" t="str">
        <f>IF(B115="","",O115*M115)</f>
        <v/>
      </c>
    </row>
    <row r="116">
      <c r="A116" s="53" t="n">
        <v>57</v>
      </c>
      <c r="B116" s="53" t="str">
        <f>IF(A116&gt;$C$38,"",IF(A116&lt;=$C$5,"Básico",IF($C$6&gt;0,"Sucesivo","Opción de compra")))</f>
        <v/>
      </c>
      <c r="C116" s="53" t="str">
        <f>IF(B116="","",IF(B116="Opción de compra",$C$5,A116-$C$7))</f>
        <v/>
      </c>
      <c r="D116" s="130" t="str">
        <f>IF(B116="","",EDATE($C$33,C116))</f>
        <v/>
      </c>
      <c r="E116" s="117" t="str">
        <f>IF(B116="","",I115)</f>
        <v/>
      </c>
      <c r="F116" s="117" t="str">
        <f>IF(B116="","",IF(B116="Básico",$C$24,IF(B116="Sucesivo",$C$25,$C$26)))</f>
        <v/>
      </c>
      <c r="G116" s="117" t="str">
        <f>IF(B116="","",IF(B116="Opción de compra",0,(E116-$C$7*F116)*IF(B116="Sucesivo",$C$11,$C$9)))</f>
        <v/>
      </c>
      <c r="H116" s="117" t="str">
        <f>IF(B116="","",F116-G116)</f>
        <v/>
      </c>
      <c r="I116" s="117" t="str">
        <f>IF(B116="","",E116-H116)</f>
        <v/>
      </c>
      <c r="J116" s="117" t="str">
        <f>IF(B116="","",IF(OR(inp_Tipo="Arrendamiento Puro",par_BaseIVAFin="Sobre renta",B116="Opción de compra"),F116,G116)*$C$14)</f>
        <v/>
      </c>
      <c r="K116" s="117" t="str">
        <f>IF(B116="","",F116+J116)</f>
        <v/>
      </c>
      <c r="L116" s="117" t="str">
        <f>IF(B116="","",F116-IF(A116=$C$38,$C$30,0))</f>
        <v/>
      </c>
      <c r="M116" s="131" t="str">
        <f>IF(B116="","",$C$37*(1+$C$13)^(-C116))</f>
        <v/>
      </c>
      <c r="N116" s="117" t="str">
        <f>IF(B116="","",L116*M116)</f>
        <v/>
      </c>
      <c r="O116" s="117" t="str">
        <f>IF(B116="","",IF(B116="Básico",F116,0)-IF(A116=$C$38,$C$30,0))</f>
        <v/>
      </c>
      <c r="P116" s="130">
        <f>IF(B116="",$C$31,D116)</f>
        <v>46301.0</v>
      </c>
      <c r="Q116" s="117">
        <f>IF(B116="",0,L116)</f>
        <v>0</v>
      </c>
      <c r="R116" s="117">
        <f>IF(B116="",0,-F116)</f>
        <v>0</v>
      </c>
      <c r="S116" s="117" t="str">
        <f>IF(B116="","",O116*M116)</f>
        <v/>
      </c>
    </row>
    <row r="117">
      <c r="A117" s="53" t="n">
        <v>58</v>
      </c>
      <c r="B117" s="53" t="str">
        <f>IF(A117&gt;$C$38,"",IF(A117&lt;=$C$5,"Básico",IF($C$6&gt;0,"Sucesivo","Opción de compra")))</f>
        <v/>
      </c>
      <c r="C117" s="53" t="str">
        <f>IF(B117="","",IF(B117="Opción de compra",$C$5,A117-$C$7))</f>
        <v/>
      </c>
      <c r="D117" s="130" t="str">
        <f>IF(B117="","",EDATE($C$33,C117))</f>
        <v/>
      </c>
      <c r="E117" s="117" t="str">
        <f>IF(B117="","",I116)</f>
        <v/>
      </c>
      <c r="F117" s="117" t="str">
        <f>IF(B117="","",IF(B117="Básico",$C$24,IF(B117="Sucesivo",$C$25,$C$26)))</f>
        <v/>
      </c>
      <c r="G117" s="117" t="str">
        <f>IF(B117="","",IF(B117="Opción de compra",0,(E117-$C$7*F117)*IF(B117="Sucesivo",$C$11,$C$9)))</f>
        <v/>
      </c>
      <c r="H117" s="117" t="str">
        <f>IF(B117="","",F117-G117)</f>
        <v/>
      </c>
      <c r="I117" s="117" t="str">
        <f>IF(B117="","",E117-H117)</f>
        <v/>
      </c>
      <c r="J117" s="117" t="str">
        <f>IF(B117="","",IF(OR(inp_Tipo="Arrendamiento Puro",par_BaseIVAFin="Sobre renta",B117="Opción de compra"),F117,G117)*$C$14)</f>
        <v/>
      </c>
      <c r="K117" s="117" t="str">
        <f>IF(B117="","",F117+J117)</f>
        <v/>
      </c>
      <c r="L117" s="117" t="str">
        <f>IF(B117="","",F117-IF(A117=$C$38,$C$30,0))</f>
        <v/>
      </c>
      <c r="M117" s="131" t="str">
        <f>IF(B117="","",$C$37*(1+$C$13)^(-C117))</f>
        <v/>
      </c>
      <c r="N117" s="117" t="str">
        <f>IF(B117="","",L117*M117)</f>
        <v/>
      </c>
      <c r="O117" s="117" t="str">
        <f>IF(B117="","",IF(B117="Básico",F117,0)-IF(A117=$C$38,$C$30,0))</f>
        <v/>
      </c>
      <c r="P117" s="130">
        <f>IF(B117="",$C$31,D117)</f>
        <v>46301.0</v>
      </c>
      <c r="Q117" s="117">
        <f>IF(B117="",0,L117)</f>
        <v>0</v>
      </c>
      <c r="R117" s="117">
        <f>IF(B117="",0,-F117)</f>
        <v>0</v>
      </c>
      <c r="S117" s="117" t="str">
        <f>IF(B117="","",O117*M117)</f>
        <v/>
      </c>
    </row>
    <row r="118">
      <c r="A118" s="53" t="n">
        <v>59</v>
      </c>
      <c r="B118" s="53" t="str">
        <f>IF(A118&gt;$C$38,"",IF(A118&lt;=$C$5,"Básico",IF($C$6&gt;0,"Sucesivo","Opción de compra")))</f>
        <v/>
      </c>
      <c r="C118" s="53" t="str">
        <f>IF(B118="","",IF(B118="Opción de compra",$C$5,A118-$C$7))</f>
        <v/>
      </c>
      <c r="D118" s="130" t="str">
        <f>IF(B118="","",EDATE($C$33,C118))</f>
        <v/>
      </c>
      <c r="E118" s="117" t="str">
        <f>IF(B118="","",I117)</f>
        <v/>
      </c>
      <c r="F118" s="117" t="str">
        <f>IF(B118="","",IF(B118="Básico",$C$24,IF(B118="Sucesivo",$C$25,$C$26)))</f>
        <v/>
      </c>
      <c r="G118" s="117" t="str">
        <f>IF(B118="","",IF(B118="Opción de compra",0,(E118-$C$7*F118)*IF(B118="Sucesivo",$C$11,$C$9)))</f>
        <v/>
      </c>
      <c r="H118" s="117" t="str">
        <f>IF(B118="","",F118-G118)</f>
        <v/>
      </c>
      <c r="I118" s="117" t="str">
        <f>IF(B118="","",E118-H118)</f>
        <v/>
      </c>
      <c r="J118" s="117" t="str">
        <f>IF(B118="","",IF(OR(inp_Tipo="Arrendamiento Puro",par_BaseIVAFin="Sobre renta",B118="Opción de compra"),F118,G118)*$C$14)</f>
        <v/>
      </c>
      <c r="K118" s="117" t="str">
        <f>IF(B118="","",F118+J118)</f>
        <v/>
      </c>
      <c r="L118" s="117" t="str">
        <f>IF(B118="","",F118-IF(A118=$C$38,$C$30,0))</f>
        <v/>
      </c>
      <c r="M118" s="131" t="str">
        <f>IF(B118="","",$C$37*(1+$C$13)^(-C118))</f>
        <v/>
      </c>
      <c r="N118" s="117" t="str">
        <f>IF(B118="","",L118*M118)</f>
        <v/>
      </c>
      <c r="O118" s="117" t="str">
        <f>IF(B118="","",IF(B118="Básico",F118,0)-IF(A118=$C$38,$C$30,0))</f>
        <v/>
      </c>
      <c r="P118" s="130">
        <f>IF(B118="",$C$31,D118)</f>
        <v>46301.0</v>
      </c>
      <c r="Q118" s="117">
        <f>IF(B118="",0,L118)</f>
        <v>0</v>
      </c>
      <c r="R118" s="117">
        <f>IF(B118="",0,-F118)</f>
        <v>0</v>
      </c>
      <c r="S118" s="117" t="str">
        <f>IF(B118="","",O118*M118)</f>
        <v/>
      </c>
    </row>
    <row r="119">
      <c r="A119" s="53" t="n">
        <v>60</v>
      </c>
      <c r="B119" s="53" t="str">
        <f>IF(A119&gt;$C$38,"",IF(A119&lt;=$C$5,"Básico",IF($C$6&gt;0,"Sucesivo","Opción de compra")))</f>
        <v/>
      </c>
      <c r="C119" s="53" t="str">
        <f>IF(B119="","",IF(B119="Opción de compra",$C$5,A119-$C$7))</f>
        <v/>
      </c>
      <c r="D119" s="130" t="str">
        <f>IF(B119="","",EDATE($C$33,C119))</f>
        <v/>
      </c>
      <c r="E119" s="117" t="str">
        <f>IF(B119="","",I118)</f>
        <v/>
      </c>
      <c r="F119" s="117" t="str">
        <f>IF(B119="","",IF(B119="Básico",$C$24,IF(B119="Sucesivo",$C$25,$C$26)))</f>
        <v/>
      </c>
      <c r="G119" s="117" t="str">
        <f>IF(B119="","",IF(B119="Opción de compra",0,(E119-$C$7*F119)*IF(B119="Sucesivo",$C$11,$C$9)))</f>
        <v/>
      </c>
      <c r="H119" s="117" t="str">
        <f>IF(B119="","",F119-G119)</f>
        <v/>
      </c>
      <c r="I119" s="117" t="str">
        <f>IF(B119="","",E119-H119)</f>
        <v/>
      </c>
      <c r="J119" s="117" t="str">
        <f>IF(B119="","",IF(OR(inp_Tipo="Arrendamiento Puro",par_BaseIVAFin="Sobre renta",B119="Opción de compra"),F119,G119)*$C$14)</f>
        <v/>
      </c>
      <c r="K119" s="117" t="str">
        <f>IF(B119="","",F119+J119)</f>
        <v/>
      </c>
      <c r="L119" s="117" t="str">
        <f>IF(B119="","",F119-IF(A119=$C$38,$C$30,0))</f>
        <v/>
      </c>
      <c r="M119" s="131" t="str">
        <f>IF(B119="","",$C$37*(1+$C$13)^(-C119))</f>
        <v/>
      </c>
      <c r="N119" s="117" t="str">
        <f>IF(B119="","",L119*M119)</f>
        <v/>
      </c>
      <c r="O119" s="117" t="str">
        <f>IF(B119="","",IF(B119="Básico",F119,0)-IF(A119=$C$38,$C$30,0))</f>
        <v/>
      </c>
      <c r="P119" s="130">
        <f>IF(B119="",$C$31,D119)</f>
        <v>46301.0</v>
      </c>
      <c r="Q119" s="117">
        <f>IF(B119="",0,L119)</f>
        <v>0</v>
      </c>
      <c r="R119" s="117">
        <f>IF(B119="",0,-F119)</f>
        <v>0</v>
      </c>
      <c r="S119" s="117" t="str">
        <f>IF(B119="","",O119*M119)</f>
        <v/>
      </c>
    </row>
    <row r="120">
      <c r="A120" s="53" t="n">
        <v>61</v>
      </c>
      <c r="B120" s="53" t="str">
        <f>IF(A120&gt;$C$38,"",IF(A120&lt;=$C$5,"Básico",IF($C$6&gt;0,"Sucesivo","Opción de compra")))</f>
        <v/>
      </c>
      <c r="C120" s="53" t="str">
        <f>IF(B120="","",IF(B120="Opción de compra",$C$5,A120-$C$7))</f>
        <v/>
      </c>
      <c r="D120" s="130" t="str">
        <f>IF(B120="","",EDATE($C$33,C120))</f>
        <v/>
      </c>
      <c r="E120" s="117" t="str">
        <f>IF(B120="","",I119)</f>
        <v/>
      </c>
      <c r="F120" s="117" t="str">
        <f>IF(B120="","",IF(B120="Básico",$C$24,IF(B120="Sucesivo",$C$25,$C$26)))</f>
        <v/>
      </c>
      <c r="G120" s="117" t="str">
        <f>IF(B120="","",IF(B120="Opción de compra",0,(E120-$C$7*F120)*IF(B120="Sucesivo",$C$11,$C$9)))</f>
        <v/>
      </c>
      <c r="H120" s="117" t="str">
        <f>IF(B120="","",F120-G120)</f>
        <v/>
      </c>
      <c r="I120" s="117" t="str">
        <f>IF(B120="","",E120-H120)</f>
        <v/>
      </c>
      <c r="J120" s="117" t="str">
        <f>IF(B120="","",IF(OR(inp_Tipo="Arrendamiento Puro",par_BaseIVAFin="Sobre renta",B120="Opción de compra"),F120,G120)*$C$14)</f>
        <v/>
      </c>
      <c r="K120" s="117" t="str">
        <f>IF(B120="","",F120+J120)</f>
        <v/>
      </c>
      <c r="L120" s="117" t="str">
        <f>IF(B120="","",F120-IF(A120=$C$38,$C$30,0))</f>
        <v/>
      </c>
      <c r="M120" s="131" t="str">
        <f>IF(B120="","",$C$37*(1+$C$13)^(-C120))</f>
        <v/>
      </c>
      <c r="N120" s="117" t="str">
        <f>IF(B120="","",L120*M120)</f>
        <v/>
      </c>
      <c r="O120" s="117" t="str">
        <f>IF(B120="","",IF(B120="Básico",F120,0)-IF(A120=$C$38,$C$30,0))</f>
        <v/>
      </c>
      <c r="P120" s="130">
        <f>IF(B120="",$C$31,D120)</f>
        <v>46301.0</v>
      </c>
      <c r="Q120" s="117">
        <f>IF(B120="",0,L120)</f>
        <v>0</v>
      </c>
      <c r="R120" s="117">
        <f>IF(B120="",0,-F120)</f>
        <v>0</v>
      </c>
      <c r="S120" s="117" t="str">
        <f>IF(B120="","",O120*M120)</f>
        <v/>
      </c>
    </row>
    <row r="121">
      <c r="A121" s="53" t="n">
        <v>62</v>
      </c>
      <c r="B121" s="53" t="str">
        <f>IF(A121&gt;$C$38,"",IF(A121&lt;=$C$5,"Básico",IF($C$6&gt;0,"Sucesivo","Opción de compra")))</f>
        <v/>
      </c>
      <c r="C121" s="53" t="str">
        <f>IF(B121="","",IF(B121="Opción de compra",$C$5,A121-$C$7))</f>
        <v/>
      </c>
      <c r="D121" s="130" t="str">
        <f>IF(B121="","",EDATE($C$33,C121))</f>
        <v/>
      </c>
      <c r="E121" s="117" t="str">
        <f>IF(B121="","",I120)</f>
        <v/>
      </c>
      <c r="F121" s="117" t="str">
        <f>IF(B121="","",IF(B121="Básico",$C$24,IF(B121="Sucesivo",$C$25,$C$26)))</f>
        <v/>
      </c>
      <c r="G121" s="117" t="str">
        <f>IF(B121="","",IF(B121="Opción de compra",0,(E121-$C$7*F121)*IF(B121="Sucesivo",$C$11,$C$9)))</f>
        <v/>
      </c>
      <c r="H121" s="117" t="str">
        <f>IF(B121="","",F121-G121)</f>
        <v/>
      </c>
      <c r="I121" s="117" t="str">
        <f>IF(B121="","",E121-H121)</f>
        <v/>
      </c>
      <c r="J121" s="117" t="str">
        <f>IF(B121="","",IF(OR(inp_Tipo="Arrendamiento Puro",par_BaseIVAFin="Sobre renta",B121="Opción de compra"),F121,G121)*$C$14)</f>
        <v/>
      </c>
      <c r="K121" s="117" t="str">
        <f>IF(B121="","",F121+J121)</f>
        <v/>
      </c>
      <c r="L121" s="117" t="str">
        <f>IF(B121="","",F121-IF(A121=$C$38,$C$30,0))</f>
        <v/>
      </c>
      <c r="M121" s="131" t="str">
        <f>IF(B121="","",$C$37*(1+$C$13)^(-C121))</f>
        <v/>
      </c>
      <c r="N121" s="117" t="str">
        <f>IF(B121="","",L121*M121)</f>
        <v/>
      </c>
      <c r="O121" s="117" t="str">
        <f>IF(B121="","",IF(B121="Básico",F121,0)-IF(A121=$C$38,$C$30,0))</f>
        <v/>
      </c>
      <c r="P121" s="130">
        <f>IF(B121="",$C$31,D121)</f>
        <v>46301.0</v>
      </c>
      <c r="Q121" s="117">
        <f>IF(B121="",0,L121)</f>
        <v>0</v>
      </c>
      <c r="R121" s="117">
        <f>IF(B121="",0,-F121)</f>
        <v>0</v>
      </c>
      <c r="S121" s="117" t="str">
        <f>IF(B121="","",O121*M121)</f>
        <v/>
      </c>
    </row>
    <row r="122">
      <c r="A122" s="53" t="n">
        <v>63</v>
      </c>
      <c r="B122" s="53" t="str">
        <f>IF(A122&gt;$C$38,"",IF(A122&lt;=$C$5,"Básico",IF($C$6&gt;0,"Sucesivo","Opción de compra")))</f>
        <v/>
      </c>
      <c r="C122" s="53" t="str">
        <f>IF(B122="","",IF(B122="Opción de compra",$C$5,A122-$C$7))</f>
        <v/>
      </c>
      <c r="D122" s="130" t="str">
        <f>IF(B122="","",EDATE($C$33,C122))</f>
        <v/>
      </c>
      <c r="E122" s="117" t="str">
        <f>IF(B122="","",I121)</f>
        <v/>
      </c>
      <c r="F122" s="117" t="str">
        <f>IF(B122="","",IF(B122="Básico",$C$24,IF(B122="Sucesivo",$C$25,$C$26)))</f>
        <v/>
      </c>
      <c r="G122" s="117" t="str">
        <f>IF(B122="","",IF(B122="Opción de compra",0,(E122-$C$7*F122)*IF(B122="Sucesivo",$C$11,$C$9)))</f>
        <v/>
      </c>
      <c r="H122" s="117" t="str">
        <f>IF(B122="","",F122-G122)</f>
        <v/>
      </c>
      <c r="I122" s="117" t="str">
        <f>IF(B122="","",E122-H122)</f>
        <v/>
      </c>
      <c r="J122" s="117" t="str">
        <f>IF(B122="","",IF(OR(inp_Tipo="Arrendamiento Puro",par_BaseIVAFin="Sobre renta",B122="Opción de compra"),F122,G122)*$C$14)</f>
        <v/>
      </c>
      <c r="K122" s="117" t="str">
        <f>IF(B122="","",F122+J122)</f>
        <v/>
      </c>
      <c r="L122" s="117" t="str">
        <f>IF(B122="","",F122-IF(A122=$C$38,$C$30,0))</f>
        <v/>
      </c>
      <c r="M122" s="131" t="str">
        <f>IF(B122="","",$C$37*(1+$C$13)^(-C122))</f>
        <v/>
      </c>
      <c r="N122" s="117" t="str">
        <f>IF(B122="","",L122*M122)</f>
        <v/>
      </c>
      <c r="O122" s="117" t="str">
        <f>IF(B122="","",IF(B122="Básico",F122,0)-IF(A122=$C$38,$C$30,0))</f>
        <v/>
      </c>
      <c r="P122" s="130">
        <f>IF(B122="",$C$31,D122)</f>
        <v>46301.0</v>
      </c>
      <c r="Q122" s="117">
        <f>IF(B122="",0,L122)</f>
        <v>0</v>
      </c>
      <c r="R122" s="117">
        <f>IF(B122="",0,-F122)</f>
        <v>0</v>
      </c>
      <c r="S122" s="117" t="str">
        <f>IF(B122="","",O122*M122)</f>
        <v/>
      </c>
    </row>
    <row r="123">
      <c r="A123" s="53" t="n">
        <v>64</v>
      </c>
      <c r="B123" s="53" t="str">
        <f>IF(A123&gt;$C$38,"",IF(A123&lt;=$C$5,"Básico",IF($C$6&gt;0,"Sucesivo","Opción de compra")))</f>
        <v/>
      </c>
      <c r="C123" s="53" t="str">
        <f>IF(B123="","",IF(B123="Opción de compra",$C$5,A123-$C$7))</f>
        <v/>
      </c>
      <c r="D123" s="130" t="str">
        <f>IF(B123="","",EDATE($C$33,C123))</f>
        <v/>
      </c>
      <c r="E123" s="117" t="str">
        <f>IF(B123="","",I122)</f>
        <v/>
      </c>
      <c r="F123" s="117" t="str">
        <f>IF(B123="","",IF(B123="Básico",$C$24,IF(B123="Sucesivo",$C$25,$C$26)))</f>
        <v/>
      </c>
      <c r="G123" s="117" t="str">
        <f>IF(B123="","",IF(B123="Opción de compra",0,(E123-$C$7*F123)*IF(B123="Sucesivo",$C$11,$C$9)))</f>
        <v/>
      </c>
      <c r="H123" s="117" t="str">
        <f>IF(B123="","",F123-G123)</f>
        <v/>
      </c>
      <c r="I123" s="117" t="str">
        <f>IF(B123="","",E123-H123)</f>
        <v/>
      </c>
      <c r="J123" s="117" t="str">
        <f>IF(B123="","",IF(OR(inp_Tipo="Arrendamiento Puro",par_BaseIVAFin="Sobre renta",B123="Opción de compra"),F123,G123)*$C$14)</f>
        <v/>
      </c>
      <c r="K123" s="117" t="str">
        <f>IF(B123="","",F123+J123)</f>
        <v/>
      </c>
      <c r="L123" s="117" t="str">
        <f>IF(B123="","",F123-IF(A123=$C$38,$C$30,0))</f>
        <v/>
      </c>
      <c r="M123" s="131" t="str">
        <f>IF(B123="","",$C$37*(1+$C$13)^(-C123))</f>
        <v/>
      </c>
      <c r="N123" s="117" t="str">
        <f>IF(B123="","",L123*M123)</f>
        <v/>
      </c>
      <c r="O123" s="117" t="str">
        <f>IF(B123="","",IF(B123="Básico",F123,0)-IF(A123=$C$38,$C$30,0))</f>
        <v/>
      </c>
      <c r="P123" s="130">
        <f>IF(B123="",$C$31,D123)</f>
        <v>46301.0</v>
      </c>
      <c r="Q123" s="117">
        <f>IF(B123="",0,L123)</f>
        <v>0</v>
      </c>
      <c r="R123" s="117">
        <f>IF(B123="",0,-F123)</f>
        <v>0</v>
      </c>
      <c r="S123" s="117" t="str">
        <f>IF(B123="","",O123*M123)</f>
        <v/>
      </c>
    </row>
    <row r="124">
      <c r="A124" s="53" t="n">
        <v>65</v>
      </c>
      <c r="B124" s="53" t="str">
        <f>IF(A124&gt;$C$38,"",IF(A124&lt;=$C$5,"Básico",IF($C$6&gt;0,"Sucesivo","Opción de compra")))</f>
        <v/>
      </c>
      <c r="C124" s="53" t="str">
        <f>IF(B124="","",IF(B124="Opción de compra",$C$5,A124-$C$7))</f>
        <v/>
      </c>
      <c r="D124" s="130" t="str">
        <f>IF(B124="","",EDATE($C$33,C124))</f>
        <v/>
      </c>
      <c r="E124" s="117" t="str">
        <f>IF(B124="","",I123)</f>
        <v/>
      </c>
      <c r="F124" s="117" t="str">
        <f>IF(B124="","",IF(B124="Básico",$C$24,IF(B124="Sucesivo",$C$25,$C$26)))</f>
        <v/>
      </c>
      <c r="G124" s="117" t="str">
        <f>IF(B124="","",IF(B124="Opción de compra",0,(E124-$C$7*F124)*IF(B124="Sucesivo",$C$11,$C$9)))</f>
        <v/>
      </c>
      <c r="H124" s="117" t="str">
        <f>IF(B124="","",F124-G124)</f>
        <v/>
      </c>
      <c r="I124" s="117" t="str">
        <f>IF(B124="","",E124-H124)</f>
        <v/>
      </c>
      <c r="J124" s="117" t="str">
        <f>IF(B124="","",IF(OR(inp_Tipo="Arrendamiento Puro",par_BaseIVAFin="Sobre renta",B124="Opción de compra"),F124,G124)*$C$14)</f>
        <v/>
      </c>
      <c r="K124" s="117" t="str">
        <f>IF(B124="","",F124+J124)</f>
        <v/>
      </c>
      <c r="L124" s="117" t="str">
        <f>IF(B124="","",F124-IF(A124=$C$38,$C$30,0))</f>
        <v/>
      </c>
      <c r="M124" s="131" t="str">
        <f>IF(B124="","",$C$37*(1+$C$13)^(-C124))</f>
        <v/>
      </c>
      <c r="N124" s="117" t="str">
        <f>IF(B124="","",L124*M124)</f>
        <v/>
      </c>
      <c r="O124" s="117" t="str">
        <f>IF(B124="","",IF(B124="Básico",F124,0)-IF(A124=$C$38,$C$30,0))</f>
        <v/>
      </c>
      <c r="P124" s="130">
        <f>IF(B124="",$C$31,D124)</f>
        <v>46301.0</v>
      </c>
      <c r="Q124" s="117">
        <f>IF(B124="",0,L124)</f>
        <v>0</v>
      </c>
      <c r="R124" s="117">
        <f>IF(B124="",0,-F124)</f>
        <v>0</v>
      </c>
      <c r="S124" s="117" t="str">
        <f>IF(B124="","",O124*M124)</f>
        <v/>
      </c>
    </row>
    <row r="125">
      <c r="A125" s="53" t="n">
        <v>66</v>
      </c>
      <c r="B125" s="53" t="str">
        <f>IF(A125&gt;$C$38,"",IF(A125&lt;=$C$5,"Básico",IF($C$6&gt;0,"Sucesivo","Opción de compra")))</f>
        <v/>
      </c>
      <c r="C125" s="53" t="str">
        <f>IF(B125="","",IF(B125="Opción de compra",$C$5,A125-$C$7))</f>
        <v/>
      </c>
      <c r="D125" s="130" t="str">
        <f>IF(B125="","",EDATE($C$33,C125))</f>
        <v/>
      </c>
      <c r="E125" s="117" t="str">
        <f>IF(B125="","",I124)</f>
        <v/>
      </c>
      <c r="F125" s="117" t="str">
        <f>IF(B125="","",IF(B125="Básico",$C$24,IF(B125="Sucesivo",$C$25,$C$26)))</f>
        <v/>
      </c>
      <c r="G125" s="117" t="str">
        <f>IF(B125="","",IF(B125="Opción de compra",0,(E125-$C$7*F125)*IF(B125="Sucesivo",$C$11,$C$9)))</f>
        <v/>
      </c>
      <c r="H125" s="117" t="str">
        <f>IF(B125="","",F125-G125)</f>
        <v/>
      </c>
      <c r="I125" s="117" t="str">
        <f>IF(B125="","",E125-H125)</f>
        <v/>
      </c>
      <c r="J125" s="117" t="str">
        <f>IF(B125="","",IF(OR(inp_Tipo="Arrendamiento Puro",par_BaseIVAFin="Sobre renta",B125="Opción de compra"),F125,G125)*$C$14)</f>
        <v/>
      </c>
      <c r="K125" s="117" t="str">
        <f>IF(B125="","",F125+J125)</f>
        <v/>
      </c>
      <c r="L125" s="117" t="str">
        <f>IF(B125="","",F125-IF(A125=$C$38,$C$30,0))</f>
        <v/>
      </c>
      <c r="M125" s="131" t="str">
        <f>IF(B125="","",$C$37*(1+$C$13)^(-C125))</f>
        <v/>
      </c>
      <c r="N125" s="117" t="str">
        <f>IF(B125="","",L125*M125)</f>
        <v/>
      </c>
      <c r="O125" s="117" t="str">
        <f>IF(B125="","",IF(B125="Básico",F125,0)-IF(A125=$C$38,$C$30,0))</f>
        <v/>
      </c>
      <c r="P125" s="130">
        <f>IF(B125="",$C$31,D125)</f>
        <v>46301.0</v>
      </c>
      <c r="Q125" s="117">
        <f>IF(B125="",0,L125)</f>
        <v>0</v>
      </c>
      <c r="R125" s="117">
        <f>IF(B125="",0,-F125)</f>
        <v>0</v>
      </c>
      <c r="S125" s="117" t="str">
        <f>IF(B125="","",O125*M125)</f>
        <v/>
      </c>
    </row>
    <row r="126">
      <c r="A126" s="53" t="n">
        <v>67</v>
      </c>
      <c r="B126" s="53" t="str">
        <f>IF(A126&gt;$C$38,"",IF(A126&lt;=$C$5,"Básico",IF($C$6&gt;0,"Sucesivo","Opción de compra")))</f>
        <v/>
      </c>
      <c r="C126" s="53" t="str">
        <f>IF(B126="","",IF(B126="Opción de compra",$C$5,A126-$C$7))</f>
        <v/>
      </c>
      <c r="D126" s="130" t="str">
        <f>IF(B126="","",EDATE($C$33,C126))</f>
        <v/>
      </c>
      <c r="E126" s="117" t="str">
        <f>IF(B126="","",I125)</f>
        <v/>
      </c>
      <c r="F126" s="117" t="str">
        <f>IF(B126="","",IF(B126="Básico",$C$24,IF(B126="Sucesivo",$C$25,$C$26)))</f>
        <v/>
      </c>
      <c r="G126" s="117" t="str">
        <f>IF(B126="","",IF(B126="Opción de compra",0,(E126-$C$7*F126)*IF(B126="Sucesivo",$C$11,$C$9)))</f>
        <v/>
      </c>
      <c r="H126" s="117" t="str">
        <f>IF(B126="","",F126-G126)</f>
        <v/>
      </c>
      <c r="I126" s="117" t="str">
        <f>IF(B126="","",E126-H126)</f>
        <v/>
      </c>
      <c r="J126" s="117" t="str">
        <f>IF(B126="","",IF(OR(inp_Tipo="Arrendamiento Puro",par_BaseIVAFin="Sobre renta",B126="Opción de compra"),F126,G126)*$C$14)</f>
        <v/>
      </c>
      <c r="K126" s="117" t="str">
        <f>IF(B126="","",F126+J126)</f>
        <v/>
      </c>
      <c r="L126" s="117" t="str">
        <f>IF(B126="","",F126-IF(A126=$C$38,$C$30,0))</f>
        <v/>
      </c>
      <c r="M126" s="131" t="str">
        <f>IF(B126="","",$C$37*(1+$C$13)^(-C126))</f>
        <v/>
      </c>
      <c r="N126" s="117" t="str">
        <f>IF(B126="","",L126*M126)</f>
        <v/>
      </c>
      <c r="O126" s="117" t="str">
        <f>IF(B126="","",IF(B126="Básico",F126,0)-IF(A126=$C$38,$C$30,0))</f>
        <v/>
      </c>
      <c r="P126" s="130">
        <f>IF(B126="",$C$31,D126)</f>
        <v>46301.0</v>
      </c>
      <c r="Q126" s="117">
        <f>IF(B126="",0,L126)</f>
        <v>0</v>
      </c>
      <c r="R126" s="117">
        <f>IF(B126="",0,-F126)</f>
        <v>0</v>
      </c>
      <c r="S126" s="117" t="str">
        <f>IF(B126="","",O126*M126)</f>
        <v/>
      </c>
    </row>
    <row r="127">
      <c r="A127" s="53" t="n">
        <v>68</v>
      </c>
      <c r="B127" s="53" t="str">
        <f>IF(A127&gt;$C$38,"",IF(A127&lt;=$C$5,"Básico",IF($C$6&gt;0,"Sucesivo","Opción de compra")))</f>
        <v/>
      </c>
      <c r="C127" s="53" t="str">
        <f>IF(B127="","",IF(B127="Opción de compra",$C$5,A127-$C$7))</f>
        <v/>
      </c>
      <c r="D127" s="130" t="str">
        <f>IF(B127="","",EDATE($C$33,C127))</f>
        <v/>
      </c>
      <c r="E127" s="117" t="str">
        <f>IF(B127="","",I126)</f>
        <v/>
      </c>
      <c r="F127" s="117" t="str">
        <f>IF(B127="","",IF(B127="Básico",$C$24,IF(B127="Sucesivo",$C$25,$C$26)))</f>
        <v/>
      </c>
      <c r="G127" s="117" t="str">
        <f>IF(B127="","",IF(B127="Opción de compra",0,(E127-$C$7*F127)*IF(B127="Sucesivo",$C$11,$C$9)))</f>
        <v/>
      </c>
      <c r="H127" s="117" t="str">
        <f>IF(B127="","",F127-G127)</f>
        <v/>
      </c>
      <c r="I127" s="117" t="str">
        <f>IF(B127="","",E127-H127)</f>
        <v/>
      </c>
      <c r="J127" s="117" t="str">
        <f>IF(B127="","",IF(OR(inp_Tipo="Arrendamiento Puro",par_BaseIVAFin="Sobre renta",B127="Opción de compra"),F127,G127)*$C$14)</f>
        <v/>
      </c>
      <c r="K127" s="117" t="str">
        <f>IF(B127="","",F127+J127)</f>
        <v/>
      </c>
      <c r="L127" s="117" t="str">
        <f>IF(B127="","",F127-IF(A127=$C$38,$C$30,0))</f>
        <v/>
      </c>
      <c r="M127" s="131" t="str">
        <f>IF(B127="","",$C$37*(1+$C$13)^(-C127))</f>
        <v/>
      </c>
      <c r="N127" s="117" t="str">
        <f>IF(B127="","",L127*M127)</f>
        <v/>
      </c>
      <c r="O127" s="117" t="str">
        <f>IF(B127="","",IF(B127="Básico",F127,0)-IF(A127=$C$38,$C$30,0))</f>
        <v/>
      </c>
      <c r="P127" s="130">
        <f>IF(B127="",$C$31,D127)</f>
        <v>46301.0</v>
      </c>
      <c r="Q127" s="117">
        <f>IF(B127="",0,L127)</f>
        <v>0</v>
      </c>
      <c r="R127" s="117">
        <f>IF(B127="",0,-F127)</f>
        <v>0</v>
      </c>
      <c r="S127" s="117" t="str">
        <f>IF(B127="","",O127*M127)</f>
        <v/>
      </c>
    </row>
    <row r="128">
      <c r="A128" s="53" t="n">
        <v>69</v>
      </c>
      <c r="B128" s="53" t="str">
        <f>IF(A128&gt;$C$38,"",IF(A128&lt;=$C$5,"Básico",IF($C$6&gt;0,"Sucesivo","Opción de compra")))</f>
        <v/>
      </c>
      <c r="C128" s="53" t="str">
        <f>IF(B128="","",IF(B128="Opción de compra",$C$5,A128-$C$7))</f>
        <v/>
      </c>
      <c r="D128" s="130" t="str">
        <f>IF(B128="","",EDATE($C$33,C128))</f>
        <v/>
      </c>
      <c r="E128" s="117" t="str">
        <f>IF(B128="","",I127)</f>
        <v/>
      </c>
      <c r="F128" s="117" t="str">
        <f>IF(B128="","",IF(B128="Básico",$C$24,IF(B128="Sucesivo",$C$25,$C$26)))</f>
        <v/>
      </c>
      <c r="G128" s="117" t="str">
        <f>IF(B128="","",IF(B128="Opción de compra",0,(E128-$C$7*F128)*IF(B128="Sucesivo",$C$11,$C$9)))</f>
        <v/>
      </c>
      <c r="H128" s="117" t="str">
        <f>IF(B128="","",F128-G128)</f>
        <v/>
      </c>
      <c r="I128" s="117" t="str">
        <f>IF(B128="","",E128-H128)</f>
        <v/>
      </c>
      <c r="J128" s="117" t="str">
        <f>IF(B128="","",IF(OR(inp_Tipo="Arrendamiento Puro",par_BaseIVAFin="Sobre renta",B128="Opción de compra"),F128,G128)*$C$14)</f>
        <v/>
      </c>
      <c r="K128" s="117" t="str">
        <f>IF(B128="","",F128+J128)</f>
        <v/>
      </c>
      <c r="L128" s="117" t="str">
        <f>IF(B128="","",F128-IF(A128=$C$38,$C$30,0))</f>
        <v/>
      </c>
      <c r="M128" s="131" t="str">
        <f>IF(B128="","",$C$37*(1+$C$13)^(-C128))</f>
        <v/>
      </c>
      <c r="N128" s="117" t="str">
        <f>IF(B128="","",L128*M128)</f>
        <v/>
      </c>
      <c r="O128" s="117" t="str">
        <f>IF(B128="","",IF(B128="Básico",F128,0)-IF(A128=$C$38,$C$30,0))</f>
        <v/>
      </c>
      <c r="P128" s="130">
        <f>IF(B128="",$C$31,D128)</f>
        <v>46301.0</v>
      </c>
      <c r="Q128" s="117">
        <f>IF(B128="",0,L128)</f>
        <v>0</v>
      </c>
      <c r="R128" s="117">
        <f>IF(B128="",0,-F128)</f>
        <v>0</v>
      </c>
      <c r="S128" s="117" t="str">
        <f>IF(B128="","",O128*M128)</f>
        <v/>
      </c>
    </row>
    <row r="129">
      <c r="A129" s="53" t="n">
        <v>70</v>
      </c>
      <c r="B129" s="53" t="str">
        <f>IF(A129&gt;$C$38,"",IF(A129&lt;=$C$5,"Básico",IF($C$6&gt;0,"Sucesivo","Opción de compra")))</f>
        <v/>
      </c>
      <c r="C129" s="53" t="str">
        <f>IF(B129="","",IF(B129="Opción de compra",$C$5,A129-$C$7))</f>
        <v/>
      </c>
      <c r="D129" s="130" t="str">
        <f>IF(B129="","",EDATE($C$33,C129))</f>
        <v/>
      </c>
      <c r="E129" s="117" t="str">
        <f>IF(B129="","",I128)</f>
        <v/>
      </c>
      <c r="F129" s="117" t="str">
        <f>IF(B129="","",IF(B129="Básico",$C$24,IF(B129="Sucesivo",$C$25,$C$26)))</f>
        <v/>
      </c>
      <c r="G129" s="117" t="str">
        <f>IF(B129="","",IF(B129="Opción de compra",0,(E129-$C$7*F129)*IF(B129="Sucesivo",$C$11,$C$9)))</f>
        <v/>
      </c>
      <c r="H129" s="117" t="str">
        <f>IF(B129="","",F129-G129)</f>
        <v/>
      </c>
      <c r="I129" s="117" t="str">
        <f>IF(B129="","",E129-H129)</f>
        <v/>
      </c>
      <c r="J129" s="117" t="str">
        <f>IF(B129="","",IF(OR(inp_Tipo="Arrendamiento Puro",par_BaseIVAFin="Sobre renta",B129="Opción de compra"),F129,G129)*$C$14)</f>
        <v/>
      </c>
      <c r="K129" s="117" t="str">
        <f>IF(B129="","",F129+J129)</f>
        <v/>
      </c>
      <c r="L129" s="117" t="str">
        <f>IF(B129="","",F129-IF(A129=$C$38,$C$30,0))</f>
        <v/>
      </c>
      <c r="M129" s="131" t="str">
        <f>IF(B129="","",$C$37*(1+$C$13)^(-C129))</f>
        <v/>
      </c>
      <c r="N129" s="117" t="str">
        <f>IF(B129="","",L129*M129)</f>
        <v/>
      </c>
      <c r="O129" s="117" t="str">
        <f>IF(B129="","",IF(B129="Básico",F129,0)-IF(A129=$C$38,$C$30,0))</f>
        <v/>
      </c>
      <c r="P129" s="130">
        <f>IF(B129="",$C$31,D129)</f>
        <v>46301.0</v>
      </c>
      <c r="Q129" s="117">
        <f>IF(B129="",0,L129)</f>
        <v>0</v>
      </c>
      <c r="R129" s="117">
        <f>IF(B129="",0,-F129)</f>
        <v>0</v>
      </c>
      <c r="S129" s="117" t="str">
        <f>IF(B129="","",O129*M129)</f>
        <v/>
      </c>
    </row>
    <row r="130">
      <c r="A130" s="53" t="n">
        <v>71</v>
      </c>
      <c r="B130" s="53" t="str">
        <f>IF(A130&gt;$C$38,"",IF(A130&lt;=$C$5,"Básico",IF($C$6&gt;0,"Sucesivo","Opción de compra")))</f>
        <v/>
      </c>
      <c r="C130" s="53" t="str">
        <f>IF(B130="","",IF(B130="Opción de compra",$C$5,A130-$C$7))</f>
        <v/>
      </c>
      <c r="D130" s="130" t="str">
        <f>IF(B130="","",EDATE($C$33,C130))</f>
        <v/>
      </c>
      <c r="E130" s="117" t="str">
        <f>IF(B130="","",I129)</f>
        <v/>
      </c>
      <c r="F130" s="117" t="str">
        <f>IF(B130="","",IF(B130="Básico",$C$24,IF(B130="Sucesivo",$C$25,$C$26)))</f>
        <v/>
      </c>
      <c r="G130" s="117" t="str">
        <f>IF(B130="","",IF(B130="Opción de compra",0,(E130-$C$7*F130)*IF(B130="Sucesivo",$C$11,$C$9)))</f>
        <v/>
      </c>
      <c r="H130" s="117" t="str">
        <f>IF(B130="","",F130-G130)</f>
        <v/>
      </c>
      <c r="I130" s="117" t="str">
        <f>IF(B130="","",E130-H130)</f>
        <v/>
      </c>
      <c r="J130" s="117" t="str">
        <f>IF(B130="","",IF(OR(inp_Tipo="Arrendamiento Puro",par_BaseIVAFin="Sobre renta",B130="Opción de compra"),F130,G130)*$C$14)</f>
        <v/>
      </c>
      <c r="K130" s="117" t="str">
        <f>IF(B130="","",F130+J130)</f>
        <v/>
      </c>
      <c r="L130" s="117" t="str">
        <f>IF(B130="","",F130-IF(A130=$C$38,$C$30,0))</f>
        <v/>
      </c>
      <c r="M130" s="131" t="str">
        <f>IF(B130="","",$C$37*(1+$C$13)^(-C130))</f>
        <v/>
      </c>
      <c r="N130" s="117" t="str">
        <f>IF(B130="","",L130*M130)</f>
        <v/>
      </c>
      <c r="O130" s="117" t="str">
        <f>IF(B130="","",IF(B130="Básico",F130,0)-IF(A130=$C$38,$C$30,0))</f>
        <v/>
      </c>
      <c r="P130" s="130">
        <f>IF(B130="",$C$31,D130)</f>
        <v>46301.0</v>
      </c>
      <c r="Q130" s="117">
        <f>IF(B130="",0,L130)</f>
        <v>0</v>
      </c>
      <c r="R130" s="117">
        <f>IF(B130="",0,-F130)</f>
        <v>0</v>
      </c>
      <c r="S130" s="117" t="str">
        <f>IF(B130="","",O130*M130)</f>
        <v/>
      </c>
    </row>
    <row r="131">
      <c r="A131" s="53" t="n">
        <v>72</v>
      </c>
      <c r="B131" s="53" t="str">
        <f>IF(A131&gt;$C$38,"",IF(A131&lt;=$C$5,"Básico",IF($C$6&gt;0,"Sucesivo","Opción de compra")))</f>
        <v/>
      </c>
      <c r="C131" s="53" t="str">
        <f>IF(B131="","",IF(B131="Opción de compra",$C$5,A131-$C$7))</f>
        <v/>
      </c>
      <c r="D131" s="130" t="str">
        <f>IF(B131="","",EDATE($C$33,C131))</f>
        <v/>
      </c>
      <c r="E131" s="117" t="str">
        <f>IF(B131="","",I130)</f>
        <v/>
      </c>
      <c r="F131" s="117" t="str">
        <f>IF(B131="","",IF(B131="Básico",$C$24,IF(B131="Sucesivo",$C$25,$C$26)))</f>
        <v/>
      </c>
      <c r="G131" s="117" t="str">
        <f>IF(B131="","",IF(B131="Opción de compra",0,(E131-$C$7*F131)*IF(B131="Sucesivo",$C$11,$C$9)))</f>
        <v/>
      </c>
      <c r="H131" s="117" t="str">
        <f>IF(B131="","",F131-G131)</f>
        <v/>
      </c>
      <c r="I131" s="117" t="str">
        <f>IF(B131="","",E131-H131)</f>
        <v/>
      </c>
      <c r="J131" s="117" t="str">
        <f>IF(B131="","",IF(OR(inp_Tipo="Arrendamiento Puro",par_BaseIVAFin="Sobre renta",B131="Opción de compra"),F131,G131)*$C$14)</f>
        <v/>
      </c>
      <c r="K131" s="117" t="str">
        <f>IF(B131="","",F131+J131)</f>
        <v/>
      </c>
      <c r="L131" s="117" t="str">
        <f>IF(B131="","",F131-IF(A131=$C$38,$C$30,0))</f>
        <v/>
      </c>
      <c r="M131" s="131" t="str">
        <f>IF(B131="","",$C$37*(1+$C$13)^(-C131))</f>
        <v/>
      </c>
      <c r="N131" s="117" t="str">
        <f>IF(B131="","",L131*M131)</f>
        <v/>
      </c>
      <c r="O131" s="117" t="str">
        <f>IF(B131="","",IF(B131="Básico",F131,0)-IF(A131=$C$38,$C$30,0))</f>
        <v/>
      </c>
      <c r="P131" s="130">
        <f>IF(B131="",$C$31,D131)</f>
        <v>46301.0</v>
      </c>
      <c r="Q131" s="117">
        <f>IF(B131="",0,L131)</f>
        <v>0</v>
      </c>
      <c r="R131" s="117">
        <f>IF(B131="",0,-F131)</f>
        <v>0</v>
      </c>
      <c r="S131" s="117" t="str">
        <f>IF(B131="","",O131*M131)</f>
        <v/>
      </c>
    </row>
    <row r="132">
      <c r="A132" s="53" t="n">
        <v>73</v>
      </c>
      <c r="B132" s="53" t="str">
        <f>IF(A132&gt;$C$38,"",IF(A132&lt;=$C$5,"Básico",IF($C$6&gt;0,"Sucesivo","Opción de compra")))</f>
        <v/>
      </c>
      <c r="C132" s="53" t="str">
        <f>IF(B132="","",IF(B132="Opción de compra",$C$5,A132-$C$7))</f>
        <v/>
      </c>
      <c r="D132" s="130" t="str">
        <f>IF(B132="","",EDATE($C$33,C132))</f>
        <v/>
      </c>
      <c r="E132" s="117" t="str">
        <f>IF(B132="","",I131)</f>
        <v/>
      </c>
      <c r="F132" s="117" t="str">
        <f>IF(B132="","",IF(B132="Básico",$C$24,IF(B132="Sucesivo",$C$25,$C$26)))</f>
        <v/>
      </c>
      <c r="G132" s="117" t="str">
        <f>IF(B132="","",IF(B132="Opción de compra",0,(E132-$C$7*F132)*IF(B132="Sucesivo",$C$11,$C$9)))</f>
        <v/>
      </c>
      <c r="H132" s="117" t="str">
        <f>IF(B132="","",F132-G132)</f>
        <v/>
      </c>
      <c r="I132" s="117" t="str">
        <f>IF(B132="","",E132-H132)</f>
        <v/>
      </c>
      <c r="J132" s="117" t="str">
        <f>IF(B132="","",IF(OR(inp_Tipo="Arrendamiento Puro",par_BaseIVAFin="Sobre renta",B132="Opción de compra"),F132,G132)*$C$14)</f>
        <v/>
      </c>
      <c r="K132" s="117" t="str">
        <f>IF(B132="","",F132+J132)</f>
        <v/>
      </c>
      <c r="L132" s="117" t="str">
        <f>IF(B132="","",F132-IF(A132=$C$38,$C$30,0))</f>
        <v/>
      </c>
      <c r="M132" s="131" t="str">
        <f>IF(B132="","",$C$37*(1+$C$13)^(-C132))</f>
        <v/>
      </c>
      <c r="N132" s="117" t="str">
        <f>IF(B132="","",L132*M132)</f>
        <v/>
      </c>
      <c r="O132" s="117" t="str">
        <f>IF(B132="","",IF(B132="Básico",F132,0)-IF(A132=$C$38,$C$30,0))</f>
        <v/>
      </c>
      <c r="P132" s="130">
        <f>IF(B132="",$C$31,D132)</f>
        <v>46301.0</v>
      </c>
      <c r="Q132" s="117">
        <f>IF(B132="",0,L132)</f>
        <v>0</v>
      </c>
      <c r="R132" s="117">
        <f>IF(B132="",0,-F132)</f>
        <v>0</v>
      </c>
      <c r="S132" s="117" t="str">
        <f>IF(B132="","",O132*M132)</f>
        <v/>
      </c>
    </row>
    <row r="133">
      <c r="A133" s="53" t="n">
        <v>74</v>
      </c>
      <c r="B133" s="53" t="str">
        <f>IF(A133&gt;$C$38,"",IF(A133&lt;=$C$5,"Básico",IF($C$6&gt;0,"Sucesivo","Opción de compra")))</f>
        <v/>
      </c>
      <c r="C133" s="53" t="str">
        <f>IF(B133="","",IF(B133="Opción de compra",$C$5,A133-$C$7))</f>
        <v/>
      </c>
      <c r="D133" s="130" t="str">
        <f>IF(B133="","",EDATE($C$33,C133))</f>
        <v/>
      </c>
      <c r="E133" s="117" t="str">
        <f>IF(B133="","",I132)</f>
        <v/>
      </c>
      <c r="F133" s="117" t="str">
        <f>IF(B133="","",IF(B133="Básico",$C$24,IF(B133="Sucesivo",$C$25,$C$26)))</f>
        <v/>
      </c>
      <c r="G133" s="117" t="str">
        <f>IF(B133="","",IF(B133="Opción de compra",0,(E133-$C$7*F133)*IF(B133="Sucesivo",$C$11,$C$9)))</f>
        <v/>
      </c>
      <c r="H133" s="117" t="str">
        <f>IF(B133="","",F133-G133)</f>
        <v/>
      </c>
      <c r="I133" s="117" t="str">
        <f>IF(B133="","",E133-H133)</f>
        <v/>
      </c>
      <c r="J133" s="117" t="str">
        <f>IF(B133="","",IF(OR(inp_Tipo="Arrendamiento Puro",par_BaseIVAFin="Sobre renta",B133="Opción de compra"),F133,G133)*$C$14)</f>
        <v/>
      </c>
      <c r="K133" s="117" t="str">
        <f>IF(B133="","",F133+J133)</f>
        <v/>
      </c>
      <c r="L133" s="117" t="str">
        <f>IF(B133="","",F133-IF(A133=$C$38,$C$30,0))</f>
        <v/>
      </c>
      <c r="M133" s="131" t="str">
        <f>IF(B133="","",$C$37*(1+$C$13)^(-C133))</f>
        <v/>
      </c>
      <c r="N133" s="117" t="str">
        <f>IF(B133="","",L133*M133)</f>
        <v/>
      </c>
      <c r="O133" s="117" t="str">
        <f>IF(B133="","",IF(B133="Básico",F133,0)-IF(A133=$C$38,$C$30,0))</f>
        <v/>
      </c>
      <c r="P133" s="130">
        <f>IF(B133="",$C$31,D133)</f>
        <v>46301.0</v>
      </c>
      <c r="Q133" s="117">
        <f>IF(B133="",0,L133)</f>
        <v>0</v>
      </c>
      <c r="R133" s="117">
        <f>IF(B133="",0,-F133)</f>
        <v>0</v>
      </c>
      <c r="S133" s="117" t="str">
        <f>IF(B133="","",O133*M133)</f>
        <v/>
      </c>
    </row>
    <row r="134">
      <c r="A134" s="53" t="n">
        <v>75</v>
      </c>
      <c r="B134" s="53" t="str">
        <f>IF(A134&gt;$C$38,"",IF(A134&lt;=$C$5,"Básico",IF($C$6&gt;0,"Sucesivo","Opción de compra")))</f>
        <v/>
      </c>
      <c r="C134" s="53" t="str">
        <f>IF(B134="","",IF(B134="Opción de compra",$C$5,A134-$C$7))</f>
        <v/>
      </c>
      <c r="D134" s="130" t="str">
        <f>IF(B134="","",EDATE($C$33,C134))</f>
        <v/>
      </c>
      <c r="E134" s="117" t="str">
        <f>IF(B134="","",I133)</f>
        <v/>
      </c>
      <c r="F134" s="117" t="str">
        <f>IF(B134="","",IF(B134="Básico",$C$24,IF(B134="Sucesivo",$C$25,$C$26)))</f>
        <v/>
      </c>
      <c r="G134" s="117" t="str">
        <f>IF(B134="","",IF(B134="Opción de compra",0,(E134-$C$7*F134)*IF(B134="Sucesivo",$C$11,$C$9)))</f>
        <v/>
      </c>
      <c r="H134" s="117" t="str">
        <f>IF(B134="","",F134-G134)</f>
        <v/>
      </c>
      <c r="I134" s="117" t="str">
        <f>IF(B134="","",E134-H134)</f>
        <v/>
      </c>
      <c r="J134" s="117" t="str">
        <f>IF(B134="","",IF(OR(inp_Tipo="Arrendamiento Puro",par_BaseIVAFin="Sobre renta",B134="Opción de compra"),F134,G134)*$C$14)</f>
        <v/>
      </c>
      <c r="K134" s="117" t="str">
        <f>IF(B134="","",F134+J134)</f>
        <v/>
      </c>
      <c r="L134" s="117" t="str">
        <f>IF(B134="","",F134-IF(A134=$C$38,$C$30,0))</f>
        <v/>
      </c>
      <c r="M134" s="131" t="str">
        <f>IF(B134="","",$C$37*(1+$C$13)^(-C134))</f>
        <v/>
      </c>
      <c r="N134" s="117" t="str">
        <f>IF(B134="","",L134*M134)</f>
        <v/>
      </c>
      <c r="O134" s="117" t="str">
        <f>IF(B134="","",IF(B134="Básico",F134,0)-IF(A134=$C$38,$C$30,0))</f>
        <v/>
      </c>
      <c r="P134" s="130">
        <f>IF(B134="",$C$31,D134)</f>
        <v>46301.0</v>
      </c>
      <c r="Q134" s="117">
        <f>IF(B134="",0,L134)</f>
        <v>0</v>
      </c>
      <c r="R134" s="117">
        <f>IF(B134="",0,-F134)</f>
        <v>0</v>
      </c>
      <c r="S134" s="117" t="str">
        <f>IF(B134="","",O134*M134)</f>
        <v/>
      </c>
    </row>
    <row r="135">
      <c r="A135" s="53" t="n">
        <v>76</v>
      </c>
      <c r="B135" s="53" t="str">
        <f>IF(A135&gt;$C$38,"",IF(A135&lt;=$C$5,"Básico",IF($C$6&gt;0,"Sucesivo","Opción de compra")))</f>
        <v/>
      </c>
      <c r="C135" s="53" t="str">
        <f>IF(B135="","",IF(B135="Opción de compra",$C$5,A135-$C$7))</f>
        <v/>
      </c>
      <c r="D135" s="130" t="str">
        <f>IF(B135="","",EDATE($C$33,C135))</f>
        <v/>
      </c>
      <c r="E135" s="117" t="str">
        <f>IF(B135="","",I134)</f>
        <v/>
      </c>
      <c r="F135" s="117" t="str">
        <f>IF(B135="","",IF(B135="Básico",$C$24,IF(B135="Sucesivo",$C$25,$C$26)))</f>
        <v/>
      </c>
      <c r="G135" s="117" t="str">
        <f>IF(B135="","",IF(B135="Opción de compra",0,(E135-$C$7*F135)*IF(B135="Sucesivo",$C$11,$C$9)))</f>
        <v/>
      </c>
      <c r="H135" s="117" t="str">
        <f>IF(B135="","",F135-G135)</f>
        <v/>
      </c>
      <c r="I135" s="117" t="str">
        <f>IF(B135="","",E135-H135)</f>
        <v/>
      </c>
      <c r="J135" s="117" t="str">
        <f>IF(B135="","",IF(OR(inp_Tipo="Arrendamiento Puro",par_BaseIVAFin="Sobre renta",B135="Opción de compra"),F135,G135)*$C$14)</f>
        <v/>
      </c>
      <c r="K135" s="117" t="str">
        <f>IF(B135="","",F135+J135)</f>
        <v/>
      </c>
      <c r="L135" s="117" t="str">
        <f>IF(B135="","",F135-IF(A135=$C$38,$C$30,0))</f>
        <v/>
      </c>
      <c r="M135" s="131" t="str">
        <f>IF(B135="","",$C$37*(1+$C$13)^(-C135))</f>
        <v/>
      </c>
      <c r="N135" s="117" t="str">
        <f>IF(B135="","",L135*M135)</f>
        <v/>
      </c>
      <c r="O135" s="117" t="str">
        <f>IF(B135="","",IF(B135="Básico",F135,0)-IF(A135=$C$38,$C$30,0))</f>
        <v/>
      </c>
      <c r="P135" s="130">
        <f>IF(B135="",$C$31,D135)</f>
        <v>46301.0</v>
      </c>
      <c r="Q135" s="117">
        <f>IF(B135="",0,L135)</f>
        <v>0</v>
      </c>
      <c r="R135" s="117">
        <f>IF(B135="",0,-F135)</f>
        <v>0</v>
      </c>
      <c r="S135" s="117" t="str">
        <f>IF(B135="","",O135*M135)</f>
        <v/>
      </c>
    </row>
    <row r="136">
      <c r="A136" s="53" t="n">
        <v>77</v>
      </c>
      <c r="B136" s="53" t="str">
        <f>IF(A136&gt;$C$38,"",IF(A136&lt;=$C$5,"Básico",IF($C$6&gt;0,"Sucesivo","Opción de compra")))</f>
        <v/>
      </c>
      <c r="C136" s="53" t="str">
        <f>IF(B136="","",IF(B136="Opción de compra",$C$5,A136-$C$7))</f>
        <v/>
      </c>
      <c r="D136" s="130" t="str">
        <f>IF(B136="","",EDATE($C$33,C136))</f>
        <v/>
      </c>
      <c r="E136" s="117" t="str">
        <f>IF(B136="","",I135)</f>
        <v/>
      </c>
      <c r="F136" s="117" t="str">
        <f>IF(B136="","",IF(B136="Básico",$C$24,IF(B136="Sucesivo",$C$25,$C$26)))</f>
        <v/>
      </c>
      <c r="G136" s="117" t="str">
        <f>IF(B136="","",IF(B136="Opción de compra",0,(E136-$C$7*F136)*IF(B136="Sucesivo",$C$11,$C$9)))</f>
        <v/>
      </c>
      <c r="H136" s="117" t="str">
        <f>IF(B136="","",F136-G136)</f>
        <v/>
      </c>
      <c r="I136" s="117" t="str">
        <f>IF(B136="","",E136-H136)</f>
        <v/>
      </c>
      <c r="J136" s="117" t="str">
        <f>IF(B136="","",IF(OR(inp_Tipo="Arrendamiento Puro",par_BaseIVAFin="Sobre renta",B136="Opción de compra"),F136,G136)*$C$14)</f>
        <v/>
      </c>
      <c r="K136" s="117" t="str">
        <f>IF(B136="","",F136+J136)</f>
        <v/>
      </c>
      <c r="L136" s="117" t="str">
        <f>IF(B136="","",F136-IF(A136=$C$38,$C$30,0))</f>
        <v/>
      </c>
      <c r="M136" s="131" t="str">
        <f>IF(B136="","",$C$37*(1+$C$13)^(-C136))</f>
        <v/>
      </c>
      <c r="N136" s="117" t="str">
        <f>IF(B136="","",L136*M136)</f>
        <v/>
      </c>
      <c r="O136" s="117" t="str">
        <f>IF(B136="","",IF(B136="Básico",F136,0)-IF(A136=$C$38,$C$30,0))</f>
        <v/>
      </c>
      <c r="P136" s="130">
        <f>IF(B136="",$C$31,D136)</f>
        <v>46301.0</v>
      </c>
      <c r="Q136" s="117">
        <f>IF(B136="",0,L136)</f>
        <v>0</v>
      </c>
      <c r="R136" s="117">
        <f>IF(B136="",0,-F136)</f>
        <v>0</v>
      </c>
      <c r="S136" s="117" t="str">
        <f>IF(B136="","",O136*M136)</f>
        <v/>
      </c>
    </row>
    <row r="137">
      <c r="A137" s="53" t="n">
        <v>78</v>
      </c>
      <c r="B137" s="53" t="str">
        <f>IF(A137&gt;$C$38,"",IF(A137&lt;=$C$5,"Básico",IF($C$6&gt;0,"Sucesivo","Opción de compra")))</f>
        <v/>
      </c>
      <c r="C137" s="53" t="str">
        <f>IF(B137="","",IF(B137="Opción de compra",$C$5,A137-$C$7))</f>
        <v/>
      </c>
      <c r="D137" s="130" t="str">
        <f>IF(B137="","",EDATE($C$33,C137))</f>
        <v/>
      </c>
      <c r="E137" s="117" t="str">
        <f>IF(B137="","",I136)</f>
        <v/>
      </c>
      <c r="F137" s="117" t="str">
        <f>IF(B137="","",IF(B137="Básico",$C$24,IF(B137="Sucesivo",$C$25,$C$26)))</f>
        <v/>
      </c>
      <c r="G137" s="117" t="str">
        <f>IF(B137="","",IF(B137="Opción de compra",0,(E137-$C$7*F137)*IF(B137="Sucesivo",$C$11,$C$9)))</f>
        <v/>
      </c>
      <c r="H137" s="117" t="str">
        <f>IF(B137="","",F137-G137)</f>
        <v/>
      </c>
      <c r="I137" s="117" t="str">
        <f>IF(B137="","",E137-H137)</f>
        <v/>
      </c>
      <c r="J137" s="117" t="str">
        <f>IF(B137="","",IF(OR(inp_Tipo="Arrendamiento Puro",par_BaseIVAFin="Sobre renta",B137="Opción de compra"),F137,G137)*$C$14)</f>
        <v/>
      </c>
      <c r="K137" s="117" t="str">
        <f>IF(B137="","",F137+J137)</f>
        <v/>
      </c>
      <c r="L137" s="117" t="str">
        <f>IF(B137="","",F137-IF(A137=$C$38,$C$30,0))</f>
        <v/>
      </c>
      <c r="M137" s="131" t="str">
        <f>IF(B137="","",$C$37*(1+$C$13)^(-C137))</f>
        <v/>
      </c>
      <c r="N137" s="117" t="str">
        <f>IF(B137="","",L137*M137)</f>
        <v/>
      </c>
      <c r="O137" s="117" t="str">
        <f>IF(B137="","",IF(B137="Básico",F137,0)-IF(A137=$C$38,$C$30,0))</f>
        <v/>
      </c>
      <c r="P137" s="130">
        <f>IF(B137="",$C$31,D137)</f>
        <v>46301.0</v>
      </c>
      <c r="Q137" s="117">
        <f>IF(B137="",0,L137)</f>
        <v>0</v>
      </c>
      <c r="R137" s="117">
        <f>IF(B137="",0,-F137)</f>
        <v>0</v>
      </c>
      <c r="S137" s="117" t="str">
        <f>IF(B137="","",O137*M137)</f>
        <v/>
      </c>
    </row>
    <row r="138">
      <c r="A138" s="53" t="n">
        <v>79</v>
      </c>
      <c r="B138" s="53" t="str">
        <f>IF(A138&gt;$C$38,"",IF(A138&lt;=$C$5,"Básico",IF($C$6&gt;0,"Sucesivo","Opción de compra")))</f>
        <v/>
      </c>
      <c r="C138" s="53" t="str">
        <f>IF(B138="","",IF(B138="Opción de compra",$C$5,A138-$C$7))</f>
        <v/>
      </c>
      <c r="D138" s="130" t="str">
        <f>IF(B138="","",EDATE($C$33,C138))</f>
        <v/>
      </c>
      <c r="E138" s="117" t="str">
        <f>IF(B138="","",I137)</f>
        <v/>
      </c>
      <c r="F138" s="117" t="str">
        <f>IF(B138="","",IF(B138="Básico",$C$24,IF(B138="Sucesivo",$C$25,$C$26)))</f>
        <v/>
      </c>
      <c r="G138" s="117" t="str">
        <f>IF(B138="","",IF(B138="Opción de compra",0,(E138-$C$7*F138)*IF(B138="Sucesivo",$C$11,$C$9)))</f>
        <v/>
      </c>
      <c r="H138" s="117" t="str">
        <f>IF(B138="","",F138-G138)</f>
        <v/>
      </c>
      <c r="I138" s="117" t="str">
        <f>IF(B138="","",E138-H138)</f>
        <v/>
      </c>
      <c r="J138" s="117" t="str">
        <f>IF(B138="","",IF(OR(inp_Tipo="Arrendamiento Puro",par_BaseIVAFin="Sobre renta",B138="Opción de compra"),F138,G138)*$C$14)</f>
        <v/>
      </c>
      <c r="K138" s="117" t="str">
        <f>IF(B138="","",F138+J138)</f>
        <v/>
      </c>
      <c r="L138" s="117" t="str">
        <f>IF(B138="","",F138-IF(A138=$C$38,$C$30,0))</f>
        <v/>
      </c>
      <c r="M138" s="131" t="str">
        <f>IF(B138="","",$C$37*(1+$C$13)^(-C138))</f>
        <v/>
      </c>
      <c r="N138" s="117" t="str">
        <f>IF(B138="","",L138*M138)</f>
        <v/>
      </c>
      <c r="O138" s="117" t="str">
        <f>IF(B138="","",IF(B138="Básico",F138,0)-IF(A138=$C$38,$C$30,0))</f>
        <v/>
      </c>
      <c r="P138" s="130">
        <f>IF(B138="",$C$31,D138)</f>
        <v>46301.0</v>
      </c>
      <c r="Q138" s="117">
        <f>IF(B138="",0,L138)</f>
        <v>0</v>
      </c>
      <c r="R138" s="117">
        <f>IF(B138="",0,-F138)</f>
        <v>0</v>
      </c>
      <c r="S138" s="117" t="str">
        <f>IF(B138="","",O138*M138)</f>
        <v/>
      </c>
    </row>
    <row r="139">
      <c r="A139" s="53" t="n">
        <v>80</v>
      </c>
      <c r="B139" s="53" t="str">
        <f>IF(A139&gt;$C$38,"",IF(A139&lt;=$C$5,"Básico",IF($C$6&gt;0,"Sucesivo","Opción de compra")))</f>
        <v/>
      </c>
      <c r="C139" s="53" t="str">
        <f>IF(B139="","",IF(B139="Opción de compra",$C$5,A139-$C$7))</f>
        <v/>
      </c>
      <c r="D139" s="130" t="str">
        <f>IF(B139="","",EDATE($C$33,C139))</f>
        <v/>
      </c>
      <c r="E139" s="117" t="str">
        <f>IF(B139="","",I138)</f>
        <v/>
      </c>
      <c r="F139" s="117" t="str">
        <f>IF(B139="","",IF(B139="Básico",$C$24,IF(B139="Sucesivo",$C$25,$C$26)))</f>
        <v/>
      </c>
      <c r="G139" s="117" t="str">
        <f>IF(B139="","",IF(B139="Opción de compra",0,(E139-$C$7*F139)*IF(B139="Sucesivo",$C$11,$C$9)))</f>
        <v/>
      </c>
      <c r="H139" s="117" t="str">
        <f>IF(B139="","",F139-G139)</f>
        <v/>
      </c>
      <c r="I139" s="117" t="str">
        <f>IF(B139="","",E139-H139)</f>
        <v/>
      </c>
      <c r="J139" s="117" t="str">
        <f>IF(B139="","",IF(OR(inp_Tipo="Arrendamiento Puro",par_BaseIVAFin="Sobre renta",B139="Opción de compra"),F139,G139)*$C$14)</f>
        <v/>
      </c>
      <c r="K139" s="117" t="str">
        <f>IF(B139="","",F139+J139)</f>
        <v/>
      </c>
      <c r="L139" s="117" t="str">
        <f>IF(B139="","",F139-IF(A139=$C$38,$C$30,0))</f>
        <v/>
      </c>
      <c r="M139" s="131" t="str">
        <f>IF(B139="","",$C$37*(1+$C$13)^(-C139))</f>
        <v/>
      </c>
      <c r="N139" s="117" t="str">
        <f>IF(B139="","",L139*M139)</f>
        <v/>
      </c>
      <c r="O139" s="117" t="str">
        <f>IF(B139="","",IF(B139="Básico",F139,0)-IF(A139=$C$38,$C$30,0))</f>
        <v/>
      </c>
      <c r="P139" s="130">
        <f>IF(B139="",$C$31,D139)</f>
        <v>46301.0</v>
      </c>
      <c r="Q139" s="117">
        <f>IF(B139="",0,L139)</f>
        <v>0</v>
      </c>
      <c r="R139" s="117">
        <f>IF(B139="",0,-F139)</f>
        <v>0</v>
      </c>
      <c r="S139" s="117" t="str">
        <f>IF(B139="","",O139*M139)</f>
        <v/>
      </c>
    </row>
    <row r="140">
      <c r="A140" s="53" t="n">
        <v>81</v>
      </c>
      <c r="B140" s="53" t="str">
        <f>IF(A140&gt;$C$38,"",IF(A140&lt;=$C$5,"Básico",IF($C$6&gt;0,"Sucesivo","Opción de compra")))</f>
        <v/>
      </c>
      <c r="C140" s="53" t="str">
        <f>IF(B140="","",IF(B140="Opción de compra",$C$5,A140-$C$7))</f>
        <v/>
      </c>
      <c r="D140" s="130" t="str">
        <f>IF(B140="","",EDATE($C$33,C140))</f>
        <v/>
      </c>
      <c r="E140" s="117" t="str">
        <f>IF(B140="","",I139)</f>
        <v/>
      </c>
      <c r="F140" s="117" t="str">
        <f>IF(B140="","",IF(B140="Básico",$C$24,IF(B140="Sucesivo",$C$25,$C$26)))</f>
        <v/>
      </c>
      <c r="G140" s="117" t="str">
        <f>IF(B140="","",IF(B140="Opción de compra",0,(E140-$C$7*F140)*IF(B140="Sucesivo",$C$11,$C$9)))</f>
        <v/>
      </c>
      <c r="H140" s="117" t="str">
        <f>IF(B140="","",F140-G140)</f>
        <v/>
      </c>
      <c r="I140" s="117" t="str">
        <f>IF(B140="","",E140-H140)</f>
        <v/>
      </c>
      <c r="J140" s="117" t="str">
        <f>IF(B140="","",IF(OR(inp_Tipo="Arrendamiento Puro",par_BaseIVAFin="Sobre renta",B140="Opción de compra"),F140,G140)*$C$14)</f>
        <v/>
      </c>
      <c r="K140" s="117" t="str">
        <f>IF(B140="","",F140+J140)</f>
        <v/>
      </c>
      <c r="L140" s="117" t="str">
        <f>IF(B140="","",F140-IF(A140=$C$38,$C$30,0))</f>
        <v/>
      </c>
      <c r="M140" s="131" t="str">
        <f>IF(B140="","",$C$37*(1+$C$13)^(-C140))</f>
        <v/>
      </c>
      <c r="N140" s="117" t="str">
        <f>IF(B140="","",L140*M140)</f>
        <v/>
      </c>
      <c r="O140" s="117" t="str">
        <f>IF(B140="","",IF(B140="Básico",F140,0)-IF(A140=$C$38,$C$30,0))</f>
        <v/>
      </c>
      <c r="P140" s="130">
        <f>IF(B140="",$C$31,D140)</f>
        <v>46301.0</v>
      </c>
      <c r="Q140" s="117">
        <f>IF(B140="",0,L140)</f>
        <v>0</v>
      </c>
      <c r="R140" s="117">
        <f>IF(B140="",0,-F140)</f>
        <v>0</v>
      </c>
      <c r="S140" s="117" t="str">
        <f>IF(B140="","",O140*M140)</f>
        <v/>
      </c>
    </row>
    <row r="141">
      <c r="A141" s="53" t="n">
        <v>82</v>
      </c>
      <c r="B141" s="53" t="str">
        <f>IF(A141&gt;$C$38,"",IF(A141&lt;=$C$5,"Básico",IF($C$6&gt;0,"Sucesivo","Opción de compra")))</f>
        <v/>
      </c>
      <c r="C141" s="53" t="str">
        <f>IF(B141="","",IF(B141="Opción de compra",$C$5,A141-$C$7))</f>
        <v/>
      </c>
      <c r="D141" s="130" t="str">
        <f>IF(B141="","",EDATE($C$33,C141))</f>
        <v/>
      </c>
      <c r="E141" s="117" t="str">
        <f>IF(B141="","",I140)</f>
        <v/>
      </c>
      <c r="F141" s="117" t="str">
        <f>IF(B141="","",IF(B141="Básico",$C$24,IF(B141="Sucesivo",$C$25,$C$26)))</f>
        <v/>
      </c>
      <c r="G141" s="117" t="str">
        <f>IF(B141="","",IF(B141="Opción de compra",0,(E141-$C$7*F141)*IF(B141="Sucesivo",$C$11,$C$9)))</f>
        <v/>
      </c>
      <c r="H141" s="117" t="str">
        <f>IF(B141="","",F141-G141)</f>
        <v/>
      </c>
      <c r="I141" s="117" t="str">
        <f>IF(B141="","",E141-H141)</f>
        <v/>
      </c>
      <c r="J141" s="117" t="str">
        <f>IF(B141="","",IF(OR(inp_Tipo="Arrendamiento Puro",par_BaseIVAFin="Sobre renta",B141="Opción de compra"),F141,G141)*$C$14)</f>
        <v/>
      </c>
      <c r="K141" s="117" t="str">
        <f>IF(B141="","",F141+J141)</f>
        <v/>
      </c>
      <c r="L141" s="117" t="str">
        <f>IF(B141="","",F141-IF(A141=$C$38,$C$30,0))</f>
        <v/>
      </c>
      <c r="M141" s="131" t="str">
        <f>IF(B141="","",$C$37*(1+$C$13)^(-C141))</f>
        <v/>
      </c>
      <c r="N141" s="117" t="str">
        <f>IF(B141="","",L141*M141)</f>
        <v/>
      </c>
      <c r="O141" s="117" t="str">
        <f>IF(B141="","",IF(B141="Básico",F141,0)-IF(A141=$C$38,$C$30,0))</f>
        <v/>
      </c>
      <c r="P141" s="130">
        <f>IF(B141="",$C$31,D141)</f>
        <v>46301.0</v>
      </c>
      <c r="Q141" s="117">
        <f>IF(B141="",0,L141)</f>
        <v>0</v>
      </c>
      <c r="R141" s="117">
        <f>IF(B141="",0,-F141)</f>
        <v>0</v>
      </c>
      <c r="S141" s="117" t="str">
        <f>IF(B141="","",O141*M141)</f>
        <v/>
      </c>
    </row>
    <row r="142">
      <c r="A142" s="53" t="n">
        <v>83</v>
      </c>
      <c r="B142" s="53" t="str">
        <f>IF(A142&gt;$C$38,"",IF(A142&lt;=$C$5,"Básico",IF($C$6&gt;0,"Sucesivo","Opción de compra")))</f>
        <v/>
      </c>
      <c r="C142" s="53" t="str">
        <f>IF(B142="","",IF(B142="Opción de compra",$C$5,A142-$C$7))</f>
        <v/>
      </c>
      <c r="D142" s="130" t="str">
        <f>IF(B142="","",EDATE($C$33,C142))</f>
        <v/>
      </c>
      <c r="E142" s="117" t="str">
        <f>IF(B142="","",I141)</f>
        <v/>
      </c>
      <c r="F142" s="117" t="str">
        <f>IF(B142="","",IF(B142="Básico",$C$24,IF(B142="Sucesivo",$C$25,$C$26)))</f>
        <v/>
      </c>
      <c r="G142" s="117" t="str">
        <f>IF(B142="","",IF(B142="Opción de compra",0,(E142-$C$7*F142)*IF(B142="Sucesivo",$C$11,$C$9)))</f>
        <v/>
      </c>
      <c r="H142" s="117" t="str">
        <f>IF(B142="","",F142-G142)</f>
        <v/>
      </c>
      <c r="I142" s="117" t="str">
        <f>IF(B142="","",E142-H142)</f>
        <v/>
      </c>
      <c r="J142" s="117" t="str">
        <f>IF(B142="","",IF(OR(inp_Tipo="Arrendamiento Puro",par_BaseIVAFin="Sobre renta",B142="Opción de compra"),F142,G142)*$C$14)</f>
        <v/>
      </c>
      <c r="K142" s="117" t="str">
        <f>IF(B142="","",F142+J142)</f>
        <v/>
      </c>
      <c r="L142" s="117" t="str">
        <f>IF(B142="","",F142-IF(A142=$C$38,$C$30,0))</f>
        <v/>
      </c>
      <c r="M142" s="131" t="str">
        <f>IF(B142="","",$C$37*(1+$C$13)^(-C142))</f>
        <v/>
      </c>
      <c r="N142" s="117" t="str">
        <f>IF(B142="","",L142*M142)</f>
        <v/>
      </c>
      <c r="O142" s="117" t="str">
        <f>IF(B142="","",IF(B142="Básico",F142,0)-IF(A142=$C$38,$C$30,0))</f>
        <v/>
      </c>
      <c r="P142" s="130">
        <f>IF(B142="",$C$31,D142)</f>
        <v>46301.0</v>
      </c>
      <c r="Q142" s="117">
        <f>IF(B142="",0,L142)</f>
        <v>0</v>
      </c>
      <c r="R142" s="117">
        <f>IF(B142="",0,-F142)</f>
        <v>0</v>
      </c>
      <c r="S142" s="117" t="str">
        <f>IF(B142="","",O142*M142)</f>
        <v/>
      </c>
    </row>
    <row r="143">
      <c r="A143" s="53" t="n">
        <v>84</v>
      </c>
      <c r="B143" s="53" t="str">
        <f>IF(A143&gt;$C$38,"",IF(A143&lt;=$C$5,"Básico",IF($C$6&gt;0,"Sucesivo","Opción de compra")))</f>
        <v/>
      </c>
      <c r="C143" s="53" t="str">
        <f>IF(B143="","",IF(B143="Opción de compra",$C$5,A143-$C$7))</f>
        <v/>
      </c>
      <c r="D143" s="130" t="str">
        <f>IF(B143="","",EDATE($C$33,C143))</f>
        <v/>
      </c>
      <c r="E143" s="117" t="str">
        <f>IF(B143="","",I142)</f>
        <v/>
      </c>
      <c r="F143" s="117" t="str">
        <f>IF(B143="","",IF(B143="Básico",$C$24,IF(B143="Sucesivo",$C$25,$C$26)))</f>
        <v/>
      </c>
      <c r="G143" s="117" t="str">
        <f>IF(B143="","",IF(B143="Opción de compra",0,(E143-$C$7*F143)*IF(B143="Sucesivo",$C$11,$C$9)))</f>
        <v/>
      </c>
      <c r="H143" s="117" t="str">
        <f>IF(B143="","",F143-G143)</f>
        <v/>
      </c>
      <c r="I143" s="117" t="str">
        <f>IF(B143="","",E143-H143)</f>
        <v/>
      </c>
      <c r="J143" s="117" t="str">
        <f>IF(B143="","",IF(OR(inp_Tipo="Arrendamiento Puro",par_BaseIVAFin="Sobre renta",B143="Opción de compra"),F143,G143)*$C$14)</f>
        <v/>
      </c>
      <c r="K143" s="117" t="str">
        <f>IF(B143="","",F143+J143)</f>
        <v/>
      </c>
      <c r="L143" s="117" t="str">
        <f>IF(B143="","",F143-IF(A143=$C$38,$C$30,0))</f>
        <v/>
      </c>
      <c r="M143" s="131" t="str">
        <f>IF(B143="","",$C$37*(1+$C$13)^(-C143))</f>
        <v/>
      </c>
      <c r="N143" s="117" t="str">
        <f>IF(B143="","",L143*M143)</f>
        <v/>
      </c>
      <c r="O143" s="117" t="str">
        <f>IF(B143="","",IF(B143="Básico",F143,0)-IF(A143=$C$38,$C$30,0))</f>
        <v/>
      </c>
      <c r="P143" s="130">
        <f>IF(B143="",$C$31,D143)</f>
        <v>46301.0</v>
      </c>
      <c r="Q143" s="117">
        <f>IF(B143="",0,L143)</f>
        <v>0</v>
      </c>
      <c r="R143" s="117">
        <f>IF(B143="",0,-F143)</f>
        <v>0</v>
      </c>
      <c r="S143" s="117" t="str">
        <f>IF(B143="","",O143*M143)</f>
        <v/>
      </c>
    </row>
    <row r="144">
      <c r="A144" s="53" t="n">
        <v>85</v>
      </c>
      <c r="B144" s="53" t="str">
        <f>IF(A144&gt;$C$38,"",IF(A144&lt;=$C$5,"Básico",IF($C$6&gt;0,"Sucesivo","Opción de compra")))</f>
        <v/>
      </c>
      <c r="C144" s="53" t="str">
        <f>IF(B144="","",IF(B144="Opción de compra",$C$5,A144-$C$7))</f>
        <v/>
      </c>
      <c r="D144" s="130" t="str">
        <f>IF(B144="","",EDATE($C$33,C144))</f>
        <v/>
      </c>
      <c r="E144" s="117" t="str">
        <f>IF(B144="","",I143)</f>
        <v/>
      </c>
      <c r="F144" s="117" t="str">
        <f>IF(B144="","",IF(B144="Básico",$C$24,IF(B144="Sucesivo",$C$25,$C$26)))</f>
        <v/>
      </c>
      <c r="G144" s="117" t="str">
        <f>IF(B144="","",IF(B144="Opción de compra",0,(E144-$C$7*F144)*IF(B144="Sucesivo",$C$11,$C$9)))</f>
        <v/>
      </c>
      <c r="H144" s="117" t="str">
        <f>IF(B144="","",F144-G144)</f>
        <v/>
      </c>
      <c r="I144" s="117" t="str">
        <f>IF(B144="","",E144-H144)</f>
        <v/>
      </c>
      <c r="J144" s="117" t="str">
        <f>IF(B144="","",IF(OR(inp_Tipo="Arrendamiento Puro",par_BaseIVAFin="Sobre renta",B144="Opción de compra"),F144,G144)*$C$14)</f>
        <v/>
      </c>
      <c r="K144" s="117" t="str">
        <f>IF(B144="","",F144+J144)</f>
        <v/>
      </c>
      <c r="L144" s="117" t="str">
        <f>IF(B144="","",F144-IF(A144=$C$38,$C$30,0))</f>
        <v/>
      </c>
      <c r="M144" s="131" t="str">
        <f>IF(B144="","",$C$37*(1+$C$13)^(-C144))</f>
        <v/>
      </c>
      <c r="N144" s="117" t="str">
        <f>IF(B144="","",L144*M144)</f>
        <v/>
      </c>
      <c r="O144" s="117" t="str">
        <f>IF(B144="","",IF(B144="Básico",F144,0)-IF(A144=$C$38,$C$30,0))</f>
        <v/>
      </c>
      <c r="P144" s="130">
        <f>IF(B144="",$C$31,D144)</f>
        <v>46301.0</v>
      </c>
      <c r="Q144" s="117">
        <f>IF(B144="",0,L144)</f>
        <v>0</v>
      </c>
      <c r="R144" s="117">
        <f>IF(B144="",0,-F144)</f>
        <v>0</v>
      </c>
      <c r="S144" s="117" t="str">
        <f>IF(B144="","",O144*M144)</f>
        <v/>
      </c>
    </row>
    <row r="145">
      <c r="A145" s="53" t="n">
        <v>86</v>
      </c>
      <c r="B145" s="53" t="str">
        <f>IF(A145&gt;$C$38,"",IF(A145&lt;=$C$5,"Básico",IF($C$6&gt;0,"Sucesivo","Opción de compra")))</f>
        <v/>
      </c>
      <c r="C145" s="53" t="str">
        <f>IF(B145="","",IF(B145="Opción de compra",$C$5,A145-$C$7))</f>
        <v/>
      </c>
      <c r="D145" s="130" t="str">
        <f>IF(B145="","",EDATE($C$33,C145))</f>
        <v/>
      </c>
      <c r="E145" s="117" t="str">
        <f>IF(B145="","",I144)</f>
        <v/>
      </c>
      <c r="F145" s="117" t="str">
        <f>IF(B145="","",IF(B145="Básico",$C$24,IF(B145="Sucesivo",$C$25,$C$26)))</f>
        <v/>
      </c>
      <c r="G145" s="117" t="str">
        <f>IF(B145="","",IF(B145="Opción de compra",0,(E145-$C$7*F145)*IF(B145="Sucesivo",$C$11,$C$9)))</f>
        <v/>
      </c>
      <c r="H145" s="117" t="str">
        <f>IF(B145="","",F145-G145)</f>
        <v/>
      </c>
      <c r="I145" s="117" t="str">
        <f>IF(B145="","",E145-H145)</f>
        <v/>
      </c>
      <c r="J145" s="117" t="str">
        <f>IF(B145="","",IF(OR(inp_Tipo="Arrendamiento Puro",par_BaseIVAFin="Sobre renta",B145="Opción de compra"),F145,G145)*$C$14)</f>
        <v/>
      </c>
      <c r="K145" s="117" t="str">
        <f>IF(B145="","",F145+J145)</f>
        <v/>
      </c>
      <c r="L145" s="117" t="str">
        <f>IF(B145="","",F145-IF(A145=$C$38,$C$30,0))</f>
        <v/>
      </c>
      <c r="M145" s="131" t="str">
        <f>IF(B145="","",$C$37*(1+$C$13)^(-C145))</f>
        <v/>
      </c>
      <c r="N145" s="117" t="str">
        <f>IF(B145="","",L145*M145)</f>
        <v/>
      </c>
      <c r="O145" s="117" t="str">
        <f>IF(B145="","",IF(B145="Básico",F145,0)-IF(A145=$C$38,$C$30,0))</f>
        <v/>
      </c>
      <c r="P145" s="130">
        <f>IF(B145="",$C$31,D145)</f>
        <v>46301.0</v>
      </c>
      <c r="Q145" s="117">
        <f>IF(B145="",0,L145)</f>
        <v>0</v>
      </c>
      <c r="R145" s="117">
        <f>IF(B145="",0,-F145)</f>
        <v>0</v>
      </c>
      <c r="S145" s="117" t="str">
        <f>IF(B145="","",O145*M145)</f>
        <v/>
      </c>
    </row>
    <row r="146">
      <c r="A146" s="53" t="n">
        <v>87</v>
      </c>
      <c r="B146" s="53" t="str">
        <f>IF(A146&gt;$C$38,"",IF(A146&lt;=$C$5,"Básico",IF($C$6&gt;0,"Sucesivo","Opción de compra")))</f>
        <v/>
      </c>
      <c r="C146" s="53" t="str">
        <f>IF(B146="","",IF(B146="Opción de compra",$C$5,A146-$C$7))</f>
        <v/>
      </c>
      <c r="D146" s="130" t="str">
        <f>IF(B146="","",EDATE($C$33,C146))</f>
        <v/>
      </c>
      <c r="E146" s="117" t="str">
        <f>IF(B146="","",I145)</f>
        <v/>
      </c>
      <c r="F146" s="117" t="str">
        <f>IF(B146="","",IF(B146="Básico",$C$24,IF(B146="Sucesivo",$C$25,$C$26)))</f>
        <v/>
      </c>
      <c r="G146" s="117" t="str">
        <f>IF(B146="","",IF(B146="Opción de compra",0,(E146-$C$7*F146)*IF(B146="Sucesivo",$C$11,$C$9)))</f>
        <v/>
      </c>
      <c r="H146" s="117" t="str">
        <f>IF(B146="","",F146-G146)</f>
        <v/>
      </c>
      <c r="I146" s="117" t="str">
        <f>IF(B146="","",E146-H146)</f>
        <v/>
      </c>
      <c r="J146" s="117" t="str">
        <f>IF(B146="","",IF(OR(inp_Tipo="Arrendamiento Puro",par_BaseIVAFin="Sobre renta",B146="Opción de compra"),F146,G146)*$C$14)</f>
        <v/>
      </c>
      <c r="K146" s="117" t="str">
        <f>IF(B146="","",F146+J146)</f>
        <v/>
      </c>
      <c r="L146" s="117" t="str">
        <f>IF(B146="","",F146-IF(A146=$C$38,$C$30,0))</f>
        <v/>
      </c>
      <c r="M146" s="131" t="str">
        <f>IF(B146="","",$C$37*(1+$C$13)^(-C146))</f>
        <v/>
      </c>
      <c r="N146" s="117" t="str">
        <f>IF(B146="","",L146*M146)</f>
        <v/>
      </c>
      <c r="O146" s="117" t="str">
        <f>IF(B146="","",IF(B146="Básico",F146,0)-IF(A146=$C$38,$C$30,0))</f>
        <v/>
      </c>
      <c r="P146" s="130">
        <f>IF(B146="",$C$31,D146)</f>
        <v>46301.0</v>
      </c>
      <c r="Q146" s="117">
        <f>IF(B146="",0,L146)</f>
        <v>0</v>
      </c>
      <c r="R146" s="117">
        <f>IF(B146="",0,-F146)</f>
        <v>0</v>
      </c>
      <c r="S146" s="117" t="str">
        <f>IF(B146="","",O146*M146)</f>
        <v/>
      </c>
    </row>
    <row r="147">
      <c r="A147" s="53" t="n">
        <v>88</v>
      </c>
      <c r="B147" s="53" t="str">
        <f>IF(A147&gt;$C$38,"",IF(A147&lt;=$C$5,"Básico",IF($C$6&gt;0,"Sucesivo","Opción de compra")))</f>
        <v/>
      </c>
      <c r="C147" s="53" t="str">
        <f>IF(B147="","",IF(B147="Opción de compra",$C$5,A147-$C$7))</f>
        <v/>
      </c>
      <c r="D147" s="130" t="str">
        <f>IF(B147="","",EDATE($C$33,C147))</f>
        <v/>
      </c>
      <c r="E147" s="117" t="str">
        <f>IF(B147="","",I146)</f>
        <v/>
      </c>
      <c r="F147" s="117" t="str">
        <f>IF(B147="","",IF(B147="Básico",$C$24,IF(B147="Sucesivo",$C$25,$C$26)))</f>
        <v/>
      </c>
      <c r="G147" s="117" t="str">
        <f>IF(B147="","",IF(B147="Opción de compra",0,(E147-$C$7*F147)*IF(B147="Sucesivo",$C$11,$C$9)))</f>
        <v/>
      </c>
      <c r="H147" s="117" t="str">
        <f>IF(B147="","",F147-G147)</f>
        <v/>
      </c>
      <c r="I147" s="117" t="str">
        <f>IF(B147="","",E147-H147)</f>
        <v/>
      </c>
      <c r="J147" s="117" t="str">
        <f>IF(B147="","",IF(OR(inp_Tipo="Arrendamiento Puro",par_BaseIVAFin="Sobre renta",B147="Opción de compra"),F147,G147)*$C$14)</f>
        <v/>
      </c>
      <c r="K147" s="117" t="str">
        <f>IF(B147="","",F147+J147)</f>
        <v/>
      </c>
      <c r="L147" s="117" t="str">
        <f>IF(B147="","",F147-IF(A147=$C$38,$C$30,0))</f>
        <v/>
      </c>
      <c r="M147" s="131" t="str">
        <f>IF(B147="","",$C$37*(1+$C$13)^(-C147))</f>
        <v/>
      </c>
      <c r="N147" s="117" t="str">
        <f>IF(B147="","",L147*M147)</f>
        <v/>
      </c>
      <c r="O147" s="117" t="str">
        <f>IF(B147="","",IF(B147="Básico",F147,0)-IF(A147=$C$38,$C$30,0))</f>
        <v/>
      </c>
      <c r="P147" s="130">
        <f>IF(B147="",$C$31,D147)</f>
        <v>46301.0</v>
      </c>
      <c r="Q147" s="117">
        <f>IF(B147="",0,L147)</f>
        <v>0</v>
      </c>
      <c r="R147" s="117">
        <f>IF(B147="",0,-F147)</f>
        <v>0</v>
      </c>
      <c r="S147" s="117" t="str">
        <f>IF(B147="","",O147*M147)</f>
        <v/>
      </c>
    </row>
    <row r="148">
      <c r="A148" s="53" t="n">
        <v>89</v>
      </c>
      <c r="B148" s="53" t="str">
        <f>IF(A148&gt;$C$38,"",IF(A148&lt;=$C$5,"Básico",IF($C$6&gt;0,"Sucesivo","Opción de compra")))</f>
        <v/>
      </c>
      <c r="C148" s="53" t="str">
        <f>IF(B148="","",IF(B148="Opción de compra",$C$5,A148-$C$7))</f>
        <v/>
      </c>
      <c r="D148" s="130" t="str">
        <f>IF(B148="","",EDATE($C$33,C148))</f>
        <v/>
      </c>
      <c r="E148" s="117" t="str">
        <f>IF(B148="","",I147)</f>
        <v/>
      </c>
      <c r="F148" s="117" t="str">
        <f>IF(B148="","",IF(B148="Básico",$C$24,IF(B148="Sucesivo",$C$25,$C$26)))</f>
        <v/>
      </c>
      <c r="G148" s="117" t="str">
        <f>IF(B148="","",IF(B148="Opción de compra",0,(E148-$C$7*F148)*IF(B148="Sucesivo",$C$11,$C$9)))</f>
        <v/>
      </c>
      <c r="H148" s="117" t="str">
        <f>IF(B148="","",F148-G148)</f>
        <v/>
      </c>
      <c r="I148" s="117" t="str">
        <f>IF(B148="","",E148-H148)</f>
        <v/>
      </c>
      <c r="J148" s="117" t="str">
        <f>IF(B148="","",IF(OR(inp_Tipo="Arrendamiento Puro",par_BaseIVAFin="Sobre renta",B148="Opción de compra"),F148,G148)*$C$14)</f>
        <v/>
      </c>
      <c r="K148" s="117" t="str">
        <f>IF(B148="","",F148+J148)</f>
        <v/>
      </c>
      <c r="L148" s="117" t="str">
        <f>IF(B148="","",F148-IF(A148=$C$38,$C$30,0))</f>
        <v/>
      </c>
      <c r="M148" s="131" t="str">
        <f>IF(B148="","",$C$37*(1+$C$13)^(-C148))</f>
        <v/>
      </c>
      <c r="N148" s="117" t="str">
        <f>IF(B148="","",L148*M148)</f>
        <v/>
      </c>
      <c r="O148" s="117" t="str">
        <f>IF(B148="","",IF(B148="Básico",F148,0)-IF(A148=$C$38,$C$30,0))</f>
        <v/>
      </c>
      <c r="P148" s="130">
        <f>IF(B148="",$C$31,D148)</f>
        <v>46301.0</v>
      </c>
      <c r="Q148" s="117">
        <f>IF(B148="",0,L148)</f>
        <v>0</v>
      </c>
      <c r="R148" s="117">
        <f>IF(B148="",0,-F148)</f>
        <v>0</v>
      </c>
      <c r="S148" s="117" t="str">
        <f>IF(B148="","",O148*M148)</f>
        <v/>
      </c>
    </row>
    <row r="149">
      <c r="A149" s="53" t="n">
        <v>90</v>
      </c>
      <c r="B149" s="53" t="str">
        <f>IF(A149&gt;$C$38,"",IF(A149&lt;=$C$5,"Básico",IF($C$6&gt;0,"Sucesivo","Opción de compra")))</f>
        <v/>
      </c>
      <c r="C149" s="53" t="str">
        <f>IF(B149="","",IF(B149="Opción de compra",$C$5,A149-$C$7))</f>
        <v/>
      </c>
      <c r="D149" s="130" t="str">
        <f>IF(B149="","",EDATE($C$33,C149))</f>
        <v/>
      </c>
      <c r="E149" s="117" t="str">
        <f>IF(B149="","",I148)</f>
        <v/>
      </c>
      <c r="F149" s="117" t="str">
        <f>IF(B149="","",IF(B149="Básico",$C$24,IF(B149="Sucesivo",$C$25,$C$26)))</f>
        <v/>
      </c>
      <c r="G149" s="117" t="str">
        <f>IF(B149="","",IF(B149="Opción de compra",0,(E149-$C$7*F149)*IF(B149="Sucesivo",$C$11,$C$9)))</f>
        <v/>
      </c>
      <c r="H149" s="117" t="str">
        <f>IF(B149="","",F149-G149)</f>
        <v/>
      </c>
      <c r="I149" s="117" t="str">
        <f>IF(B149="","",E149-H149)</f>
        <v/>
      </c>
      <c r="J149" s="117" t="str">
        <f>IF(B149="","",IF(OR(inp_Tipo="Arrendamiento Puro",par_BaseIVAFin="Sobre renta",B149="Opción de compra"),F149,G149)*$C$14)</f>
        <v/>
      </c>
      <c r="K149" s="117" t="str">
        <f>IF(B149="","",F149+J149)</f>
        <v/>
      </c>
      <c r="L149" s="117" t="str">
        <f>IF(B149="","",F149-IF(A149=$C$38,$C$30,0))</f>
        <v/>
      </c>
      <c r="M149" s="131" t="str">
        <f>IF(B149="","",$C$37*(1+$C$13)^(-C149))</f>
        <v/>
      </c>
      <c r="N149" s="117" t="str">
        <f>IF(B149="","",L149*M149)</f>
        <v/>
      </c>
      <c r="O149" s="117" t="str">
        <f>IF(B149="","",IF(B149="Básico",F149,0)-IF(A149=$C$38,$C$30,0))</f>
        <v/>
      </c>
      <c r="P149" s="130">
        <f>IF(B149="",$C$31,D149)</f>
        <v>46301.0</v>
      </c>
      <c r="Q149" s="117">
        <f>IF(B149="",0,L149)</f>
        <v>0</v>
      </c>
      <c r="R149" s="117">
        <f>IF(B149="",0,-F149)</f>
        <v>0</v>
      </c>
      <c r="S149" s="117" t="str">
        <f>IF(B149="","",O149*M149)</f>
        <v/>
      </c>
    </row>
    <row r="150">
      <c r="A150" s="53" t="n">
        <v>91</v>
      </c>
      <c r="B150" s="53" t="str">
        <f>IF(A150&gt;$C$38,"",IF(A150&lt;=$C$5,"Básico",IF($C$6&gt;0,"Sucesivo","Opción de compra")))</f>
        <v/>
      </c>
      <c r="C150" s="53" t="str">
        <f>IF(B150="","",IF(B150="Opción de compra",$C$5,A150-$C$7))</f>
        <v/>
      </c>
      <c r="D150" s="130" t="str">
        <f>IF(B150="","",EDATE($C$33,C150))</f>
        <v/>
      </c>
      <c r="E150" s="117" t="str">
        <f>IF(B150="","",I149)</f>
        <v/>
      </c>
      <c r="F150" s="117" t="str">
        <f>IF(B150="","",IF(B150="Básico",$C$24,IF(B150="Sucesivo",$C$25,$C$26)))</f>
        <v/>
      </c>
      <c r="G150" s="117" t="str">
        <f>IF(B150="","",IF(B150="Opción de compra",0,(E150-$C$7*F150)*IF(B150="Sucesivo",$C$11,$C$9)))</f>
        <v/>
      </c>
      <c r="H150" s="117" t="str">
        <f>IF(B150="","",F150-G150)</f>
        <v/>
      </c>
      <c r="I150" s="117" t="str">
        <f>IF(B150="","",E150-H150)</f>
        <v/>
      </c>
      <c r="J150" s="117" t="str">
        <f>IF(B150="","",IF(OR(inp_Tipo="Arrendamiento Puro",par_BaseIVAFin="Sobre renta",B150="Opción de compra"),F150,G150)*$C$14)</f>
        <v/>
      </c>
      <c r="K150" s="117" t="str">
        <f>IF(B150="","",F150+J150)</f>
        <v/>
      </c>
      <c r="L150" s="117" t="str">
        <f>IF(B150="","",F150-IF(A150=$C$38,$C$30,0))</f>
        <v/>
      </c>
      <c r="M150" s="131" t="str">
        <f>IF(B150="","",$C$37*(1+$C$13)^(-C150))</f>
        <v/>
      </c>
      <c r="N150" s="117" t="str">
        <f>IF(B150="","",L150*M150)</f>
        <v/>
      </c>
      <c r="O150" s="117" t="str">
        <f>IF(B150="","",IF(B150="Básico",F150,0)-IF(A150=$C$38,$C$30,0))</f>
        <v/>
      </c>
      <c r="P150" s="130">
        <f>IF(B150="",$C$31,D150)</f>
        <v>46301.0</v>
      </c>
      <c r="Q150" s="117">
        <f>IF(B150="",0,L150)</f>
        <v>0</v>
      </c>
      <c r="R150" s="117">
        <f>IF(B150="",0,-F150)</f>
        <v>0</v>
      </c>
      <c r="S150" s="117" t="str">
        <f>IF(B150="","",O150*M150)</f>
        <v/>
      </c>
    </row>
    <row r="151">
      <c r="A151" s="53" t="n">
        <v>92</v>
      </c>
      <c r="B151" s="53" t="str">
        <f>IF(A151&gt;$C$38,"",IF(A151&lt;=$C$5,"Básico",IF($C$6&gt;0,"Sucesivo","Opción de compra")))</f>
        <v/>
      </c>
      <c r="C151" s="53" t="str">
        <f>IF(B151="","",IF(B151="Opción de compra",$C$5,A151-$C$7))</f>
        <v/>
      </c>
      <c r="D151" s="130" t="str">
        <f>IF(B151="","",EDATE($C$33,C151))</f>
        <v/>
      </c>
      <c r="E151" s="117" t="str">
        <f>IF(B151="","",I150)</f>
        <v/>
      </c>
      <c r="F151" s="117" t="str">
        <f>IF(B151="","",IF(B151="Básico",$C$24,IF(B151="Sucesivo",$C$25,$C$26)))</f>
        <v/>
      </c>
      <c r="G151" s="117" t="str">
        <f>IF(B151="","",IF(B151="Opción de compra",0,(E151-$C$7*F151)*IF(B151="Sucesivo",$C$11,$C$9)))</f>
        <v/>
      </c>
      <c r="H151" s="117" t="str">
        <f>IF(B151="","",F151-G151)</f>
        <v/>
      </c>
      <c r="I151" s="117" t="str">
        <f>IF(B151="","",E151-H151)</f>
        <v/>
      </c>
      <c r="J151" s="117" t="str">
        <f>IF(B151="","",IF(OR(inp_Tipo="Arrendamiento Puro",par_BaseIVAFin="Sobre renta",B151="Opción de compra"),F151,G151)*$C$14)</f>
        <v/>
      </c>
      <c r="K151" s="117" t="str">
        <f>IF(B151="","",F151+J151)</f>
        <v/>
      </c>
      <c r="L151" s="117" t="str">
        <f>IF(B151="","",F151-IF(A151=$C$38,$C$30,0))</f>
        <v/>
      </c>
      <c r="M151" s="131" t="str">
        <f>IF(B151="","",$C$37*(1+$C$13)^(-C151))</f>
        <v/>
      </c>
      <c r="N151" s="117" t="str">
        <f>IF(B151="","",L151*M151)</f>
        <v/>
      </c>
      <c r="O151" s="117" t="str">
        <f>IF(B151="","",IF(B151="Básico",F151,0)-IF(A151=$C$38,$C$30,0))</f>
        <v/>
      </c>
      <c r="P151" s="130">
        <f>IF(B151="",$C$31,D151)</f>
        <v>46301.0</v>
      </c>
      <c r="Q151" s="117">
        <f>IF(B151="",0,L151)</f>
        <v>0</v>
      </c>
      <c r="R151" s="117">
        <f>IF(B151="",0,-F151)</f>
        <v>0</v>
      </c>
      <c r="S151" s="117" t="str">
        <f>IF(B151="","",O151*M151)</f>
        <v/>
      </c>
    </row>
    <row r="152">
      <c r="A152" s="53" t="n">
        <v>93</v>
      </c>
      <c r="B152" s="53" t="str">
        <f>IF(A152&gt;$C$38,"",IF(A152&lt;=$C$5,"Básico",IF($C$6&gt;0,"Sucesivo","Opción de compra")))</f>
        <v/>
      </c>
      <c r="C152" s="53" t="str">
        <f>IF(B152="","",IF(B152="Opción de compra",$C$5,A152-$C$7))</f>
        <v/>
      </c>
      <c r="D152" s="130" t="str">
        <f>IF(B152="","",EDATE($C$33,C152))</f>
        <v/>
      </c>
      <c r="E152" s="117" t="str">
        <f>IF(B152="","",I151)</f>
        <v/>
      </c>
      <c r="F152" s="117" t="str">
        <f>IF(B152="","",IF(B152="Básico",$C$24,IF(B152="Sucesivo",$C$25,$C$26)))</f>
        <v/>
      </c>
      <c r="G152" s="117" t="str">
        <f>IF(B152="","",IF(B152="Opción de compra",0,(E152-$C$7*F152)*IF(B152="Sucesivo",$C$11,$C$9)))</f>
        <v/>
      </c>
      <c r="H152" s="117" t="str">
        <f>IF(B152="","",F152-G152)</f>
        <v/>
      </c>
      <c r="I152" s="117" t="str">
        <f>IF(B152="","",E152-H152)</f>
        <v/>
      </c>
      <c r="J152" s="117" t="str">
        <f>IF(B152="","",IF(OR(inp_Tipo="Arrendamiento Puro",par_BaseIVAFin="Sobre renta",B152="Opción de compra"),F152,G152)*$C$14)</f>
        <v/>
      </c>
      <c r="K152" s="117" t="str">
        <f>IF(B152="","",F152+J152)</f>
        <v/>
      </c>
      <c r="L152" s="117" t="str">
        <f>IF(B152="","",F152-IF(A152=$C$38,$C$30,0))</f>
        <v/>
      </c>
      <c r="M152" s="131" t="str">
        <f>IF(B152="","",$C$37*(1+$C$13)^(-C152))</f>
        <v/>
      </c>
      <c r="N152" s="117" t="str">
        <f>IF(B152="","",L152*M152)</f>
        <v/>
      </c>
      <c r="O152" s="117" t="str">
        <f>IF(B152="","",IF(B152="Básico",F152,0)-IF(A152=$C$38,$C$30,0))</f>
        <v/>
      </c>
      <c r="P152" s="130">
        <f>IF(B152="",$C$31,D152)</f>
        <v>46301.0</v>
      </c>
      <c r="Q152" s="117">
        <f>IF(B152="",0,L152)</f>
        <v>0</v>
      </c>
      <c r="R152" s="117">
        <f>IF(B152="",0,-F152)</f>
        <v>0</v>
      </c>
      <c r="S152" s="117" t="str">
        <f>IF(B152="","",O152*M152)</f>
        <v/>
      </c>
    </row>
    <row r="153">
      <c r="A153" s="53" t="n">
        <v>94</v>
      </c>
      <c r="B153" s="53" t="str">
        <f>IF(A153&gt;$C$38,"",IF(A153&lt;=$C$5,"Básico",IF($C$6&gt;0,"Sucesivo","Opción de compra")))</f>
        <v/>
      </c>
      <c r="C153" s="53" t="str">
        <f>IF(B153="","",IF(B153="Opción de compra",$C$5,A153-$C$7))</f>
        <v/>
      </c>
      <c r="D153" s="130" t="str">
        <f>IF(B153="","",EDATE($C$33,C153))</f>
        <v/>
      </c>
      <c r="E153" s="117" t="str">
        <f>IF(B153="","",I152)</f>
        <v/>
      </c>
      <c r="F153" s="117" t="str">
        <f>IF(B153="","",IF(B153="Básico",$C$24,IF(B153="Sucesivo",$C$25,$C$26)))</f>
        <v/>
      </c>
      <c r="G153" s="117" t="str">
        <f>IF(B153="","",IF(B153="Opción de compra",0,(E153-$C$7*F153)*IF(B153="Sucesivo",$C$11,$C$9)))</f>
        <v/>
      </c>
      <c r="H153" s="117" t="str">
        <f>IF(B153="","",F153-G153)</f>
        <v/>
      </c>
      <c r="I153" s="117" t="str">
        <f>IF(B153="","",E153-H153)</f>
        <v/>
      </c>
      <c r="J153" s="117" t="str">
        <f>IF(B153="","",IF(OR(inp_Tipo="Arrendamiento Puro",par_BaseIVAFin="Sobre renta",B153="Opción de compra"),F153,G153)*$C$14)</f>
        <v/>
      </c>
      <c r="K153" s="117" t="str">
        <f>IF(B153="","",F153+J153)</f>
        <v/>
      </c>
      <c r="L153" s="117" t="str">
        <f>IF(B153="","",F153-IF(A153=$C$38,$C$30,0))</f>
        <v/>
      </c>
      <c r="M153" s="131" t="str">
        <f>IF(B153="","",$C$37*(1+$C$13)^(-C153))</f>
        <v/>
      </c>
      <c r="N153" s="117" t="str">
        <f>IF(B153="","",L153*M153)</f>
        <v/>
      </c>
      <c r="O153" s="117" t="str">
        <f>IF(B153="","",IF(B153="Básico",F153,0)-IF(A153=$C$38,$C$30,0))</f>
        <v/>
      </c>
      <c r="P153" s="130">
        <f>IF(B153="",$C$31,D153)</f>
        <v>46301.0</v>
      </c>
      <c r="Q153" s="117">
        <f>IF(B153="",0,L153)</f>
        <v>0</v>
      </c>
      <c r="R153" s="117">
        <f>IF(B153="",0,-F153)</f>
        <v>0</v>
      </c>
      <c r="S153" s="117" t="str">
        <f>IF(B153="","",O153*M153)</f>
        <v/>
      </c>
    </row>
    <row r="154">
      <c r="A154" s="53" t="n">
        <v>95</v>
      </c>
      <c r="B154" s="53" t="str">
        <f>IF(A154&gt;$C$38,"",IF(A154&lt;=$C$5,"Básico",IF($C$6&gt;0,"Sucesivo","Opción de compra")))</f>
        <v/>
      </c>
      <c r="C154" s="53" t="str">
        <f>IF(B154="","",IF(B154="Opción de compra",$C$5,A154-$C$7))</f>
        <v/>
      </c>
      <c r="D154" s="130" t="str">
        <f>IF(B154="","",EDATE($C$33,C154))</f>
        <v/>
      </c>
      <c r="E154" s="117" t="str">
        <f>IF(B154="","",I153)</f>
        <v/>
      </c>
      <c r="F154" s="117" t="str">
        <f>IF(B154="","",IF(B154="Básico",$C$24,IF(B154="Sucesivo",$C$25,$C$26)))</f>
        <v/>
      </c>
      <c r="G154" s="117" t="str">
        <f>IF(B154="","",IF(B154="Opción de compra",0,(E154-$C$7*F154)*IF(B154="Sucesivo",$C$11,$C$9)))</f>
        <v/>
      </c>
      <c r="H154" s="117" t="str">
        <f>IF(B154="","",F154-G154)</f>
        <v/>
      </c>
      <c r="I154" s="117" t="str">
        <f>IF(B154="","",E154-H154)</f>
        <v/>
      </c>
      <c r="J154" s="117" t="str">
        <f>IF(B154="","",IF(OR(inp_Tipo="Arrendamiento Puro",par_BaseIVAFin="Sobre renta",B154="Opción de compra"),F154,G154)*$C$14)</f>
        <v/>
      </c>
      <c r="K154" s="117" t="str">
        <f>IF(B154="","",F154+J154)</f>
        <v/>
      </c>
      <c r="L154" s="117" t="str">
        <f>IF(B154="","",F154-IF(A154=$C$38,$C$30,0))</f>
        <v/>
      </c>
      <c r="M154" s="131" t="str">
        <f>IF(B154="","",$C$37*(1+$C$13)^(-C154))</f>
        <v/>
      </c>
      <c r="N154" s="117" t="str">
        <f>IF(B154="","",L154*M154)</f>
        <v/>
      </c>
      <c r="O154" s="117" t="str">
        <f>IF(B154="","",IF(B154="Básico",F154,0)-IF(A154=$C$38,$C$30,0))</f>
        <v/>
      </c>
      <c r="P154" s="130">
        <f>IF(B154="",$C$31,D154)</f>
        <v>46301.0</v>
      </c>
      <c r="Q154" s="117">
        <f>IF(B154="",0,L154)</f>
        <v>0</v>
      </c>
      <c r="R154" s="117">
        <f>IF(B154="",0,-F154)</f>
        <v>0</v>
      </c>
      <c r="S154" s="117" t="str">
        <f>IF(B154="","",O154*M154)</f>
        <v/>
      </c>
    </row>
    <row r="155">
      <c r="A155" s="53" t="n">
        <v>96</v>
      </c>
      <c r="B155" s="53" t="str">
        <f>IF(A155&gt;$C$38,"",IF(A155&lt;=$C$5,"Básico",IF($C$6&gt;0,"Sucesivo","Opción de compra")))</f>
        <v/>
      </c>
      <c r="C155" s="53" t="str">
        <f>IF(B155="","",IF(B155="Opción de compra",$C$5,A155-$C$7))</f>
        <v/>
      </c>
      <c r="D155" s="130" t="str">
        <f>IF(B155="","",EDATE($C$33,C155))</f>
        <v/>
      </c>
      <c r="E155" s="117" t="str">
        <f>IF(B155="","",I154)</f>
        <v/>
      </c>
      <c r="F155" s="117" t="str">
        <f>IF(B155="","",IF(B155="Básico",$C$24,IF(B155="Sucesivo",$C$25,$C$26)))</f>
        <v/>
      </c>
      <c r="G155" s="117" t="str">
        <f>IF(B155="","",IF(B155="Opción de compra",0,(E155-$C$7*F155)*IF(B155="Sucesivo",$C$11,$C$9)))</f>
        <v/>
      </c>
      <c r="H155" s="117" t="str">
        <f>IF(B155="","",F155-G155)</f>
        <v/>
      </c>
      <c r="I155" s="117" t="str">
        <f>IF(B155="","",E155-H155)</f>
        <v/>
      </c>
      <c r="J155" s="117" t="str">
        <f>IF(B155="","",IF(OR(inp_Tipo="Arrendamiento Puro",par_BaseIVAFin="Sobre renta",B155="Opción de compra"),F155,G155)*$C$14)</f>
        <v/>
      </c>
      <c r="K155" s="117" t="str">
        <f>IF(B155="","",F155+J155)</f>
        <v/>
      </c>
      <c r="L155" s="117" t="str">
        <f>IF(B155="","",F155-IF(A155=$C$38,$C$30,0))</f>
        <v/>
      </c>
      <c r="M155" s="131" t="str">
        <f>IF(B155="","",$C$37*(1+$C$13)^(-C155))</f>
        <v/>
      </c>
      <c r="N155" s="117" t="str">
        <f>IF(B155="","",L155*M155)</f>
        <v/>
      </c>
      <c r="O155" s="117" t="str">
        <f>IF(B155="","",IF(B155="Básico",F155,0)-IF(A155=$C$38,$C$30,0))</f>
        <v/>
      </c>
      <c r="P155" s="130">
        <f>IF(B155="",$C$31,D155)</f>
        <v>46301.0</v>
      </c>
      <c r="Q155" s="117">
        <f>IF(B155="",0,L155)</f>
        <v>0</v>
      </c>
      <c r="R155" s="117">
        <f>IF(B155="",0,-F155)</f>
        <v>0</v>
      </c>
      <c r="S155" s="117" t="str">
        <f>IF(B155="","",O155*M155)</f>
        <v/>
      </c>
    </row>
    <row r="156">
      <c r="A156" s="53" t="n">
        <v>97</v>
      </c>
      <c r="B156" s="53" t="str">
        <f>IF(A156&gt;$C$38,"",IF(A156&lt;=$C$5,"Básico",IF($C$6&gt;0,"Sucesivo","Opción de compra")))</f>
        <v/>
      </c>
      <c r="C156" s="53" t="str">
        <f>IF(B156="","",IF(B156="Opción de compra",$C$5,A156-$C$7))</f>
        <v/>
      </c>
      <c r="D156" s="130" t="str">
        <f>IF(B156="","",EDATE($C$33,C156))</f>
        <v/>
      </c>
      <c r="E156" s="117" t="str">
        <f>IF(B156="","",I155)</f>
        <v/>
      </c>
      <c r="F156" s="117" t="str">
        <f>IF(B156="","",IF(B156="Básico",$C$24,IF(B156="Sucesivo",$C$25,$C$26)))</f>
        <v/>
      </c>
      <c r="G156" s="117" t="str">
        <f>IF(B156="","",IF(B156="Opción de compra",0,(E156-$C$7*F156)*IF(B156="Sucesivo",$C$11,$C$9)))</f>
        <v/>
      </c>
      <c r="H156" s="117" t="str">
        <f>IF(B156="","",F156-G156)</f>
        <v/>
      </c>
      <c r="I156" s="117" t="str">
        <f>IF(B156="","",E156-H156)</f>
        <v/>
      </c>
      <c r="J156" s="117" t="str">
        <f>IF(B156="","",IF(OR(inp_Tipo="Arrendamiento Puro",par_BaseIVAFin="Sobre renta",B156="Opción de compra"),F156,G156)*$C$14)</f>
        <v/>
      </c>
      <c r="K156" s="117" t="str">
        <f>IF(B156="","",F156+J156)</f>
        <v/>
      </c>
      <c r="L156" s="117" t="str">
        <f>IF(B156="","",F156-IF(A156=$C$38,$C$30,0))</f>
        <v/>
      </c>
      <c r="M156" s="131" t="str">
        <f>IF(B156="","",$C$37*(1+$C$13)^(-C156))</f>
        <v/>
      </c>
      <c r="N156" s="117" t="str">
        <f>IF(B156="","",L156*M156)</f>
        <v/>
      </c>
      <c r="O156" s="117" t="str">
        <f>IF(B156="","",IF(B156="Básico",F156,0)-IF(A156=$C$38,$C$30,0))</f>
        <v/>
      </c>
      <c r="P156" s="130">
        <f>IF(B156="",$C$31,D156)</f>
        <v>46301.0</v>
      </c>
      <c r="Q156" s="117">
        <f>IF(B156="",0,L156)</f>
        <v>0</v>
      </c>
      <c r="R156" s="117">
        <f>IF(B156="",0,-F156)</f>
        <v>0</v>
      </c>
      <c r="S156" s="117" t="str">
        <f>IF(B156="","",O156*M156)</f>
        <v/>
      </c>
    </row>
    <row r="157">
      <c r="A157" s="53" t="n">
        <v>98</v>
      </c>
      <c r="B157" s="53" t="str">
        <f>IF(A157&gt;$C$38,"",IF(A157&lt;=$C$5,"Básico",IF($C$6&gt;0,"Sucesivo","Opción de compra")))</f>
        <v/>
      </c>
      <c r="C157" s="53" t="str">
        <f>IF(B157="","",IF(B157="Opción de compra",$C$5,A157-$C$7))</f>
        <v/>
      </c>
      <c r="D157" s="130" t="str">
        <f>IF(B157="","",EDATE($C$33,C157))</f>
        <v/>
      </c>
      <c r="E157" s="117" t="str">
        <f>IF(B157="","",I156)</f>
        <v/>
      </c>
      <c r="F157" s="117" t="str">
        <f>IF(B157="","",IF(B157="Básico",$C$24,IF(B157="Sucesivo",$C$25,$C$26)))</f>
        <v/>
      </c>
      <c r="G157" s="117" t="str">
        <f>IF(B157="","",IF(B157="Opción de compra",0,(E157-$C$7*F157)*IF(B157="Sucesivo",$C$11,$C$9)))</f>
        <v/>
      </c>
      <c r="H157" s="117" t="str">
        <f>IF(B157="","",F157-G157)</f>
        <v/>
      </c>
      <c r="I157" s="117" t="str">
        <f>IF(B157="","",E157-H157)</f>
        <v/>
      </c>
      <c r="J157" s="117" t="str">
        <f>IF(B157="","",IF(OR(inp_Tipo="Arrendamiento Puro",par_BaseIVAFin="Sobre renta",B157="Opción de compra"),F157,G157)*$C$14)</f>
        <v/>
      </c>
      <c r="K157" s="117" t="str">
        <f>IF(B157="","",F157+J157)</f>
        <v/>
      </c>
      <c r="L157" s="117" t="str">
        <f>IF(B157="","",F157-IF(A157=$C$38,$C$30,0))</f>
        <v/>
      </c>
      <c r="M157" s="131" t="str">
        <f>IF(B157="","",$C$37*(1+$C$13)^(-C157))</f>
        <v/>
      </c>
      <c r="N157" s="117" t="str">
        <f>IF(B157="","",L157*M157)</f>
        <v/>
      </c>
      <c r="O157" s="117" t="str">
        <f>IF(B157="","",IF(B157="Básico",F157,0)-IF(A157=$C$38,$C$30,0))</f>
        <v/>
      </c>
      <c r="P157" s="130">
        <f>IF(B157="",$C$31,D157)</f>
        <v>46301.0</v>
      </c>
      <c r="Q157" s="117">
        <f>IF(B157="",0,L157)</f>
        <v>0</v>
      </c>
      <c r="R157" s="117">
        <f>IF(B157="",0,-F157)</f>
        <v>0</v>
      </c>
      <c r="S157" s="117" t="str">
        <f>IF(B157="","",O157*M157)</f>
        <v/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 password="D3B7"/>
  <mergeCells count="27">
    <mergeCell ref="E26:H26"/>
    <mergeCell ref="E16:H16"/>
    <mergeCell ref="E7:H7"/>
    <mergeCell ref="E25:H25"/>
    <mergeCell ref="E22:H22"/>
    <mergeCell ref="E18:H18"/>
    <mergeCell ref="E12:H12"/>
    <mergeCell ref="E21:H21"/>
    <mergeCell ref="E24:H24"/>
    <mergeCell ref="E5:H5"/>
    <mergeCell ref="E14:H14"/>
    <mergeCell ref="E17:H17"/>
    <mergeCell ref="E23:H23"/>
    <mergeCell ref="E8:H8"/>
    <mergeCell ref="E4:H4"/>
    <mergeCell ref="E20:H20"/>
    <mergeCell ref="E29:H29"/>
    <mergeCell ref="E19:H19"/>
    <mergeCell ref="E10:H10"/>
    <mergeCell ref="E28:H28"/>
    <mergeCell ref="E34:I40"/>
    <mergeCell ref="E13:H13"/>
    <mergeCell ref="E9:H9"/>
    <mergeCell ref="E6:H6"/>
    <mergeCell ref="E15:H15"/>
    <mergeCell ref="E11:H11"/>
    <mergeCell ref="E27:H27"/>
  </mergeCells>
  <conditionalFormatting sqref="A60:S157">
    <cfRule type="expression" priority="1" dxfId="8">
      <formula>$B60="Sucesivo"</formula>
    </cfRule>
    <cfRule type="expression" priority="2" dxfId="8">
      <formula>$B60="Opción de compra"</formula>
    </cfRule>
  </conditionalFormatting>
  <pageMargins left="0.75" right="0.75" top="1" bottom="1" header="0.5" footer="0.5"/>
  <pageSetup orientation="landscape" fitToHeight="0" fitToWidth="1"/>
</worksheet>
</file>

<file path=xl/worksheets/sheet11.xml><?xml version="1.0" encoding="utf-8"?>
<worksheet xmlns="http://schemas.openxmlformats.org/spreadsheetml/2006/main">
  <sheetPr codeName="Hoja11">
    <tabColor rgb="00808080"/>
    <outlinePr summaryBelow="1" summaryRight="1"/>
    <pageSetUpPr fitToPage="1"/>
  </sheetPr>
  <dimension ref="A1:S157"/>
  <sheetViews>
    <sheetView showGridLines="0" workbookViewId="0">
      <pane xSplit="2" ySplit="58" topLeftCell="C5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7" customWidth="1" min="1" max="1"/>
    <col width="44" customWidth="1" min="2" max="2"/>
    <col width="7" customWidth="1" min="3" max="3"/>
    <col width="12" customWidth="1" min="4" max="4"/>
    <col width="16" customWidth="1" min="5" max="5"/>
    <col width="15" customWidth="1" min="6" max="6"/>
    <col width="14" customWidth="1" min="7" max="7"/>
    <col width="15" customWidth="1" min="8" max="8"/>
    <col width="16" customWidth="1" min="9" max="9"/>
    <col width="13" customWidth="1" min="10" max="10"/>
    <col width="16" customWidth="1" min="11" max="11"/>
    <col width="16" customWidth="1" min="12" max="12"/>
    <col width="11" customWidth="1" min="13" max="13"/>
    <col width="16" customWidth="1" min="14" max="14"/>
    <col width="16" customWidth="1" min="15" max="15"/>
    <col width="12" customWidth="1" min="16" max="16"/>
    <col width="16" customWidth="1" min="17" max="17"/>
    <col width="16" customWidth="1" min="18" max="18"/>
    <col width="16" customWidth="1" min="19" max="19"/>
  </cols>
  <sheetData>
    <row r="1">
      <c r="A1" s="108" t="str">
        <f>"CORRIDA FINANCIERA – PLAZO "&amp;$C$5&amp;" MESES (escenario "&amp;$C$3&amp;")"</f>
        <v>CORRIDA FINANCIERA – PLAZO 24 MESES (escenario 2)</v>
      </c>
    </row>
    <row r="2">
      <c r="A2" s="109" t="inlineStr">
        <is>
          <t>Hoja de cálculo interna (protegida). Todos los datos vienen de la hoja Cotizador.</t>
        </is>
      </c>
    </row>
    <row r="3">
      <c r="B3" s="53" t="inlineStr">
        <is>
          <t>Escenario</t>
        </is>
      </c>
      <c r="C3" s="119" t="n">
        <v>2</v>
      </c>
      <c r="E3" s="120" t="inlineStr">
        <is>
          <t>RESULTADOS DEL ESCENARIO</t>
        </is>
      </c>
      <c r="F3" s="120" t="n"/>
      <c r="G3" s="120" t="n"/>
      <c r="H3" s="120" t="n"/>
      <c r="I3" s="120" t="n"/>
    </row>
    <row r="4">
      <c r="B4" s="53" t="inlineStr">
        <is>
          <t>Incluido en la carta</t>
        </is>
      </c>
      <c r="C4" s="30" t="str">
        <f>INDEX(esc_Incluir,$C$3)</f>
        <v>Sí</v>
      </c>
      <c r="E4" s="53" t="inlineStr">
        <is>
          <t>Cash margin C/R ($) = VP al fondeo de todos los flujos</t>
        </is>
      </c>
      <c r="I4" s="91">
        <f>C41+SUM(N60:N157)</f>
        <v>41036.1575916269</v>
      </c>
    </row>
    <row r="5">
      <c r="B5" s="53" t="inlineStr">
        <is>
          <t>Plazo básico (n, meses)</t>
        </is>
      </c>
      <c r="C5" s="121">
        <f>INDEX(esc_Plazo,$C$3)</f>
        <v>24</v>
      </c>
      <c r="E5" s="53" t="inlineStr">
        <is>
          <t>Cash margin C/R (% del monto financiado)</t>
        </is>
      </c>
      <c r="I5" s="92">
        <f>IFERROR(I4/C19,0)</f>
        <v>0.0601169894618804</v>
      </c>
    </row>
    <row r="6">
      <c r="B6" s="53" t="inlineStr">
        <is>
          <t>Plazo sucesivo (m, meses)</t>
        </is>
      </c>
      <c r="C6" s="121">
        <f>INDEX(esc_Sucesivo,$C$3)</f>
        <v>0</v>
      </c>
      <c r="E6" s="53" t="inlineStr">
        <is>
          <t>Cash margin S/R ($) = sin pago final / residual</t>
        </is>
      </c>
      <c r="I6" s="32">
        <f>C41+SUM(S60:S157)</f>
        <v>-59982.1402556672</v>
      </c>
    </row>
    <row r="7">
      <c r="B7" s="53" t="inlineStr">
        <is>
          <t>Tipo de pago (1 = anticipado, 0 = vencido)</t>
        </is>
      </c>
      <c r="C7" s="121">
        <f>IF(inp_Modalidad="Anticipado",1,0)</f>
        <v>0</v>
      </c>
      <c r="E7" s="53" t="inlineStr">
        <is>
          <t>Cash margin S/R (%)</t>
        </is>
      </c>
      <c r="I7" s="122">
        <f>IFERROR(I6/C19,0)</f>
        <v>-0.0878724009576068</v>
      </c>
    </row>
    <row r="8">
      <c r="B8" s="53" t="inlineStr">
        <is>
          <t>Tasa anual plazo básico</t>
        </is>
      </c>
      <c r="C8" s="123">
        <f>IF(inp_ModoTasa="TIIE + margen",inp_TIIE+INDEX(esc_Margen,$C$3),INDEX(esc_Tasa,$C$3))</f>
        <v>0.241</v>
      </c>
      <c r="E8" s="53" t="inlineStr">
        <is>
          <t>TIR anual efectiva del arrendador (XIRR)</t>
        </is>
      </c>
      <c r="I8" s="92">
        <f>IFERROR(XIRR(Q59:Q157,P59:P157),"n/d")</f>
        <v>0.292682602211409</v>
      </c>
    </row>
    <row r="9">
      <c r="B9" s="53" t="inlineStr">
        <is>
          <t>Tasa mensual plazo básico (i)</t>
        </is>
      </c>
      <c r="C9" s="123">
        <f>C8/12</f>
        <v>0.0200833333333333</v>
      </c>
      <c r="E9" s="53" t="inlineStr">
        <is>
          <t>TIR nominal anual (capitalizable mensual)</t>
        </is>
      </c>
      <c r="I9" s="122">
        <f>IFERROR(12*((1+I8)^(1/12)-1),"n/d")</f>
        <v>0.259485322811181</v>
      </c>
    </row>
    <row r="10">
      <c r="B10" s="53" t="inlineStr">
        <is>
          <t>Tasa anual plazo sucesivo</t>
        </is>
      </c>
      <c r="C10" s="123">
        <f>IF(inp_ModoTasa="TIIE + margen",C8,INDEX(esc_TasaSuc,$C$3))</f>
        <v>0.241</v>
      </c>
      <c r="E10" s="53" t="inlineStr">
        <is>
          <t>CAT informativo sin IVA (flujos del cliente)</t>
        </is>
      </c>
      <c r="I10" s="122">
        <f>IFERROR(XIRR(R59:R157,P59:P157),"n/d")</f>
        <v>0.292682602211409</v>
      </c>
    </row>
    <row r="11">
      <c r="B11" s="53" t="inlineStr">
        <is>
          <t>Tasa mensual plazo sucesivo (i2)</t>
        </is>
      </c>
      <c r="C11" s="123">
        <f>C10/12</f>
        <v>0.0200833333333333</v>
      </c>
      <c r="E11" s="53" t="inlineStr">
        <is>
          <t>Σ factores de descuento de rentas básicas</t>
        </is>
      </c>
      <c r="I11" s="124">
        <f>SUMIF(B60:B157,"Básico",M60:M157)</f>
        <v>19.5540142309644</v>
      </c>
    </row>
    <row r="12">
      <c r="B12" s="53" t="inlineStr">
        <is>
          <t>Tasa de fondeo anual</t>
        </is>
      </c>
      <c r="C12" s="123">
        <f>inp_Fondeo</f>
        <v>0.205</v>
      </c>
      <c r="E12" s="53" t="inlineStr">
        <is>
          <t>Factor de descuento del último pago</t>
        </is>
      </c>
      <c r="I12" s="124">
        <f>IFERROR(INDEX(M60:M157,C38),0)</f>
        <v>0.665952256887692</v>
      </c>
    </row>
    <row r="13">
      <c r="B13" s="53" t="inlineStr">
        <is>
          <t>Tasa de fondeo mensual (f)</t>
        </is>
      </c>
      <c r="C13" s="123">
        <f>C12/12</f>
        <v>0.0170833333333333</v>
      </c>
      <c r="E13" s="53" t="inlineStr">
        <is>
          <t>Sensibilidad del CM a la renta (∂CM/∂R)</t>
        </is>
      </c>
      <c r="I13" s="124">
        <f>I11+C29*(1+C14)*(1-I12)+C34/30</f>
        <v>19.5540142309644</v>
      </c>
    </row>
    <row r="14">
      <c r="B14" s="53" t="inlineStr">
        <is>
          <t>Tasa de IVA</t>
        </is>
      </c>
      <c r="C14" s="122">
        <f>par_IVA</f>
        <v>0.16</v>
      </c>
      <c r="E14" s="53" t="inlineStr">
        <is>
          <t>Renta mínima para el CM objetivo (neto de comisión)</t>
        </is>
      </c>
      <c r="I14" s="32">
        <f>IFERROR((C45*C19+C44-(I4-C24*I13))/I13,0)</f>
        <v>30789.8339973241</v>
      </c>
    </row>
    <row r="15">
      <c r="B15" s="53" t="inlineStr">
        <is>
          <t>Valor del equipo sin IVA (V)</t>
        </is>
      </c>
      <c r="C15" s="32">
        <f>inp_Valor</f>
        <v>758450</v>
      </c>
      <c r="E15" s="53" t="inlineStr">
        <is>
          <t>Tasa anual mínima para el CM objetivo</t>
        </is>
      </c>
      <c r="I15" s="122">
        <f>IFERROR(RATE(C5,I14,-C19,C21,C7)*12,"n/d")</f>
        <v>0.231965201482348</v>
      </c>
    </row>
    <row r="16">
      <c r="B16" s="53" t="inlineStr">
        <is>
          <t>Enganche</t>
        </is>
      </c>
      <c r="C16" s="32">
        <f>C15*INDEX(esc_Enganche,$C$3)</f>
        <v>75845</v>
      </c>
      <c r="E16" s="53" t="inlineStr">
        <is>
          <t>Saldo final de la tabla (debe ser 0)</t>
        </is>
      </c>
      <c r="I16" s="32">
        <f>IFERROR(INDEX(I60:I157,C38),0)</f>
        <v>0</v>
      </c>
    </row>
    <row r="17">
      <c r="B17" s="53" t="inlineStr">
        <is>
          <t>Seguro financiado</t>
        </is>
      </c>
      <c r="C17" s="32">
        <f>IF(INDEX(esc_SeguroForma,$C$3)="Financiado",INDEX(esc_Seguro,$C$3),0)</f>
        <v>0</v>
      </c>
      <c r="E17" s="53" t="inlineStr">
        <is>
          <t>Pago inicial: base sin IVA (anticipo+comisión+renta prop.+contado+gastos)</t>
        </is>
      </c>
      <c r="I17" s="32">
        <f>C16+C28+C35+C43+I29</f>
        <v>89497.1</v>
      </c>
    </row>
    <row r="18">
      <c r="B18" s="53" t="inlineStr">
        <is>
          <t>GPS financiado</t>
        </is>
      </c>
      <c r="C18" s="32">
        <f>IF(INDEX(esc_GPSForma,$C$3)="Financiado",INDEX(esc_GPS,$C$3),0)</f>
        <v>0</v>
      </c>
      <c r="E18" s="53" t="inlineStr">
        <is>
          <t>Pago inicial: IVA</t>
        </is>
      </c>
      <c r="I18" s="32">
        <f>I17*C14</f>
        <v>14319.536</v>
      </c>
    </row>
    <row r="19">
      <c r="B19" s="53" t="inlineStr">
        <is>
          <t>Monto a financiar (M = V − anticipo + financiados)</t>
        </is>
      </c>
      <c r="C19" s="91">
        <f>C15-C16+C17+C18+C42</f>
        <v>682605</v>
      </c>
      <c r="E19" s="53" t="inlineStr">
        <is>
          <t>Pago inicial: depósito en garantía</t>
        </is>
      </c>
      <c r="I19" s="32">
        <f>C30</f>
        <v>0</v>
      </c>
    </row>
    <row r="20">
      <c r="B20" s="53" t="inlineStr">
        <is>
          <t>Valor residual (% del valor)</t>
        </is>
      </c>
      <c r="C20" s="122">
        <f>INDEX(esc_Residual,$C$3)</f>
        <v>0.2</v>
      </c>
      <c r="E20" s="53" t="inlineStr">
        <is>
          <t>PAGO INICIAL TOTAL (con IVA)</t>
        </is>
      </c>
      <c r="I20" s="91">
        <f>I17+I18+I19</f>
        <v>103816.636</v>
      </c>
    </row>
    <row r="21">
      <c r="B21" s="53" t="inlineStr">
        <is>
          <t>Valor residual (VR)</t>
        </is>
      </c>
      <c r="C21" s="32">
        <f>C15*C20</f>
        <v>151690</v>
      </c>
      <c r="E21" s="53" t="inlineStr">
        <is>
          <t>IVA de la primera renta</t>
        </is>
      </c>
      <c r="I21" s="32">
        <f>IFERROR(J60,0)</f>
        <v>4982.88077364706</v>
      </c>
    </row>
    <row r="22">
      <c r="B22" s="53" t="inlineStr">
        <is>
          <t>Pago final (% del valor)</t>
        </is>
      </c>
      <c r="C22" s="122">
        <f>IF(INDEX(esc_PagoFinal,$C$3)="",C20,INDEX(esc_PagoFinal,$C$3))</f>
        <v>0.2</v>
      </c>
      <c r="E22" s="53" t="inlineStr">
        <is>
          <t>Total de pagos con IVA (rentas + pago final)</t>
        </is>
      </c>
      <c r="I22" s="32">
        <f>SUM(K60:K157)</f>
        <v>1042981.65461459</v>
      </c>
    </row>
    <row r="23">
      <c r="B23" s="53" t="inlineStr">
        <is>
          <t>Pago final ($)</t>
        </is>
      </c>
      <c r="C23" s="32">
        <f>C15*C22</f>
        <v>151690</v>
      </c>
      <c r="E23" s="53" t="inlineStr">
        <is>
          <t>Spread (tasa cliente − tasa fondeo)</t>
        </is>
      </c>
      <c r="I23" s="122">
        <f>C8-C12</f>
        <v>0.036</v>
      </c>
    </row>
    <row r="24">
      <c r="B24" s="53" t="inlineStr">
        <is>
          <t>RENTA BÁSICA  R = PMT(i, n, −M, VR, tipo)</t>
        </is>
      </c>
      <c r="C24" s="91">
        <f>PMT(C9,C5,-C19,C21,C7)</f>
        <v>31143.0048352941</v>
      </c>
      <c r="E24" s="53" t="inlineStr">
        <is>
          <t>Tasa anual aplicada</t>
        </is>
      </c>
      <c r="I24" s="122">
        <f>C8</f>
        <v>0.241</v>
      </c>
    </row>
    <row r="25">
      <c r="B25" s="53" t="inlineStr">
        <is>
          <t>Renta plazo sucesivo  Rs = PMT(i2, m, −PF, 0, tipo)</t>
        </is>
      </c>
      <c r="C25" s="32">
        <f>IF(C6&gt;0,PMT(C11,C6,-C23,0,C7),0)</f>
        <v>0</v>
      </c>
      <c r="E25" s="53" t="inlineStr">
        <is>
          <t>Cash margin neto de comisión del promotor ($)</t>
        </is>
      </c>
      <c r="I25" s="32">
        <f>I4-C44</f>
        <v>41036.1575916269</v>
      </c>
    </row>
    <row r="26">
      <c r="B26" s="53" t="inlineStr">
        <is>
          <t>Opción de compra (si m = 0)</t>
        </is>
      </c>
      <c r="C26" s="32">
        <f>IF(C6=0,C23,0)</f>
        <v>151690</v>
      </c>
      <c r="E26" s="53" t="inlineStr">
        <is>
          <t>Cash margin neto (% del monto financiado)</t>
        </is>
      </c>
      <c r="I26" s="122">
        <f>IFERROR(I25/C19,0)</f>
        <v>0.0601169894618804</v>
      </c>
    </row>
    <row r="27">
      <c r="B27" s="53" t="inlineStr">
        <is>
          <t>Comisión por apertura (%)</t>
        </is>
      </c>
      <c r="C27" s="122">
        <f>INDEX(esc_Comision,$C$3)</f>
        <v>0.02</v>
      </c>
      <c r="E27" s="53" t="inlineStr">
        <is>
          <t>Dictamen vs. rate card</t>
        </is>
      </c>
      <c r="I27" s="30" t="str">
        <f>IF(AND(I26&gt;=C45,N(I8)&gt;=C46),"CUMPLE",IF(I26&gt;=C45,"CM OK / TIR BAJA","NO CUMPLE"))</f>
        <v>CUMPLE</v>
      </c>
    </row>
    <row r="28">
      <c r="B28" s="53" t="inlineStr">
        <is>
          <t>Comisión por apertura ($, sobre el monto financiado)</t>
        </is>
      </c>
      <c r="C28" s="32">
        <f>C19*C27</f>
        <v>13652.1</v>
      </c>
      <c r="E28" s="53" t="inlineStr">
        <is>
          <t>Margen mínimo sobre TIIE (si la tasa mínima aplica)</t>
        </is>
      </c>
      <c r="I28" s="122">
        <f>IFERROR(I15-inp_TIIE,"n/d")</f>
        <v>0.145965201482348</v>
      </c>
    </row>
    <row r="29">
      <c r="B29" s="53" t="inlineStr">
        <is>
          <t>Depósito en garantía (# rentas con IVA)</t>
        </is>
      </c>
      <c r="C29" s="125">
        <f>INDEX(esc_Deposito,$C$3)</f>
        <v>0</v>
      </c>
      <c r="E29" s="53" t="inlineStr">
        <is>
          <t>Seguro, GPS y otros de contado (sin IVA)</t>
        </is>
      </c>
      <c r="I29" s="32">
        <f>IF(INDEX(esc_SeguroForma,$C$3)="Contado",INDEX(esc_Seguro,$C$3),0)+IF(INDEX(esc_GPSForma,$C$3)="Contado",INDEX(esc_GPS,$C$3),0)+IF(INDEX(esc_OtrosForma,$C$3)="Contado",INDEX(esc_Otros,$C$3),0)</f>
        <v>0</v>
      </c>
    </row>
    <row r="30">
      <c r="B30" s="53" t="inlineStr">
        <is>
          <t>Depósito en garantía ($ = rentas + % del total financiado)</t>
        </is>
      </c>
      <c r="C30" s="32">
        <f>C29*C24*(1+C14)+INDEX(esc_DepPct,$C$3)*C19*(1+C14)</f>
        <v>0</v>
      </c>
    </row>
    <row r="31">
      <c r="B31" s="53" t="inlineStr">
        <is>
          <t>Fecha de firma / desembolso</t>
        </is>
      </c>
      <c r="C31" s="126">
        <f>inp_FechaFirma</f>
        <v>46301.0</v>
      </c>
    </row>
    <row r="32">
      <c r="B32" s="53" t="inlineStr">
        <is>
          <t>Fecha de la primera renta</t>
        </is>
      </c>
      <c r="C32" s="126">
        <f>inp_FechaPrimera</f>
        <v>46332.0</v>
      </c>
    </row>
    <row r="33">
      <c r="B33" s="53" t="inlineStr">
        <is>
          <t>Inicio del plazo (t = 0)</t>
        </is>
      </c>
      <c r="C33" s="126">
        <f>IF(C7=1,C32,EDATE(C32,-1))</f>
        <v>46301.0</v>
      </c>
    </row>
    <row r="34">
      <c r="B34" s="53" t="inlineStr">
        <is>
          <t>Días entre firma e inicio del plazo</t>
        </is>
      </c>
      <c r="C34" s="121">
        <f>MAX(0,C33-C31)</f>
        <v>0</v>
      </c>
      <c r="E34" s="127" t="inlineStr">
        <is>
          <t>Método: CM = flujo en firma + Σ flujo_t × (1+fa/base)^(−días) × (1+f)^(−t). Como el CM es lineal en la renta, la renta mínima se despeja en forma cerrada y la tasa mínima se obtiene con RATE. La tabla usa interés = (saldo − tipo × pago) × i, de modo que el saldo al término del plazo básico es exactamente el valor residual.</t>
        </is>
      </c>
    </row>
    <row r="35">
      <c r="B35" s="53" t="inlineStr">
        <is>
          <t>Renta proporcional (R/30 × días)</t>
        </is>
      </c>
      <c r="C35" s="32">
        <f>C24/30*C34</f>
        <v>0</v>
      </c>
    </row>
    <row r="36">
      <c r="B36" s="53" t="inlineStr">
        <is>
          <t>Comisión banco / alianza</t>
        </is>
      </c>
      <c r="C36" s="32">
        <f>inp_ComBanco</f>
        <v>0</v>
      </c>
    </row>
    <row r="37">
      <c r="B37" s="53" t="inlineStr">
        <is>
          <t>Factor de fondeo por días  (1+fa/base)^(−días)</t>
        </is>
      </c>
      <c r="C37" s="124">
        <f>(1+C12/par_BaseDias)^(-C34)</f>
        <v>1</v>
      </c>
    </row>
    <row r="38">
      <c r="B38" s="53" t="inlineStr">
        <is>
          <t>Número de pagos en la tabla</t>
        </is>
      </c>
      <c r="C38" s="121">
        <f>C5+IF(C6&gt;0,C6,IF(C23&gt;0,1,0))</f>
        <v>25</v>
      </c>
    </row>
    <row r="39">
      <c r="B39" s="53" t="inlineStr">
        <is>
          <t>Desembolso del arrendador en la firma</t>
        </is>
      </c>
      <c r="C39" s="32">
        <f>-(C15-inp_Descuento/(1+inp_IVAEquipo)+C17+C18+C42)</f>
        <v>-758450</v>
      </c>
    </row>
    <row r="40">
      <c r="B40" s="53" t="inlineStr">
        <is>
          <t>Cobros en la firma (anticipo+comisión+renta prop.+depósito+gastos−com. banco)</t>
        </is>
      </c>
      <c r="C40" s="32">
        <f>C16+C28+C35+C30-C36+C43</f>
        <v>89497.1</v>
      </c>
    </row>
    <row r="41">
      <c r="B41" s="53" t="inlineStr">
        <is>
          <t>Flujo neto del arrendador en la firma</t>
        </is>
      </c>
      <c r="C41" s="32">
        <f>C39+C40</f>
        <v>-668952.9</v>
      </c>
    </row>
    <row r="42">
      <c r="B42" s="53" t="inlineStr">
        <is>
          <t>Mantenimiento / garantía / otros financiados</t>
        </is>
      </c>
      <c r="C42" s="32">
        <f>IF(INDEX(esc_OtrosForma,$C$3)="Financiado",INDEX(esc_Otros,$C$3),0)</f>
        <v>0</v>
      </c>
    </row>
    <row r="43">
      <c r="B43" s="53" t="inlineStr">
        <is>
          <t>Gastos de investigación / validación</t>
        </is>
      </c>
      <c r="C43" s="32">
        <f>inp_GastosInv</f>
        <v>0</v>
      </c>
    </row>
    <row r="44">
      <c r="B44" s="53" t="inlineStr">
        <is>
          <t>Comisión del promotor ($)</t>
        </is>
      </c>
      <c r="C44" s="32">
        <f>inp_ComProm*C19</f>
        <v>0</v>
      </c>
    </row>
    <row r="45">
      <c r="B45" s="53" t="inlineStr">
        <is>
          <t>Cash margin objetivo (manual o rate card)</t>
        </is>
      </c>
      <c r="C45" s="122">
        <f>IF(inp_CMobj="",INDEX(rc_CM,IFERROR(MATCH(inp_Tier,rc_Tiers,0),5),IFERROR(MATCH(C5,rc_Plazos,1),1)),inp_CMobj)</f>
        <v>0.05</v>
      </c>
    </row>
    <row r="46">
      <c r="B46" s="53" t="inlineStr">
        <is>
          <t>TIR mínima (rate card)</t>
        </is>
      </c>
      <c r="C46" s="122">
        <f>INDEX(rc_TIR,IFERROR(MATCH(inp_Tier,rc_Tiers,0),5))</f>
        <v>0.24</v>
      </c>
    </row>
    <row r="47">
      <c r="B47" s="53" t="inlineStr">
        <is>
          <t>Residual máximo (rate card)</t>
        </is>
      </c>
      <c r="C47" s="122">
        <f>INDEX(rc_ResMax,1,IFERROR(MATCH(C5,rc_Plazos,1),1))</f>
        <v>0.38</v>
      </c>
    </row>
    <row r="48">
      <c r="B48" s="53" t="inlineStr">
        <is>
          <t>Renta: parte del equipo  PMT(i, n, −(V−anticipo), VR, tipo)</t>
        </is>
      </c>
      <c r="C48" s="32">
        <f>PMT(C9,C5,-(C15-C16),C21,C7)</f>
        <v>31143.0048352941</v>
      </c>
    </row>
    <row r="49">
      <c r="B49" s="53" t="inlineStr">
        <is>
          <t>Renta: parte del seguro financiado</t>
        </is>
      </c>
      <c r="C49" s="32">
        <f>PMT(C9,C5,-C17,0,C7)</f>
        <v>0</v>
      </c>
    </row>
    <row r="50">
      <c r="B50" s="53" t="inlineStr">
        <is>
          <t>Renta: parte de otros gastos financiados</t>
        </is>
      </c>
      <c r="C50" s="32">
        <f>PMT(C9,C5,-C42,0,C7)</f>
        <v>0</v>
      </c>
    </row>
    <row r="51">
      <c r="B51" s="53" t="inlineStr">
        <is>
          <t>Deducibilidad estimada de la renta (ISR)</t>
        </is>
      </c>
      <c r="C51" s="122">
        <f>IF(inp_TipoActivo="Automóvil",MIN(1,par_LimAuto*30/C24),IF(inp_TipoActivo="Automóvil eléctrico / híbrido",MIN(1,par_LimAutoEV*30/C24),1))</f>
        <v>0.274539982420398</v>
      </c>
    </row>
    <row r="52">
      <c r="B52" s="53" t="inlineStr">
        <is>
          <t>Fecha del último pago</t>
        </is>
      </c>
      <c r="C52" s="126">
        <f>IFERROR(INDEX(D60:D157,C38),"")</f>
        <v>47032.0</v>
      </c>
    </row>
    <row r="53">
      <c r="B53" s="53" t="inlineStr">
        <is>
          <t>Renta: parte del GPS financiado</t>
        </is>
      </c>
      <c r="C53" s="32">
        <f>PMT(C9,C5,-C18,0,C7)</f>
        <v>0</v>
      </c>
    </row>
    <row r="58" ht="30" customHeight="1">
      <c r="A58" s="111" t="inlineStr">
        <is>
          <t>#</t>
        </is>
      </c>
      <c r="B58" s="111" t="inlineStr">
        <is>
          <t>Concepto</t>
        </is>
      </c>
      <c r="C58" s="111" t="inlineStr">
        <is>
          <t>t</t>
        </is>
      </c>
      <c r="D58" s="111" t="inlineStr">
        <is>
          <t>Fecha</t>
        </is>
      </c>
      <c r="E58" s="111" t="inlineStr">
        <is>
          <t>Saldo inicial</t>
        </is>
      </c>
      <c r="F58" s="111" t="inlineStr">
        <is>
          <t>Pago s/IVA</t>
        </is>
      </c>
      <c r="G58" s="111" t="inlineStr">
        <is>
          <t>Interés</t>
        </is>
      </c>
      <c r="H58" s="111" t="inlineStr">
        <is>
          <t>Capital</t>
        </is>
      </c>
      <c r="I58" s="111" t="inlineStr">
        <is>
          <t>Saldo final</t>
        </is>
      </c>
      <c r="J58" s="111" t="inlineStr">
        <is>
          <t>IVA</t>
        </is>
      </c>
      <c r="K58" s="111" t="inlineStr">
        <is>
          <t>Total c/IVA</t>
        </is>
      </c>
      <c r="L58" s="111" t="inlineStr">
        <is>
          <t>Flujo arrendador</t>
        </is>
      </c>
      <c r="M58" s="111" t="inlineStr">
        <is>
          <t>Factor desc.</t>
        </is>
      </c>
      <c r="N58" s="111" t="inlineStr">
        <is>
          <t>VP flujo</t>
        </is>
      </c>
      <c r="O58" s="111" t="inlineStr">
        <is>
          <t>Flujo S/R</t>
        </is>
      </c>
      <c r="P58" s="111" t="inlineStr">
        <is>
          <t>Fecha (XIRR)</t>
        </is>
      </c>
      <c r="Q58" s="111" t="inlineStr">
        <is>
          <t>Flujo XIRR</t>
        </is>
      </c>
      <c r="R58" s="111" t="inlineStr">
        <is>
          <t>Flujo cliente (CAT)</t>
        </is>
      </c>
      <c r="S58" s="111" t="inlineStr">
        <is>
          <t>VP flujo S/R</t>
        </is>
      </c>
    </row>
    <row r="59">
      <c r="A59" s="128" t="n">
        <v>0</v>
      </c>
      <c r="B59" s="128" t="inlineStr">
        <is>
          <t>Firma / desembolso</t>
        </is>
      </c>
      <c r="C59" s="128" t="n">
        <v>0</v>
      </c>
      <c r="D59" s="128">
        <f>C31</f>
        <v>46301.0</v>
      </c>
      <c r="E59" s="129" t="n"/>
      <c r="F59" s="129" t="n"/>
      <c r="G59" s="129" t="n"/>
      <c r="H59" s="129" t="n"/>
      <c r="I59" s="129" t="n"/>
      <c r="J59" s="129" t="n"/>
      <c r="K59" s="129" t="n"/>
      <c r="L59" s="128">
        <f>C41</f>
        <v>-668952.9</v>
      </c>
      <c r="M59" s="129" t="n"/>
      <c r="N59" s="129" t="n"/>
      <c r="O59" s="129" t="n"/>
      <c r="P59" s="128">
        <f>C31</f>
        <v>46301.0</v>
      </c>
      <c r="Q59" s="128">
        <f>C41</f>
        <v>-668952.9</v>
      </c>
      <c r="R59" s="128">
        <f>C19-C28-C35-C43</f>
        <v>668952.9</v>
      </c>
      <c r="S59" s="129" t="n"/>
    </row>
    <row r="60">
      <c r="A60" s="53" t="n">
        <v>1</v>
      </c>
      <c r="B60" s="53" t="str">
        <f>IF(A60&gt;$C$38,"",IF(A60&lt;=$C$5,"Básico",IF($C$6&gt;0,"Sucesivo","Opción de compra")))</f>
        <v>Básico</v>
      </c>
      <c r="C60" s="53">
        <f>IF(B60="","",IF(B60="Opción de compra",$C$5,A60-$C$7))</f>
        <v>1</v>
      </c>
      <c r="D60" s="130">
        <f>IF(B60="","",EDATE($C$33,C60))</f>
        <v>46332.0</v>
      </c>
      <c r="E60" s="117">
        <f>IF(B60="","",$C$19)</f>
        <v>682605</v>
      </c>
      <c r="F60" s="117">
        <f>IF(B60="","",IF(B60="Básico",$C$24,IF(B60="Sucesivo",$C$25,$C$26)))</f>
        <v>31143.0048352941</v>
      </c>
      <c r="G60" s="117">
        <f>IF(B60="","",IF(B60="Opción de compra",0,(E60-$C$7*F60)*IF(B60="Sucesivo",$C$11,$C$9)))</f>
        <v>13708.98375</v>
      </c>
      <c r="H60" s="117">
        <f>IF(B60="","",F60-G60)</f>
        <v>17434.0210852941</v>
      </c>
      <c r="I60" s="117">
        <f>IF(B60="","",E60-H60)</f>
        <v>665170.978914706</v>
      </c>
      <c r="J60" s="117">
        <f>IF(B60="","",IF(OR(inp_Tipo="Arrendamiento Puro",par_BaseIVAFin="Sobre renta",B60="Opción de compra"),F60,G60)*$C$14)</f>
        <v>4982.88077364706</v>
      </c>
      <c r="K60" s="117">
        <f>IF(B60="","",F60+J60)</f>
        <v>36125.8856089412</v>
      </c>
      <c r="L60" s="117">
        <f>IF(B60="","",F60-IF(A60=$C$38,$C$30,0))</f>
        <v>31143.0048352941</v>
      </c>
      <c r="M60" s="131">
        <f>IF(B60="","",$C$37*(1+$C$13)^(-C60))</f>
        <v>0.983203605079885</v>
      </c>
      <c r="N60" s="117">
        <f>IF(B60="","",L60*M60)</f>
        <v>30619.9146270815</v>
      </c>
      <c r="O60" s="117">
        <f>IF(B60="","",IF(B60="Básico",F60,0)-IF(A60=$C$38,$C$30,0))</f>
        <v>31143.0048352941</v>
      </c>
      <c r="P60" s="130">
        <f>IF(B60="",$C$31,D60)</f>
        <v>46332.0</v>
      </c>
      <c r="Q60" s="117">
        <f>IF(B60="",0,L60)</f>
        <v>31143.0048352941</v>
      </c>
      <c r="R60" s="117">
        <f>IF(B60="",0,-F60)</f>
        <v>-31143.0048352941</v>
      </c>
      <c r="S60" s="117">
        <f>IF(B60="","",O60*M60)</f>
        <v>30619.9146270815</v>
      </c>
    </row>
    <row r="61">
      <c r="A61" s="53" t="n">
        <v>2</v>
      </c>
      <c r="B61" s="53" t="str">
        <f>IF(A61&gt;$C$38,"",IF(A61&lt;=$C$5,"Básico",IF($C$6&gt;0,"Sucesivo","Opción de compra")))</f>
        <v>Básico</v>
      </c>
      <c r="C61" s="53">
        <f>IF(B61="","",IF(B61="Opción de compra",$C$5,A61-$C$7))</f>
        <v>2</v>
      </c>
      <c r="D61" s="130">
        <f>IF(B61="","",EDATE($C$33,C61))</f>
        <v>46362.0</v>
      </c>
      <c r="E61" s="117">
        <f>IF(B61="","",I60)</f>
        <v>665170.978914706</v>
      </c>
      <c r="F61" s="117">
        <f>IF(B61="","",IF(B61="Básico",$C$24,IF(B61="Sucesivo",$C$25,$C$26)))</f>
        <v>31143.0048352941</v>
      </c>
      <c r="G61" s="117">
        <f>IF(B61="","",IF(B61="Opción de compra",0,(E61-$C$7*F61)*IF(B61="Sucesivo",$C$11,$C$9)))</f>
        <v>13358.8504932037</v>
      </c>
      <c r="H61" s="117">
        <f>IF(B61="","",F61-G61)</f>
        <v>17784.1543420904</v>
      </c>
      <c r="I61" s="117">
        <f>IF(B61="","",E61-H61)</f>
        <v>647386.824572615</v>
      </c>
      <c r="J61" s="117">
        <f>IF(B61="","",IF(OR(inp_Tipo="Arrendamiento Puro",par_BaseIVAFin="Sobre renta",B61="Opción de compra"),F61,G61)*$C$14)</f>
        <v>4982.88077364706</v>
      </c>
      <c r="K61" s="117">
        <f>IF(B61="","",F61+J61)</f>
        <v>36125.8856089412</v>
      </c>
      <c r="L61" s="117">
        <f>IF(B61="","",F61-IF(A61=$C$38,$C$30,0))</f>
        <v>31143.0048352941</v>
      </c>
      <c r="M61" s="131">
        <f>IF(B61="","",$C$37*(1+$C$13)^(-C61))</f>
        <v>0.966689329042083</v>
      </c>
      <c r="N61" s="117">
        <f>IF(B61="","",L61*M61)</f>
        <v>30105.6104485848</v>
      </c>
      <c r="O61" s="117">
        <f>IF(B61="","",IF(B61="Básico",F61,0)-IF(A61=$C$38,$C$30,0))</f>
        <v>31143.0048352941</v>
      </c>
      <c r="P61" s="130">
        <f>IF(B61="",$C$31,D61)</f>
        <v>46362.0</v>
      </c>
      <c r="Q61" s="117">
        <f>IF(B61="",0,L61)</f>
        <v>31143.0048352941</v>
      </c>
      <c r="R61" s="117">
        <f>IF(B61="",0,-F61)</f>
        <v>-31143.0048352941</v>
      </c>
      <c r="S61" s="117">
        <f>IF(B61="","",O61*M61)</f>
        <v>30105.6104485848</v>
      </c>
    </row>
    <row r="62">
      <c r="A62" s="53" t="n">
        <v>3</v>
      </c>
      <c r="B62" s="53" t="str">
        <f>IF(A62&gt;$C$38,"",IF(A62&lt;=$C$5,"Básico",IF($C$6&gt;0,"Sucesivo","Opción de compra")))</f>
        <v>Básico</v>
      </c>
      <c r="C62" s="53">
        <f>IF(B62="","",IF(B62="Opción de compra",$C$5,A62-$C$7))</f>
        <v>3</v>
      </c>
      <c r="D62" s="130">
        <f>IF(B62="","",EDATE($C$33,C62))</f>
        <v>46393.0</v>
      </c>
      <c r="E62" s="117">
        <f>IF(B62="","",I61)</f>
        <v>647386.824572615</v>
      </c>
      <c r="F62" s="117">
        <f>IF(B62="","",IF(B62="Básico",$C$24,IF(B62="Sucesivo",$C$25,$C$26)))</f>
        <v>31143.0048352941</v>
      </c>
      <c r="G62" s="117">
        <f>IF(B62="","",IF(B62="Opción de compra",0,(E62-$C$7*F62)*IF(B62="Sucesivo",$C$11,$C$9)))</f>
        <v>13001.6853935</v>
      </c>
      <c r="H62" s="117">
        <f>IF(B62="","",F62-G62)</f>
        <v>18141.3194417941</v>
      </c>
      <c r="I62" s="117">
        <f>IF(B62="","",E62-H62)</f>
        <v>629245.505130821</v>
      </c>
      <c r="J62" s="117">
        <f>IF(B62="","",IF(OR(inp_Tipo="Arrendamiento Puro",par_BaseIVAFin="Sobre renta",B62="Opción de compra"),F62,G62)*$C$14)</f>
        <v>4982.88077364706</v>
      </c>
      <c r="K62" s="117">
        <f>IF(B62="","",F62+J62)</f>
        <v>36125.8856089412</v>
      </c>
      <c r="L62" s="117">
        <f>IF(B62="","",F62-IF(A62=$C$38,$C$30,0))</f>
        <v>31143.0048352941</v>
      </c>
      <c r="M62" s="131">
        <f>IF(B62="","",$C$37*(1+$C$13)^(-C62))</f>
        <v>0.950452433306432</v>
      </c>
      <c r="N62" s="117">
        <f>IF(B62="","",L62*M62)</f>
        <v>29599.9447261793</v>
      </c>
      <c r="O62" s="117">
        <f>IF(B62="","",IF(B62="Básico",F62,0)-IF(A62=$C$38,$C$30,0))</f>
        <v>31143.0048352941</v>
      </c>
      <c r="P62" s="130">
        <f>IF(B62="",$C$31,D62)</f>
        <v>46393.0</v>
      </c>
      <c r="Q62" s="117">
        <f>IF(B62="",0,L62)</f>
        <v>31143.0048352941</v>
      </c>
      <c r="R62" s="117">
        <f>IF(B62="",0,-F62)</f>
        <v>-31143.0048352941</v>
      </c>
      <c r="S62" s="117">
        <f>IF(B62="","",O62*M62)</f>
        <v>29599.9447261793</v>
      </c>
    </row>
    <row r="63">
      <c r="A63" s="53" t="n">
        <v>4</v>
      </c>
      <c r="B63" s="53" t="str">
        <f>IF(A63&gt;$C$38,"",IF(A63&lt;=$C$5,"Básico",IF($C$6&gt;0,"Sucesivo","Opción de compra")))</f>
        <v>Básico</v>
      </c>
      <c r="C63" s="53">
        <f>IF(B63="","",IF(B63="Opción de compra",$C$5,A63-$C$7))</f>
        <v>4</v>
      </c>
      <c r="D63" s="130">
        <f>IF(B63="","",EDATE($C$33,C63))</f>
        <v>46424.0</v>
      </c>
      <c r="E63" s="117">
        <f>IF(B63="","",I62)</f>
        <v>629245.505130821</v>
      </c>
      <c r="F63" s="117">
        <f>IF(B63="","",IF(B63="Básico",$C$24,IF(B63="Sucesivo",$C$25,$C$26)))</f>
        <v>31143.0048352941</v>
      </c>
      <c r="G63" s="117">
        <f>IF(B63="","",IF(B63="Opción de compra",0,(E63-$C$7*F63)*IF(B63="Sucesivo",$C$11,$C$9)))</f>
        <v>12637.347228044</v>
      </c>
      <c r="H63" s="117">
        <f>IF(B63="","",F63-G63)</f>
        <v>18505.6576072501</v>
      </c>
      <c r="I63" s="117">
        <f>IF(B63="","",E63-H63)</f>
        <v>610739.847523571</v>
      </c>
      <c r="J63" s="117">
        <f>IF(B63="","",IF(OR(inp_Tipo="Arrendamiento Puro",par_BaseIVAFin="Sobre renta",B63="Opción de compra"),F63,G63)*$C$14)</f>
        <v>4982.88077364706</v>
      </c>
      <c r="K63" s="117">
        <f>IF(B63="","",F63+J63)</f>
        <v>36125.8856089412</v>
      </c>
      <c r="L63" s="117">
        <f>IF(B63="","",F63-IF(A63=$C$38,$C$30,0))</f>
        <v>31143.0048352941</v>
      </c>
      <c r="M63" s="131">
        <f>IF(B63="","",$C$37*(1+$C$13)^(-C63))</f>
        <v>0.934488258883833</v>
      </c>
      <c r="N63" s="117">
        <f>IF(B63="","",L63*M63)</f>
        <v>29102.7723649448</v>
      </c>
      <c r="O63" s="117">
        <f>IF(B63="","",IF(B63="Básico",F63,0)-IF(A63=$C$38,$C$30,0))</f>
        <v>31143.0048352941</v>
      </c>
      <c r="P63" s="130">
        <f>IF(B63="",$C$31,D63)</f>
        <v>46424.0</v>
      </c>
      <c r="Q63" s="117">
        <f>IF(B63="",0,L63)</f>
        <v>31143.0048352941</v>
      </c>
      <c r="R63" s="117">
        <f>IF(B63="",0,-F63)</f>
        <v>-31143.0048352941</v>
      </c>
      <c r="S63" s="117">
        <f>IF(B63="","",O63*M63)</f>
        <v>29102.7723649448</v>
      </c>
    </row>
    <row r="64">
      <c r="A64" s="53" t="n">
        <v>5</v>
      </c>
      <c r="B64" s="53" t="str">
        <f>IF(A64&gt;$C$38,"",IF(A64&lt;=$C$5,"Básico",IF($C$6&gt;0,"Sucesivo","Opción de compra")))</f>
        <v>Básico</v>
      </c>
      <c r="C64" s="53">
        <f>IF(B64="","",IF(B64="Opción de compra",$C$5,A64-$C$7))</f>
        <v>5</v>
      </c>
      <c r="D64" s="130">
        <f>IF(B64="","",EDATE($C$33,C64))</f>
        <v>46452.0</v>
      </c>
      <c r="E64" s="117">
        <f>IF(B64="","",I63)</f>
        <v>610739.847523571</v>
      </c>
      <c r="F64" s="117">
        <f>IF(B64="","",IF(B64="Básico",$C$24,IF(B64="Sucesivo",$C$25,$C$26)))</f>
        <v>31143.0048352941</v>
      </c>
      <c r="G64" s="117">
        <f>IF(B64="","",IF(B64="Opción de compra",0,(E64-$C$7*F64)*IF(B64="Sucesivo",$C$11,$C$9)))</f>
        <v>12265.6919377651</v>
      </c>
      <c r="H64" s="117">
        <f>IF(B64="","",F64-G64)</f>
        <v>18877.3128975291</v>
      </c>
      <c r="I64" s="117">
        <f>IF(B64="","",E64-H64)</f>
        <v>591862.534626042</v>
      </c>
      <c r="J64" s="117">
        <f>IF(B64="","",IF(OR(inp_Tipo="Arrendamiento Puro",par_BaseIVAFin="Sobre renta",B64="Opción de compra"),F64,G64)*$C$14)</f>
        <v>4982.88077364706</v>
      </c>
      <c r="K64" s="117">
        <f>IF(B64="","",F64+J64)</f>
        <v>36125.8856089412</v>
      </c>
      <c r="L64" s="117">
        <f>IF(B64="","",F64-IF(A64=$C$38,$C$30,0))</f>
        <v>31143.0048352941</v>
      </c>
      <c r="M64" s="131">
        <f>IF(B64="","",$C$37*(1+$C$13)^(-C64))</f>
        <v>0.918792225039409</v>
      </c>
      <c r="N64" s="117">
        <f>IF(B64="","",L64*M64)</f>
        <v>28613.950707033</v>
      </c>
      <c r="O64" s="117">
        <f>IF(B64="","",IF(B64="Básico",F64,0)-IF(A64=$C$38,$C$30,0))</f>
        <v>31143.0048352941</v>
      </c>
      <c r="P64" s="130">
        <f>IF(B64="",$C$31,D64)</f>
        <v>46452.0</v>
      </c>
      <c r="Q64" s="117">
        <f>IF(B64="",0,L64)</f>
        <v>31143.0048352941</v>
      </c>
      <c r="R64" s="117">
        <f>IF(B64="",0,-F64)</f>
        <v>-31143.0048352941</v>
      </c>
      <c r="S64" s="117">
        <f>IF(B64="","",O64*M64)</f>
        <v>28613.950707033</v>
      </c>
    </row>
    <row r="65">
      <c r="A65" s="53" t="n">
        <v>6</v>
      </c>
      <c r="B65" s="53" t="str">
        <f>IF(A65&gt;$C$38,"",IF(A65&lt;=$C$5,"Básico",IF($C$6&gt;0,"Sucesivo","Opción de compra")))</f>
        <v>Básico</v>
      </c>
      <c r="C65" s="53">
        <f>IF(B65="","",IF(B65="Opción de compra",$C$5,A65-$C$7))</f>
        <v>6</v>
      </c>
      <c r="D65" s="130">
        <f>IF(B65="","",EDATE($C$33,C65))</f>
        <v>46483.0</v>
      </c>
      <c r="E65" s="117">
        <f>IF(B65="","",I64)</f>
        <v>591862.534626042</v>
      </c>
      <c r="F65" s="117">
        <f>IF(B65="","",IF(B65="Básico",$C$24,IF(B65="Sucesivo",$C$25,$C$26)))</f>
        <v>31143.0048352941</v>
      </c>
      <c r="G65" s="117">
        <f>IF(B65="","",IF(B65="Opción de compra",0,(E65-$C$7*F65)*IF(B65="Sucesivo",$C$11,$C$9)))</f>
        <v>11886.5725704063</v>
      </c>
      <c r="H65" s="117">
        <f>IF(B65="","",F65-G65)</f>
        <v>19256.4322648878</v>
      </c>
      <c r="I65" s="117">
        <f>IF(B65="","",E65-H65)</f>
        <v>572606.102361154</v>
      </c>
      <c r="J65" s="117">
        <f>IF(B65="","",IF(OR(inp_Tipo="Arrendamiento Puro",par_BaseIVAFin="Sobre renta",B65="Opción de compra"),F65,G65)*$C$14)</f>
        <v>4982.88077364706</v>
      </c>
      <c r="K65" s="117">
        <f>IF(B65="","",F65+J65)</f>
        <v>36125.8856089412</v>
      </c>
      <c r="L65" s="117">
        <f>IF(B65="","",F65-IF(A65=$C$38,$C$30,0))</f>
        <v>31143.0048352941</v>
      </c>
      <c r="M65" s="131">
        <f>IF(B65="","",$C$37*(1+$C$13)^(-C65))</f>
        <v>0.903359827978117</v>
      </c>
      <c r="N65" s="117">
        <f>IF(B65="","",L65*M65)</f>
        <v>28133.3394907329</v>
      </c>
      <c r="O65" s="117">
        <f>IF(B65="","",IF(B65="Básico",F65,0)-IF(A65=$C$38,$C$30,0))</f>
        <v>31143.0048352941</v>
      </c>
      <c r="P65" s="130">
        <f>IF(B65="",$C$31,D65)</f>
        <v>46483.0</v>
      </c>
      <c r="Q65" s="117">
        <f>IF(B65="",0,L65)</f>
        <v>31143.0048352941</v>
      </c>
      <c r="R65" s="117">
        <f>IF(B65="",0,-F65)</f>
        <v>-31143.0048352941</v>
      </c>
      <c r="S65" s="117">
        <f>IF(B65="","",O65*M65)</f>
        <v>28133.3394907329</v>
      </c>
    </row>
    <row r="66">
      <c r="A66" s="53" t="n">
        <v>7</v>
      </c>
      <c r="B66" s="53" t="str">
        <f>IF(A66&gt;$C$38,"",IF(A66&lt;=$C$5,"Básico",IF($C$6&gt;0,"Sucesivo","Opción de compra")))</f>
        <v>Básico</v>
      </c>
      <c r="C66" s="53">
        <f>IF(B66="","",IF(B66="Opción de compra",$C$5,A66-$C$7))</f>
        <v>7</v>
      </c>
      <c r="D66" s="130">
        <f>IF(B66="","",EDATE($C$33,C66))</f>
        <v>46513.0</v>
      </c>
      <c r="E66" s="117">
        <f>IF(B66="","",I65)</f>
        <v>572606.102361154</v>
      </c>
      <c r="F66" s="117">
        <f>IF(B66="","",IF(B66="Básico",$C$24,IF(B66="Sucesivo",$C$25,$C$26)))</f>
        <v>31143.0048352941</v>
      </c>
      <c r="G66" s="117">
        <f>IF(B66="","",IF(B66="Opción de compra",0,(E66-$C$7*F66)*IF(B66="Sucesivo",$C$11,$C$9)))</f>
        <v>11499.8392224199</v>
      </c>
      <c r="H66" s="117">
        <f>IF(B66="","",F66-G66)</f>
        <v>19643.1656128743</v>
      </c>
      <c r="I66" s="117">
        <f>IF(B66="","",E66-H66)</f>
        <v>552962.93674828</v>
      </c>
      <c r="J66" s="117">
        <f>IF(B66="","",IF(OR(inp_Tipo="Arrendamiento Puro",par_BaseIVAFin="Sobre renta",B66="Opción de compra"),F66,G66)*$C$14)</f>
        <v>4982.88077364706</v>
      </c>
      <c r="K66" s="117">
        <f>IF(B66="","",F66+J66)</f>
        <v>36125.8856089412</v>
      </c>
      <c r="L66" s="117">
        <f>IF(B66="","",F66-IF(A66=$C$38,$C$30,0))</f>
        <v>31143.0048352941</v>
      </c>
      <c r="M66" s="131">
        <f>IF(B66="","",$C$37*(1+$C$13)^(-C66))</f>
        <v>0.888186639552429</v>
      </c>
      <c r="N66" s="117">
        <f>IF(B66="","",L66*M66)</f>
        <v>27660.8008102249</v>
      </c>
      <c r="O66" s="117">
        <f>IF(B66="","",IF(B66="Básico",F66,0)-IF(A66=$C$38,$C$30,0))</f>
        <v>31143.0048352941</v>
      </c>
      <c r="P66" s="130">
        <f>IF(B66="",$C$31,D66)</f>
        <v>46513.0</v>
      </c>
      <c r="Q66" s="117">
        <f>IF(B66="",0,L66)</f>
        <v>31143.0048352941</v>
      </c>
      <c r="R66" s="117">
        <f>IF(B66="",0,-F66)</f>
        <v>-31143.0048352941</v>
      </c>
      <c r="S66" s="117">
        <f>IF(B66="","",O66*M66)</f>
        <v>27660.8008102249</v>
      </c>
    </row>
    <row r="67">
      <c r="A67" s="53" t="n">
        <v>8</v>
      </c>
      <c r="B67" s="53" t="str">
        <f>IF(A67&gt;$C$38,"",IF(A67&lt;=$C$5,"Básico",IF($C$6&gt;0,"Sucesivo","Opción de compra")))</f>
        <v>Básico</v>
      </c>
      <c r="C67" s="53">
        <f>IF(B67="","",IF(B67="Opción de compra",$C$5,A67-$C$7))</f>
        <v>8</v>
      </c>
      <c r="D67" s="130">
        <f>IF(B67="","",EDATE($C$33,C67))</f>
        <v>46544.0</v>
      </c>
      <c r="E67" s="117">
        <f>IF(B67="","",I66)</f>
        <v>552962.93674828</v>
      </c>
      <c r="F67" s="117">
        <f>IF(B67="","",IF(B67="Básico",$C$24,IF(B67="Sucesivo",$C$25,$C$26)))</f>
        <v>31143.0048352941</v>
      </c>
      <c r="G67" s="117">
        <f>IF(B67="","",IF(B67="Opción de compra",0,(E67-$C$7*F67)*IF(B67="Sucesivo",$C$11,$C$9)))</f>
        <v>11105.3389796946</v>
      </c>
      <c r="H67" s="117">
        <f>IF(B67="","",F67-G67)</f>
        <v>20037.6658555995</v>
      </c>
      <c r="I67" s="117">
        <f>IF(B67="","",E67-H67)</f>
        <v>532925.270892681</v>
      </c>
      <c r="J67" s="117">
        <f>IF(B67="","",IF(OR(inp_Tipo="Arrendamiento Puro",par_BaseIVAFin="Sobre renta",B67="Opción de compra"),F67,G67)*$C$14)</f>
        <v>4982.88077364706</v>
      </c>
      <c r="K67" s="117">
        <f>IF(B67="","",F67+J67)</f>
        <v>36125.8856089412</v>
      </c>
      <c r="L67" s="117">
        <f>IF(B67="","",F67-IF(A67=$C$38,$C$30,0))</f>
        <v>31143.0048352941</v>
      </c>
      <c r="M67" s="131">
        <f>IF(B67="","",$C$37*(1+$C$13)^(-C67))</f>
        <v>0.873268305991737</v>
      </c>
      <c r="N67" s="117">
        <f>IF(B67="","",L67*M67)</f>
        <v>27196.1990760098</v>
      </c>
      <c r="O67" s="117">
        <f>IF(B67="","",IF(B67="Básico",F67,0)-IF(A67=$C$38,$C$30,0))</f>
        <v>31143.0048352941</v>
      </c>
      <c r="P67" s="130">
        <f>IF(B67="",$C$31,D67)</f>
        <v>46544.0</v>
      </c>
      <c r="Q67" s="117">
        <f>IF(B67="",0,L67)</f>
        <v>31143.0048352941</v>
      </c>
      <c r="R67" s="117">
        <f>IF(B67="",0,-F67)</f>
        <v>-31143.0048352941</v>
      </c>
      <c r="S67" s="117">
        <f>IF(B67="","",O67*M67)</f>
        <v>27196.1990760098</v>
      </c>
    </row>
    <row r="68">
      <c r="A68" s="53" t="n">
        <v>9</v>
      </c>
      <c r="B68" s="53" t="str">
        <f>IF(A68&gt;$C$38,"",IF(A68&lt;=$C$5,"Básico",IF($C$6&gt;0,"Sucesivo","Opción de compra")))</f>
        <v>Básico</v>
      </c>
      <c r="C68" s="53">
        <f>IF(B68="","",IF(B68="Opción de compra",$C$5,A68-$C$7))</f>
        <v>9</v>
      </c>
      <c r="D68" s="130">
        <f>IF(B68="","",EDATE($C$33,C68))</f>
        <v>46574.0</v>
      </c>
      <c r="E68" s="117">
        <f>IF(B68="","",I67)</f>
        <v>532925.270892681</v>
      </c>
      <c r="F68" s="117">
        <f>IF(B68="","",IF(B68="Básico",$C$24,IF(B68="Sucesivo",$C$25,$C$26)))</f>
        <v>31143.0048352941</v>
      </c>
      <c r="G68" s="117">
        <f>IF(B68="","",IF(B68="Opción de compra",0,(E68-$C$7*F68)*IF(B68="Sucesivo",$C$11,$C$9)))</f>
        <v>10702.9158570947</v>
      </c>
      <c r="H68" s="117">
        <f>IF(B68="","",F68-G68)</f>
        <v>20440.0889781994</v>
      </c>
      <c r="I68" s="117">
        <f>IF(B68="","",E68-H68)</f>
        <v>512485.181914481</v>
      </c>
      <c r="J68" s="117">
        <f>IF(B68="","",IF(OR(inp_Tipo="Arrendamiento Puro",par_BaseIVAFin="Sobre renta",B68="Opción de compra"),F68,G68)*$C$14)</f>
        <v>4982.88077364706</v>
      </c>
      <c r="K68" s="117">
        <f>IF(B68="","",F68+J68)</f>
        <v>36125.8856089412</v>
      </c>
      <c r="L68" s="117">
        <f>IF(B68="","",F68-IF(A68=$C$38,$C$30,0))</f>
        <v>31143.0048352941</v>
      </c>
      <c r="M68" s="131">
        <f>IF(B68="","",$C$37*(1+$C$13)^(-C68))</f>
        <v>0.85860054665308</v>
      </c>
      <c r="N68" s="117">
        <f>IF(B68="","",L68*M68)</f>
        <v>26739.400976003</v>
      </c>
      <c r="O68" s="117">
        <f>IF(B68="","",IF(B68="Básico",F68,0)-IF(A68=$C$38,$C$30,0))</f>
        <v>31143.0048352941</v>
      </c>
      <c r="P68" s="130">
        <f>IF(B68="",$C$31,D68)</f>
        <v>46574.0</v>
      </c>
      <c r="Q68" s="117">
        <f>IF(B68="",0,L68)</f>
        <v>31143.0048352941</v>
      </c>
      <c r="R68" s="117">
        <f>IF(B68="",0,-F68)</f>
        <v>-31143.0048352941</v>
      </c>
      <c r="S68" s="117">
        <f>IF(B68="","",O68*M68)</f>
        <v>26739.400976003</v>
      </c>
    </row>
    <row r="69">
      <c r="A69" s="53" t="n">
        <v>10</v>
      </c>
      <c r="B69" s="53" t="str">
        <f>IF(A69&gt;$C$38,"",IF(A69&lt;=$C$5,"Básico",IF($C$6&gt;0,"Sucesivo","Opción de compra")))</f>
        <v>Básico</v>
      </c>
      <c r="C69" s="53">
        <f>IF(B69="","",IF(B69="Opción de compra",$C$5,A69-$C$7))</f>
        <v>10</v>
      </c>
      <c r="D69" s="130">
        <f>IF(B69="","",EDATE($C$33,C69))</f>
        <v>46605.0</v>
      </c>
      <c r="E69" s="117">
        <f>IF(B69="","",I68)</f>
        <v>512485.181914481</v>
      </c>
      <c r="F69" s="117">
        <f>IF(B69="","",IF(B69="Básico",$C$24,IF(B69="Sucesivo",$C$25,$C$26)))</f>
        <v>31143.0048352941</v>
      </c>
      <c r="G69" s="117">
        <f>IF(B69="","",IF(B69="Opción de compra",0,(E69-$C$7*F69)*IF(B69="Sucesivo",$C$11,$C$9)))</f>
        <v>10292.4107367825</v>
      </c>
      <c r="H69" s="117">
        <f>IF(B69="","",F69-G69)</f>
        <v>20850.5940985116</v>
      </c>
      <c r="I69" s="117">
        <f>IF(B69="","",E69-H69)</f>
        <v>491634.58781597</v>
      </c>
      <c r="J69" s="117">
        <f>IF(B69="","",IF(OR(inp_Tipo="Arrendamiento Puro",par_BaseIVAFin="Sobre renta",B69="Opción de compra"),F69,G69)*$C$14)</f>
        <v>4982.88077364706</v>
      </c>
      <c r="K69" s="117">
        <f>IF(B69="","",F69+J69)</f>
        <v>36125.8856089412</v>
      </c>
      <c r="L69" s="117">
        <f>IF(B69="","",F69-IF(A69=$C$38,$C$30,0))</f>
        <v>31143.0048352941</v>
      </c>
      <c r="M69" s="131">
        <f>IF(B69="","",$C$37*(1+$C$13)^(-C69))</f>
        <v>0.844179152792869</v>
      </c>
      <c r="N69" s="117">
        <f>IF(B69="","",L69*M69)</f>
        <v>26290.2754372828</v>
      </c>
      <c r="O69" s="117">
        <f>IF(B69="","",IF(B69="Básico",F69,0)-IF(A69=$C$38,$C$30,0))</f>
        <v>31143.0048352941</v>
      </c>
      <c r="P69" s="130">
        <f>IF(B69="",$C$31,D69)</f>
        <v>46605.0</v>
      </c>
      <c r="Q69" s="117">
        <f>IF(B69="",0,L69)</f>
        <v>31143.0048352941</v>
      </c>
      <c r="R69" s="117">
        <f>IF(B69="",0,-F69)</f>
        <v>-31143.0048352941</v>
      </c>
      <c r="S69" s="117">
        <f>IF(B69="","",O69*M69)</f>
        <v>26290.2754372828</v>
      </c>
    </row>
    <row r="70">
      <c r="A70" s="53" t="n">
        <v>11</v>
      </c>
      <c r="B70" s="53" t="str">
        <f>IF(A70&gt;$C$38,"",IF(A70&lt;=$C$5,"Básico",IF($C$6&gt;0,"Sucesivo","Opción de compra")))</f>
        <v>Básico</v>
      </c>
      <c r="C70" s="53">
        <f>IF(B70="","",IF(B70="Opción de compra",$C$5,A70-$C$7))</f>
        <v>11</v>
      </c>
      <c r="D70" s="130">
        <f>IF(B70="","",EDATE($C$33,C70))</f>
        <v>46636.0</v>
      </c>
      <c r="E70" s="117">
        <f>IF(B70="","",I69)</f>
        <v>491634.58781597</v>
      </c>
      <c r="F70" s="117">
        <f>IF(B70="","",IF(B70="Básico",$C$24,IF(B70="Sucesivo",$C$25,$C$26)))</f>
        <v>31143.0048352941</v>
      </c>
      <c r="G70" s="117">
        <f>IF(B70="","",IF(B70="Opción de compra",0,(E70-$C$7*F70)*IF(B70="Sucesivo",$C$11,$C$9)))</f>
        <v>9873.66130530406</v>
      </c>
      <c r="H70" s="117">
        <f>IF(B70="","",F70-G70)</f>
        <v>21269.3435299901</v>
      </c>
      <c r="I70" s="117">
        <f>IF(B70="","",E70-H70)</f>
        <v>470365.24428598</v>
      </c>
      <c r="J70" s="117">
        <f>IF(B70="","",IF(OR(inp_Tipo="Arrendamiento Puro",par_BaseIVAFin="Sobre renta",B70="Opción de compra"),F70,G70)*$C$14)</f>
        <v>4982.88077364706</v>
      </c>
      <c r="K70" s="117">
        <f>IF(B70="","",F70+J70)</f>
        <v>36125.8856089412</v>
      </c>
      <c r="L70" s="117">
        <f>IF(B70="","",F70-IF(A70=$C$38,$C$30,0))</f>
        <v>31143.0048352941</v>
      </c>
      <c r="M70" s="131">
        <f>IF(B70="","",$C$37*(1+$C$13)^(-C70))</f>
        <v>0.829999986359232</v>
      </c>
      <c r="N70" s="117">
        <f>IF(B70="","",L70*M70)</f>
        <v>25848.6935884796</v>
      </c>
      <c r="O70" s="117">
        <f>IF(B70="","",IF(B70="Básico",F70,0)-IF(A70=$C$38,$C$30,0))</f>
        <v>31143.0048352941</v>
      </c>
      <c r="P70" s="130">
        <f>IF(B70="",$C$31,D70)</f>
        <v>46636.0</v>
      </c>
      <c r="Q70" s="117">
        <f>IF(B70="",0,L70)</f>
        <v>31143.0048352941</v>
      </c>
      <c r="R70" s="117">
        <f>IF(B70="",0,-F70)</f>
        <v>-31143.0048352941</v>
      </c>
      <c r="S70" s="117">
        <f>IF(B70="","",O70*M70)</f>
        <v>25848.6935884796</v>
      </c>
    </row>
    <row r="71">
      <c r="A71" s="53" t="n">
        <v>12</v>
      </c>
      <c r="B71" s="53" t="str">
        <f>IF(A71&gt;$C$38,"",IF(A71&lt;=$C$5,"Básico",IF($C$6&gt;0,"Sucesivo","Opción de compra")))</f>
        <v>Básico</v>
      </c>
      <c r="C71" s="53">
        <f>IF(B71="","",IF(B71="Opción de compra",$C$5,A71-$C$7))</f>
        <v>12</v>
      </c>
      <c r="D71" s="130">
        <f>IF(B71="","",EDATE($C$33,C71))</f>
        <v>46666.0</v>
      </c>
      <c r="E71" s="117">
        <f>IF(B71="","",I70)</f>
        <v>470365.24428598</v>
      </c>
      <c r="F71" s="117">
        <f>IF(B71="","",IF(B71="Básico",$C$24,IF(B71="Sucesivo",$C$25,$C$26)))</f>
        <v>31143.0048352941</v>
      </c>
      <c r="G71" s="117">
        <f>IF(B71="","",IF(B71="Opción de compra",0,(E71-$C$7*F71)*IF(B71="Sucesivo",$C$11,$C$9)))</f>
        <v>9446.50198941009</v>
      </c>
      <c r="H71" s="117">
        <f>IF(B71="","",F71-G71)</f>
        <v>21696.502845884</v>
      </c>
      <c r="I71" s="117">
        <f>IF(B71="","",E71-H71)</f>
        <v>448668.741440096</v>
      </c>
      <c r="J71" s="117">
        <f>IF(B71="","",IF(OR(inp_Tipo="Arrendamiento Puro",par_BaseIVAFin="Sobre renta",B71="Opción de compra"),F71,G71)*$C$14)</f>
        <v>4982.88077364706</v>
      </c>
      <c r="K71" s="117">
        <f>IF(B71="","",F71+J71)</f>
        <v>36125.8856089412</v>
      </c>
      <c r="L71" s="117">
        <f>IF(B71="","",F71-IF(A71=$C$38,$C$30,0))</f>
        <v>31143.0048352941</v>
      </c>
      <c r="M71" s="131">
        <f>IF(B71="","",$C$37*(1+$C$13)^(-C71))</f>
        <v>0.816058978804652</v>
      </c>
      <c r="N71" s="117">
        <f>IF(B71="","",L71*M71)</f>
        <v>25414.5287227985</v>
      </c>
      <c r="O71" s="117">
        <f>IF(B71="","",IF(B71="Básico",F71,0)-IF(A71=$C$38,$C$30,0))</f>
        <v>31143.0048352941</v>
      </c>
      <c r="P71" s="130">
        <f>IF(B71="",$C$31,D71)</f>
        <v>46666.0</v>
      </c>
      <c r="Q71" s="117">
        <f>IF(B71="",0,L71)</f>
        <v>31143.0048352941</v>
      </c>
      <c r="R71" s="117">
        <f>IF(B71="",0,-F71)</f>
        <v>-31143.0048352941</v>
      </c>
      <c r="S71" s="117">
        <f>IF(B71="","",O71*M71)</f>
        <v>25414.5287227985</v>
      </c>
    </row>
    <row r="72">
      <c r="A72" s="53" t="n">
        <v>13</v>
      </c>
      <c r="B72" s="53" t="str">
        <f>IF(A72&gt;$C$38,"",IF(A72&lt;=$C$5,"Básico",IF($C$6&gt;0,"Sucesivo","Opción de compra")))</f>
        <v>Básico</v>
      </c>
      <c r="C72" s="53">
        <f>IF(B72="","",IF(B72="Opción de compra",$C$5,A72-$C$7))</f>
        <v>13</v>
      </c>
      <c r="D72" s="130">
        <f>IF(B72="","",EDATE($C$33,C72))</f>
        <v>46697.0</v>
      </c>
      <c r="E72" s="117">
        <f>IF(B72="","",I71)</f>
        <v>448668.741440096</v>
      </c>
      <c r="F72" s="117">
        <f>IF(B72="","",IF(B72="Básico",$C$24,IF(B72="Sucesivo",$C$25,$C$26)))</f>
        <v>31143.0048352941</v>
      </c>
      <c r="G72" s="117">
        <f>IF(B72="","",IF(B72="Opción de compra",0,(E72-$C$7*F72)*IF(B72="Sucesivo",$C$11,$C$9)))</f>
        <v>9010.76389058859</v>
      </c>
      <c r="H72" s="117">
        <f>IF(B72="","",F72-G72)</f>
        <v>22132.2409447055</v>
      </c>
      <c r="I72" s="117">
        <f>IF(B72="","",E72-H72)</f>
        <v>426536.50049539</v>
      </c>
      <c r="J72" s="117">
        <f>IF(B72="","",IF(OR(inp_Tipo="Arrendamiento Puro",par_BaseIVAFin="Sobre renta",B72="Opción de compra"),F72,G72)*$C$14)</f>
        <v>4982.88077364706</v>
      </c>
      <c r="K72" s="117">
        <f>IF(B72="","",F72+J72)</f>
        <v>36125.8856089412</v>
      </c>
      <c r="L72" s="117">
        <f>IF(B72="","",F72-IF(A72=$C$38,$C$30,0))</f>
        <v>31143.0048352941</v>
      </c>
      <c r="M72" s="131">
        <f>IF(B72="","",$C$37*(1+$C$13)^(-C72))</f>
        <v>0.802352129918544</v>
      </c>
      <c r="N72" s="117">
        <f>IF(B72="","",L72*M72)</f>
        <v>24987.6562616617</v>
      </c>
      <c r="O72" s="117">
        <f>IF(B72="","",IF(B72="Básico",F72,0)-IF(A72=$C$38,$C$30,0))</f>
        <v>31143.0048352941</v>
      </c>
      <c r="P72" s="130">
        <f>IF(B72="",$C$31,D72)</f>
        <v>46697.0</v>
      </c>
      <c r="Q72" s="117">
        <f>IF(B72="",0,L72)</f>
        <v>31143.0048352941</v>
      </c>
      <c r="R72" s="117">
        <f>IF(B72="",0,-F72)</f>
        <v>-31143.0048352941</v>
      </c>
      <c r="S72" s="117">
        <f>IF(B72="","",O72*M72)</f>
        <v>24987.6562616617</v>
      </c>
    </row>
    <row r="73">
      <c r="A73" s="53" t="n">
        <v>14</v>
      </c>
      <c r="B73" s="53" t="str">
        <f>IF(A73&gt;$C$38,"",IF(A73&lt;=$C$5,"Básico",IF($C$6&gt;0,"Sucesivo","Opción de compra")))</f>
        <v>Básico</v>
      </c>
      <c r="C73" s="53">
        <f>IF(B73="","",IF(B73="Opción de compra",$C$5,A73-$C$7))</f>
        <v>14</v>
      </c>
      <c r="D73" s="130">
        <f>IF(B73="","",EDATE($C$33,C73))</f>
        <v>46727.0</v>
      </c>
      <c r="E73" s="117">
        <f>IF(B73="","",I72)</f>
        <v>426536.50049539</v>
      </c>
      <c r="F73" s="117">
        <f>IF(B73="","",IF(B73="Básico",$C$24,IF(B73="Sucesivo",$C$25,$C$26)))</f>
        <v>31143.0048352941</v>
      </c>
      <c r="G73" s="117">
        <f>IF(B73="","",IF(B73="Opción de compra",0,(E73-$C$7*F73)*IF(B73="Sucesivo",$C$11,$C$9)))</f>
        <v>8566.27471828242</v>
      </c>
      <c r="H73" s="117">
        <f>IF(B73="","",F73-G73)</f>
        <v>22576.7301170117</v>
      </c>
      <c r="I73" s="117">
        <f>IF(B73="","",E73-H73)</f>
        <v>403959.770378378</v>
      </c>
      <c r="J73" s="117">
        <f>IF(B73="","",IF(OR(inp_Tipo="Arrendamiento Puro",par_BaseIVAFin="Sobre renta",B73="Opción de compra"),F73,G73)*$C$14)</f>
        <v>4982.88077364706</v>
      </c>
      <c r="K73" s="117">
        <f>IF(B73="","",F73+J73)</f>
        <v>36125.8856089412</v>
      </c>
      <c r="L73" s="117">
        <f>IF(B73="","",F73-IF(A73=$C$38,$C$30,0))</f>
        <v>31143.0048352941</v>
      </c>
      <c r="M73" s="131">
        <f>IF(B73="","",$C$37*(1+$C$13)^(-C73))</f>
        <v>0.788875506679437</v>
      </c>
      <c r="N73" s="117">
        <f>IF(B73="","",L73*M73)</f>
        <v>24567.9537189628</v>
      </c>
      <c r="O73" s="117">
        <f>IF(B73="","",IF(B73="Básico",F73,0)-IF(A73=$C$38,$C$30,0))</f>
        <v>31143.0048352941</v>
      </c>
      <c r="P73" s="130">
        <f>IF(B73="",$C$31,D73)</f>
        <v>46727.0</v>
      </c>
      <c r="Q73" s="117">
        <f>IF(B73="",0,L73)</f>
        <v>31143.0048352941</v>
      </c>
      <c r="R73" s="117">
        <f>IF(B73="",0,-F73)</f>
        <v>-31143.0048352941</v>
      </c>
      <c r="S73" s="117">
        <f>IF(B73="","",O73*M73)</f>
        <v>24567.9537189628</v>
      </c>
    </row>
    <row r="74">
      <c r="A74" s="53" t="n">
        <v>15</v>
      </c>
      <c r="B74" s="53" t="str">
        <f>IF(A74&gt;$C$38,"",IF(A74&lt;=$C$5,"Básico",IF($C$6&gt;0,"Sucesivo","Opción de compra")))</f>
        <v>Básico</v>
      </c>
      <c r="C74" s="53">
        <f>IF(B74="","",IF(B74="Opción de compra",$C$5,A74-$C$7))</f>
        <v>15</v>
      </c>
      <c r="D74" s="130">
        <f>IF(B74="","",EDATE($C$33,C74))</f>
        <v>46758.0</v>
      </c>
      <c r="E74" s="117">
        <f>IF(B74="","",I73)</f>
        <v>403959.770378378</v>
      </c>
      <c r="F74" s="117">
        <f>IF(B74="","",IF(B74="Básico",$C$24,IF(B74="Sucesivo",$C$25,$C$26)))</f>
        <v>31143.0048352941</v>
      </c>
      <c r="G74" s="117">
        <f>IF(B74="","",IF(B74="Opción de compra",0,(E74-$C$7*F74)*IF(B74="Sucesivo",$C$11,$C$9)))</f>
        <v>8112.85872176576</v>
      </c>
      <c r="H74" s="117">
        <f>IF(B74="","",F74-G74)</f>
        <v>23030.1461135283</v>
      </c>
      <c r="I74" s="117">
        <f>IF(B74="","",E74-H74)</f>
        <v>380929.62426485</v>
      </c>
      <c r="J74" s="117">
        <f>IF(B74="","",IF(OR(inp_Tipo="Arrendamiento Puro",par_BaseIVAFin="Sobre renta",B74="Opción de compra"),F74,G74)*$C$14)</f>
        <v>4982.88077364706</v>
      </c>
      <c r="K74" s="117">
        <f>IF(B74="","",F74+J74)</f>
        <v>36125.8856089412</v>
      </c>
      <c r="L74" s="117">
        <f>IF(B74="","",F74-IF(A74=$C$38,$C$30,0))</f>
        <v>31143.0048352941</v>
      </c>
      <c r="M74" s="131">
        <f>IF(B74="","",$C$37*(1+$C$13)^(-C74))</f>
        <v>0.775625242126444</v>
      </c>
      <c r="N74" s="117">
        <f>IF(B74="","",L74*M74)</f>
        <v>24155.30066592</v>
      </c>
      <c r="O74" s="117">
        <f>IF(B74="","",IF(B74="Básico",F74,0)-IF(A74=$C$38,$C$30,0))</f>
        <v>31143.0048352941</v>
      </c>
      <c r="P74" s="130">
        <f>IF(B74="",$C$31,D74)</f>
        <v>46758.0</v>
      </c>
      <c r="Q74" s="117">
        <f>IF(B74="",0,L74)</f>
        <v>31143.0048352941</v>
      </c>
      <c r="R74" s="117">
        <f>IF(B74="",0,-F74)</f>
        <v>-31143.0048352941</v>
      </c>
      <c r="S74" s="117">
        <f>IF(B74="","",O74*M74)</f>
        <v>24155.30066592</v>
      </c>
    </row>
    <row r="75">
      <c r="A75" s="53" t="n">
        <v>16</v>
      </c>
      <c r="B75" s="53" t="str">
        <f>IF(A75&gt;$C$38,"",IF(A75&lt;=$C$5,"Básico",IF($C$6&gt;0,"Sucesivo","Opción de compra")))</f>
        <v>Básico</v>
      </c>
      <c r="C75" s="53">
        <f>IF(B75="","",IF(B75="Opción de compra",$C$5,A75-$C$7))</f>
        <v>16</v>
      </c>
      <c r="D75" s="130">
        <f>IF(B75="","",EDATE($C$33,C75))</f>
        <v>46789.0</v>
      </c>
      <c r="E75" s="117">
        <f>IF(B75="","",I74)</f>
        <v>380929.62426485</v>
      </c>
      <c r="F75" s="117">
        <f>IF(B75="","",IF(B75="Básico",$C$24,IF(B75="Sucesivo",$C$25,$C$26)))</f>
        <v>31143.0048352941</v>
      </c>
      <c r="G75" s="117">
        <f>IF(B75="","",IF(B75="Opción de compra",0,(E75-$C$7*F75)*IF(B75="Sucesivo",$C$11,$C$9)))</f>
        <v>7650.3366206524</v>
      </c>
      <c r="H75" s="117">
        <f>IF(B75="","",F75-G75)</f>
        <v>23492.6682146417</v>
      </c>
      <c r="I75" s="117">
        <f>IF(B75="","",E75-H75)</f>
        <v>357436.956050208</v>
      </c>
      <c r="J75" s="117">
        <f>IF(B75="","",IF(OR(inp_Tipo="Arrendamiento Puro",par_BaseIVAFin="Sobre renta",B75="Opción de compra"),F75,G75)*$C$14)</f>
        <v>4982.88077364706</v>
      </c>
      <c r="K75" s="117">
        <f>IF(B75="","",F75+J75)</f>
        <v>36125.8856089412</v>
      </c>
      <c r="L75" s="117">
        <f>IF(B75="","",F75-IF(A75=$C$38,$C$30,0))</f>
        <v>31143.0048352941</v>
      </c>
      <c r="M75" s="131">
        <f>IF(B75="","",$C$37*(1+$C$13)^(-C75))</f>
        <v>0.762597534249678</v>
      </c>
      <c r="N75" s="117">
        <f>IF(B75="","",L75*M75)</f>
        <v>23749.5786965211</v>
      </c>
      <c r="O75" s="117">
        <f>IF(B75="","",IF(B75="Básico",F75,0)-IF(A75=$C$38,$C$30,0))</f>
        <v>31143.0048352941</v>
      </c>
      <c r="P75" s="130">
        <f>IF(B75="",$C$31,D75)</f>
        <v>46789.0</v>
      </c>
      <c r="Q75" s="117">
        <f>IF(B75="",0,L75)</f>
        <v>31143.0048352941</v>
      </c>
      <c r="R75" s="117">
        <f>IF(B75="",0,-F75)</f>
        <v>-31143.0048352941</v>
      </c>
      <c r="S75" s="117">
        <f>IF(B75="","",O75*M75)</f>
        <v>23749.5786965211</v>
      </c>
    </row>
    <row r="76">
      <c r="A76" s="53" t="n">
        <v>17</v>
      </c>
      <c r="B76" s="53" t="str">
        <f>IF(A76&gt;$C$38,"",IF(A76&lt;=$C$5,"Básico",IF($C$6&gt;0,"Sucesivo","Opción de compra")))</f>
        <v>Básico</v>
      </c>
      <c r="C76" s="53">
        <f>IF(B76="","",IF(B76="Opción de compra",$C$5,A76-$C$7))</f>
        <v>17</v>
      </c>
      <c r="D76" s="130">
        <f>IF(B76="","",EDATE($C$33,C76))</f>
        <v>46818.0</v>
      </c>
      <c r="E76" s="117">
        <f>IF(B76="","",I75)</f>
        <v>357436.956050208</v>
      </c>
      <c r="F76" s="117">
        <f>IF(B76="","",IF(B76="Básico",$C$24,IF(B76="Sucesivo",$C$25,$C$26)))</f>
        <v>31143.0048352941</v>
      </c>
      <c r="G76" s="117">
        <f>IF(B76="","",IF(B76="Opción de compra",0,(E76-$C$7*F76)*IF(B76="Sucesivo",$C$11,$C$9)))</f>
        <v>7178.52553400835</v>
      </c>
      <c r="H76" s="117">
        <f>IF(B76="","",F76-G76)</f>
        <v>23964.4793012858</v>
      </c>
      <c r="I76" s="117">
        <f>IF(B76="","",E76-H76)</f>
        <v>333472.476748923</v>
      </c>
      <c r="J76" s="117">
        <f>IF(B76="","",IF(OR(inp_Tipo="Arrendamiento Puro",par_BaseIVAFin="Sobre renta",B76="Opción de compra"),F76,G76)*$C$14)</f>
        <v>4982.88077364706</v>
      </c>
      <c r="K76" s="117">
        <f>IF(B76="","",F76+J76)</f>
        <v>36125.8856089412</v>
      </c>
      <c r="L76" s="117">
        <f>IF(B76="","",F76-IF(A76=$C$38,$C$30,0))</f>
        <v>31143.0048352941</v>
      </c>
      <c r="M76" s="131">
        <f>IF(B76="","",$C$37*(1+$C$13)^(-C76))</f>
        <v>0.749788644899315</v>
      </c>
      <c r="N76" s="117">
        <f>IF(B76="","",L76*M76)</f>
        <v>23350.671393548</v>
      </c>
      <c r="O76" s="117">
        <f>IF(B76="","",IF(B76="Básico",F76,0)-IF(A76=$C$38,$C$30,0))</f>
        <v>31143.0048352941</v>
      </c>
      <c r="P76" s="130">
        <f>IF(B76="",$C$31,D76)</f>
        <v>46818.0</v>
      </c>
      <c r="Q76" s="117">
        <f>IF(B76="",0,L76)</f>
        <v>31143.0048352941</v>
      </c>
      <c r="R76" s="117">
        <f>IF(B76="",0,-F76)</f>
        <v>-31143.0048352941</v>
      </c>
      <c r="S76" s="117">
        <f>IF(B76="","",O76*M76)</f>
        <v>23350.671393548</v>
      </c>
    </row>
    <row r="77">
      <c r="A77" s="53" t="n">
        <v>18</v>
      </c>
      <c r="B77" s="53" t="str">
        <f>IF(A77&gt;$C$38,"",IF(A77&lt;=$C$5,"Básico",IF($C$6&gt;0,"Sucesivo","Opción de compra")))</f>
        <v>Básico</v>
      </c>
      <c r="C77" s="53">
        <f>IF(B77="","",IF(B77="Opción de compra",$C$5,A77-$C$7))</f>
        <v>18</v>
      </c>
      <c r="D77" s="130">
        <f>IF(B77="","",EDATE($C$33,C77))</f>
        <v>46849.0</v>
      </c>
      <c r="E77" s="117">
        <f>IF(B77="","",I76)</f>
        <v>333472.476748923</v>
      </c>
      <c r="F77" s="117">
        <f>IF(B77="","",IF(B77="Básico",$C$24,IF(B77="Sucesivo",$C$25,$C$26)))</f>
        <v>31143.0048352941</v>
      </c>
      <c r="G77" s="117">
        <f>IF(B77="","",IF(B77="Opción de compra",0,(E77-$C$7*F77)*IF(B77="Sucesivo",$C$11,$C$9)))</f>
        <v>6697.23890804086</v>
      </c>
      <c r="H77" s="117">
        <f>IF(B77="","",F77-G77)</f>
        <v>24445.7659272533</v>
      </c>
      <c r="I77" s="117">
        <f>IF(B77="","",E77-H77)</f>
        <v>309026.710821669</v>
      </c>
      <c r="J77" s="117">
        <f>IF(B77="","",IF(OR(inp_Tipo="Arrendamiento Puro",par_BaseIVAFin="Sobre renta",B77="Opción de compra"),F77,G77)*$C$14)</f>
        <v>4982.88077364706</v>
      </c>
      <c r="K77" s="117">
        <f>IF(B77="","",F77+J77)</f>
        <v>36125.8856089412</v>
      </c>
      <c r="L77" s="117">
        <f>IF(B77="","",F77-IF(A77=$C$38,$C$30,0))</f>
        <v>31143.0048352941</v>
      </c>
      <c r="M77" s="131">
        <f>IF(B77="","",$C$37*(1+$C$13)^(-C77))</f>
        <v>0.737194898712968</v>
      </c>
      <c r="N77" s="117">
        <f>IF(B77="","",L77*M77)</f>
        <v>22958.4642951721</v>
      </c>
      <c r="O77" s="117">
        <f>IF(B77="","",IF(B77="Básico",F77,0)-IF(A77=$C$38,$C$30,0))</f>
        <v>31143.0048352941</v>
      </c>
      <c r="P77" s="130">
        <f>IF(B77="",$C$31,D77)</f>
        <v>46849.0</v>
      </c>
      <c r="Q77" s="117">
        <f>IF(B77="",0,L77)</f>
        <v>31143.0048352941</v>
      </c>
      <c r="R77" s="117">
        <f>IF(B77="",0,-F77)</f>
        <v>-31143.0048352941</v>
      </c>
      <c r="S77" s="117">
        <f>IF(B77="","",O77*M77)</f>
        <v>22958.4642951721</v>
      </c>
    </row>
    <row r="78">
      <c r="A78" s="53" t="n">
        <v>19</v>
      </c>
      <c r="B78" s="53" t="str">
        <f>IF(A78&gt;$C$38,"",IF(A78&lt;=$C$5,"Básico",IF($C$6&gt;0,"Sucesivo","Opción de compra")))</f>
        <v>Básico</v>
      </c>
      <c r="C78" s="53">
        <f>IF(B78="","",IF(B78="Opción de compra",$C$5,A78-$C$7))</f>
        <v>19</v>
      </c>
      <c r="D78" s="130">
        <f>IF(B78="","",EDATE($C$33,C78))</f>
        <v>46879.0</v>
      </c>
      <c r="E78" s="117">
        <f>IF(B78="","",I77)</f>
        <v>309026.710821669</v>
      </c>
      <c r="F78" s="117">
        <f>IF(B78="","",IF(B78="Básico",$C$24,IF(B78="Sucesivo",$C$25,$C$26)))</f>
        <v>31143.0048352941</v>
      </c>
      <c r="G78" s="117">
        <f>IF(B78="","",IF(B78="Opción de compra",0,(E78-$C$7*F78)*IF(B78="Sucesivo",$C$11,$C$9)))</f>
        <v>6206.28644233519</v>
      </c>
      <c r="H78" s="117">
        <f>IF(B78="","",F78-G78)</f>
        <v>24936.7183929589</v>
      </c>
      <c r="I78" s="117">
        <f>IF(B78="","",E78-H78)</f>
        <v>284089.99242871</v>
      </c>
      <c r="J78" s="117">
        <f>IF(B78="","",IF(OR(inp_Tipo="Arrendamiento Puro",par_BaseIVAFin="Sobre renta",B78="Opción de compra"),F78,G78)*$C$14)</f>
        <v>4982.88077364706</v>
      </c>
      <c r="K78" s="117">
        <f>IF(B78="","",F78+J78)</f>
        <v>36125.8856089412</v>
      </c>
      <c r="L78" s="117">
        <f>IF(B78="","",F78-IF(A78=$C$38,$C$30,0))</f>
        <v>31143.0048352941</v>
      </c>
      <c r="M78" s="131">
        <f>IF(B78="","",$C$37*(1+$C$13)^(-C78))</f>
        <v>0.724812682061091</v>
      </c>
      <c r="N78" s="117">
        <f>IF(B78="","",L78*M78)</f>
        <v>22572.8448621111</v>
      </c>
      <c r="O78" s="117">
        <f>IF(B78="","",IF(B78="Básico",F78,0)-IF(A78=$C$38,$C$30,0))</f>
        <v>31143.0048352941</v>
      </c>
      <c r="P78" s="130">
        <f>IF(B78="",$C$31,D78)</f>
        <v>46879.0</v>
      </c>
      <c r="Q78" s="117">
        <f>IF(B78="",0,L78)</f>
        <v>31143.0048352941</v>
      </c>
      <c r="R78" s="117">
        <f>IF(B78="",0,-F78)</f>
        <v>-31143.0048352941</v>
      </c>
      <c r="S78" s="117">
        <f>IF(B78="","",O78*M78)</f>
        <v>22572.8448621111</v>
      </c>
    </row>
    <row r="79">
      <c r="A79" s="53" t="n">
        <v>20</v>
      </c>
      <c r="B79" s="53" t="str">
        <f>IF(A79&gt;$C$38,"",IF(A79&lt;=$C$5,"Básico",IF($C$6&gt;0,"Sucesivo","Opción de compra")))</f>
        <v>Básico</v>
      </c>
      <c r="C79" s="53">
        <f>IF(B79="","",IF(B79="Opción de compra",$C$5,A79-$C$7))</f>
        <v>20</v>
      </c>
      <c r="D79" s="130">
        <f>IF(B79="","",EDATE($C$33,C79))</f>
        <v>46910.0</v>
      </c>
      <c r="E79" s="117">
        <f>IF(B79="","",I78)</f>
        <v>284089.99242871</v>
      </c>
      <c r="F79" s="117">
        <f>IF(B79="","",IF(B79="Básico",$C$24,IF(B79="Sucesivo",$C$25,$C$26)))</f>
        <v>31143.0048352941</v>
      </c>
      <c r="G79" s="117">
        <f>IF(B79="","",IF(B79="Opción de compra",0,(E79-$C$7*F79)*IF(B79="Sucesivo",$C$11,$C$9)))</f>
        <v>5705.47401460993</v>
      </c>
      <c r="H79" s="117">
        <f>IF(B79="","",F79-G79)</f>
        <v>25437.5308206842</v>
      </c>
      <c r="I79" s="117">
        <f>IF(B79="","",E79-H79)</f>
        <v>258652.461608026</v>
      </c>
      <c r="J79" s="117">
        <f>IF(B79="","",IF(OR(inp_Tipo="Arrendamiento Puro",par_BaseIVAFin="Sobre renta",B79="Opción de compra"),F79,G79)*$C$14)</f>
        <v>4982.88077364706</v>
      </c>
      <c r="K79" s="117">
        <f>IF(B79="","",F79+J79)</f>
        <v>36125.8856089412</v>
      </c>
      <c r="L79" s="117">
        <f>IF(B79="","",F79-IF(A79=$C$38,$C$30,0))</f>
        <v>31143.0048352941</v>
      </c>
      <c r="M79" s="131">
        <f>IF(B79="","",$C$37*(1+$C$13)^(-C79))</f>
        <v>0.712638442010086</v>
      </c>
      <c r="N79" s="117">
        <f>IF(B79="","",L79*M79)</f>
        <v>22193.7024453366</v>
      </c>
      <c r="O79" s="117">
        <f>IF(B79="","",IF(B79="Básico",F79,0)-IF(A79=$C$38,$C$30,0))</f>
        <v>31143.0048352941</v>
      </c>
      <c r="P79" s="130">
        <f>IF(B79="",$C$31,D79)</f>
        <v>46910.0</v>
      </c>
      <c r="Q79" s="117">
        <f>IF(B79="",0,L79)</f>
        <v>31143.0048352941</v>
      </c>
      <c r="R79" s="117">
        <f>IF(B79="",0,-F79)</f>
        <v>-31143.0048352941</v>
      </c>
      <c r="S79" s="117">
        <f>IF(B79="","",O79*M79)</f>
        <v>22193.7024453366</v>
      </c>
    </row>
    <row r="80">
      <c r="A80" s="53" t="n">
        <v>21</v>
      </c>
      <c r="B80" s="53" t="str">
        <f>IF(A80&gt;$C$38,"",IF(A80&lt;=$C$5,"Básico",IF($C$6&gt;0,"Sucesivo","Opción de compra")))</f>
        <v>Básico</v>
      </c>
      <c r="C80" s="53">
        <f>IF(B80="","",IF(B80="Opción de compra",$C$5,A80-$C$7))</f>
        <v>21</v>
      </c>
      <c r="D80" s="130">
        <f>IF(B80="","",EDATE($C$33,C80))</f>
        <v>46940.0</v>
      </c>
      <c r="E80" s="117">
        <f>IF(B80="","",I79)</f>
        <v>258652.461608026</v>
      </c>
      <c r="F80" s="117">
        <f>IF(B80="","",IF(B80="Básico",$C$24,IF(B80="Sucesivo",$C$25,$C$26)))</f>
        <v>31143.0048352941</v>
      </c>
      <c r="G80" s="117">
        <f>IF(B80="","",IF(B80="Opción de compra",0,(E80-$C$7*F80)*IF(B80="Sucesivo",$C$11,$C$9)))</f>
        <v>5194.60360396119</v>
      </c>
      <c r="H80" s="117">
        <f>IF(B80="","",F80-G80)</f>
        <v>25948.4012313329</v>
      </c>
      <c r="I80" s="117">
        <f>IF(B80="","",E80-H80)</f>
        <v>232704.060376693</v>
      </c>
      <c r="J80" s="117">
        <f>IF(B80="","",IF(OR(inp_Tipo="Arrendamiento Puro",par_BaseIVAFin="Sobre renta",B80="Opción de compra"),F80,G80)*$C$14)</f>
        <v>4982.88077364706</v>
      </c>
      <c r="K80" s="117">
        <f>IF(B80="","",F80+J80)</f>
        <v>36125.8856089412</v>
      </c>
      <c r="L80" s="117">
        <f>IF(B80="","",F80-IF(A80=$C$38,$C$30,0))</f>
        <v>31143.0048352941</v>
      </c>
      <c r="M80" s="131">
        <f>IF(B80="","",$C$37*(1+$C$13)^(-C80))</f>
        <v>0.700668685302829</v>
      </c>
      <c r="N80" s="117">
        <f>IF(B80="","",L80*M80)</f>
        <v>21820.9282543252</v>
      </c>
      <c r="O80" s="117">
        <f>IF(B80="","",IF(B80="Básico",F80,0)-IF(A80=$C$38,$C$30,0))</f>
        <v>31143.0048352941</v>
      </c>
      <c r="P80" s="130">
        <f>IF(B80="",$C$31,D80)</f>
        <v>46940.0</v>
      </c>
      <c r="Q80" s="117">
        <f>IF(B80="",0,L80)</f>
        <v>31143.0048352941</v>
      </c>
      <c r="R80" s="117">
        <f>IF(B80="",0,-F80)</f>
        <v>-31143.0048352941</v>
      </c>
      <c r="S80" s="117">
        <f>IF(B80="","",O80*M80)</f>
        <v>21820.9282543252</v>
      </c>
    </row>
    <row r="81">
      <c r="A81" s="53" t="n">
        <v>22</v>
      </c>
      <c r="B81" s="53" t="str">
        <f>IF(A81&gt;$C$38,"",IF(A81&lt;=$C$5,"Básico",IF($C$6&gt;0,"Sucesivo","Opción de compra")))</f>
        <v>Básico</v>
      </c>
      <c r="C81" s="53">
        <f>IF(B81="","",IF(B81="Opción de compra",$C$5,A81-$C$7))</f>
        <v>22</v>
      </c>
      <c r="D81" s="130">
        <f>IF(B81="","",EDATE($C$33,C81))</f>
        <v>46971.0</v>
      </c>
      <c r="E81" s="117">
        <f>IF(B81="","",I80)</f>
        <v>232704.060376693</v>
      </c>
      <c r="F81" s="117">
        <f>IF(B81="","",IF(B81="Básico",$C$24,IF(B81="Sucesivo",$C$25,$C$26)))</f>
        <v>31143.0048352941</v>
      </c>
      <c r="G81" s="117">
        <f>IF(B81="","",IF(B81="Opción de compra",0,(E81-$C$7*F81)*IF(B81="Sucesivo",$C$11,$C$9)))</f>
        <v>4673.47321256526</v>
      </c>
      <c r="H81" s="117">
        <f>IF(B81="","",F81-G81)</f>
        <v>26469.5316227289</v>
      </c>
      <c r="I81" s="117">
        <f>IF(B81="","",E81-H81)</f>
        <v>206234.528753964</v>
      </c>
      <c r="J81" s="117">
        <f>IF(B81="","",IF(OR(inp_Tipo="Arrendamiento Puro",par_BaseIVAFin="Sobre renta",B81="Opción de compra"),F81,G81)*$C$14)</f>
        <v>4982.88077364706</v>
      </c>
      <c r="K81" s="117">
        <f>IF(B81="","",F81+J81)</f>
        <v>36125.8856089412</v>
      </c>
      <c r="L81" s="117">
        <f>IF(B81="","",F81-IF(A81=$C$38,$C$30,0))</f>
        <v>31143.0048352941</v>
      </c>
      <c r="M81" s="131">
        <f>IF(B81="","",$C$37*(1+$C$13)^(-C81))</f>
        <v>0.688899977356325</v>
      </c>
      <c r="N81" s="117">
        <f>IF(B81="","",L81*M81)</f>
        <v>21454.415325842</v>
      </c>
      <c r="O81" s="117">
        <f>IF(B81="","",IF(B81="Básico",F81,0)-IF(A81=$C$38,$C$30,0))</f>
        <v>31143.0048352941</v>
      </c>
      <c r="P81" s="130">
        <f>IF(B81="",$C$31,D81)</f>
        <v>46971.0</v>
      </c>
      <c r="Q81" s="117">
        <f>IF(B81="",0,L81)</f>
        <v>31143.0048352941</v>
      </c>
      <c r="R81" s="117">
        <f>IF(B81="",0,-F81)</f>
        <v>-31143.0048352941</v>
      </c>
      <c r="S81" s="117">
        <f>IF(B81="","",O81*M81)</f>
        <v>21454.415325842</v>
      </c>
    </row>
    <row r="82">
      <c r="A82" s="53" t="n">
        <v>23</v>
      </c>
      <c r="B82" s="53" t="str">
        <f>IF(A82&gt;$C$38,"",IF(A82&lt;=$C$5,"Básico",IF($C$6&gt;0,"Sucesivo","Opción de compra")))</f>
        <v>Básico</v>
      </c>
      <c r="C82" s="53">
        <f>IF(B82="","",IF(B82="Opción de compra",$C$5,A82-$C$7))</f>
        <v>23</v>
      </c>
      <c r="D82" s="130">
        <f>IF(B82="","",EDATE($C$33,C82))</f>
        <v>47002.0</v>
      </c>
      <c r="E82" s="117">
        <f>IF(B82="","",I81)</f>
        <v>206234.528753964</v>
      </c>
      <c r="F82" s="117">
        <f>IF(B82="","",IF(B82="Básico",$C$24,IF(B82="Sucesivo",$C$25,$C$26)))</f>
        <v>31143.0048352941</v>
      </c>
      <c r="G82" s="117">
        <f>IF(B82="","",IF(B82="Opción de compra",0,(E82-$C$7*F82)*IF(B82="Sucesivo",$C$11,$C$9)))</f>
        <v>4141.87678580879</v>
      </c>
      <c r="H82" s="117">
        <f>IF(B82="","",F82-G82)</f>
        <v>27001.1280494853</v>
      </c>
      <c r="I82" s="117">
        <f>IF(B82="","",E82-H82)</f>
        <v>179233.400704479</v>
      </c>
      <c r="J82" s="117">
        <f>IF(B82="","",IF(OR(inp_Tipo="Arrendamiento Puro",par_BaseIVAFin="Sobre renta",B82="Opción de compra"),F82,G82)*$C$14)</f>
        <v>4982.88077364706</v>
      </c>
      <c r="K82" s="117">
        <f>IF(B82="","",F82+J82)</f>
        <v>36125.8856089412</v>
      </c>
      <c r="L82" s="117">
        <f>IF(B82="","",F82-IF(A82=$C$38,$C$30,0))</f>
        <v>31143.0048352941</v>
      </c>
      <c r="M82" s="131">
        <f>IF(B82="","",$C$37*(1+$C$13)^(-C82))</f>
        <v>0.67732894127619</v>
      </c>
      <c r="N82" s="117">
        <f>IF(B82="","",L82*M82)</f>
        <v>21094.058493249</v>
      </c>
      <c r="O82" s="117">
        <f>IF(B82="","",IF(B82="Básico",F82,0)-IF(A82=$C$38,$C$30,0))</f>
        <v>31143.0048352941</v>
      </c>
      <c r="P82" s="130">
        <f>IF(B82="",$C$31,D82)</f>
        <v>47002.0</v>
      </c>
      <c r="Q82" s="117">
        <f>IF(B82="",0,L82)</f>
        <v>31143.0048352941</v>
      </c>
      <c r="R82" s="117">
        <f>IF(B82="",0,-F82)</f>
        <v>-31143.0048352941</v>
      </c>
      <c r="S82" s="117">
        <f>IF(B82="","",O82*M82)</f>
        <v>21094.058493249</v>
      </c>
    </row>
    <row r="83">
      <c r="A83" s="53" t="n">
        <v>24</v>
      </c>
      <c r="B83" s="53" t="str">
        <f>IF(A83&gt;$C$38,"",IF(A83&lt;=$C$5,"Básico",IF($C$6&gt;0,"Sucesivo","Opción de compra")))</f>
        <v>Básico</v>
      </c>
      <c r="C83" s="53">
        <f>IF(B83="","",IF(B83="Opción de compra",$C$5,A83-$C$7))</f>
        <v>24</v>
      </c>
      <c r="D83" s="130">
        <f>IF(B83="","",EDATE($C$33,C83))</f>
        <v>47032.0</v>
      </c>
      <c r="E83" s="117">
        <f>IF(B83="","",I82)</f>
        <v>179233.400704479</v>
      </c>
      <c r="F83" s="117">
        <f>IF(B83="","",IF(B83="Básico",$C$24,IF(B83="Sucesivo",$C$25,$C$26)))</f>
        <v>31143.0048352941</v>
      </c>
      <c r="G83" s="117">
        <f>IF(B83="","",IF(B83="Opción de compra",0,(E83-$C$7*F83)*IF(B83="Sucesivo",$C$11,$C$9)))</f>
        <v>3599.60413081496</v>
      </c>
      <c r="H83" s="117">
        <f>IF(B83="","",F83-G83)</f>
        <v>27543.4007044792</v>
      </c>
      <c r="I83" s="117">
        <f>IF(B83="","",E83-H83)</f>
        <v>151690</v>
      </c>
      <c r="J83" s="117">
        <f>IF(B83="","",IF(OR(inp_Tipo="Arrendamiento Puro",par_BaseIVAFin="Sobre renta",B83="Opción de compra"),F83,G83)*$C$14)</f>
        <v>4982.88077364706</v>
      </c>
      <c r="K83" s="117">
        <f>IF(B83="","",F83+J83)</f>
        <v>36125.8856089412</v>
      </c>
      <c r="L83" s="117">
        <f>IF(B83="","",F83-IF(A83=$C$38,$C$30,0))</f>
        <v>31143.0048352941</v>
      </c>
      <c r="M83" s="131">
        <f>IF(B83="","",$C$37*(1+$C$13)^(-C83))</f>
        <v>0.665952256887692</v>
      </c>
      <c r="N83" s="117">
        <f>IF(B83="","",L83*M83)</f>
        <v>20739.7543563284</v>
      </c>
      <c r="O83" s="117">
        <f>IF(B83="","",IF(B83="Básico",F83,0)-IF(A83=$C$38,$C$30,0))</f>
        <v>31143.0048352941</v>
      </c>
      <c r="P83" s="130">
        <f>IF(B83="",$C$31,D83)</f>
        <v>47032.0</v>
      </c>
      <c r="Q83" s="117">
        <f>IF(B83="",0,L83)</f>
        <v>31143.0048352941</v>
      </c>
      <c r="R83" s="117">
        <f>IF(B83="",0,-F83)</f>
        <v>-31143.0048352941</v>
      </c>
      <c r="S83" s="117">
        <f>IF(B83="","",O83*M83)</f>
        <v>20739.7543563284</v>
      </c>
    </row>
    <row r="84">
      <c r="A84" s="53" t="n">
        <v>25</v>
      </c>
      <c r="B84" s="53" t="str">
        <f>IF(A84&gt;$C$38,"",IF(A84&lt;=$C$5,"Básico",IF($C$6&gt;0,"Sucesivo","Opción de compra")))</f>
        <v>Opción de compra</v>
      </c>
      <c r="C84" s="53">
        <f>IF(B84="","",IF(B84="Opción de compra",$C$5,A84-$C$7))</f>
        <v>24</v>
      </c>
      <c r="D84" s="130">
        <f>IF(B84="","",EDATE($C$33,C84))</f>
        <v>47032.0</v>
      </c>
      <c r="E84" s="117">
        <f>IF(B84="","",I83)</f>
        <v>151690</v>
      </c>
      <c r="F84" s="117">
        <f>IF(B84="","",IF(B84="Básico",$C$24,IF(B84="Sucesivo",$C$25,$C$26)))</f>
        <v>151690</v>
      </c>
      <c r="G84" s="117">
        <f>IF(B84="","",IF(B84="Opción de compra",0,(E84-$C$7*F84)*IF(B84="Sucesivo",$C$11,$C$9)))</f>
        <v>0</v>
      </c>
      <c r="H84" s="117">
        <f>IF(B84="","",F84-G84)</f>
        <v>151690</v>
      </c>
      <c r="I84" s="117">
        <f>IF(B84="","",E84-H84)</f>
        <v>0</v>
      </c>
      <c r="J84" s="117">
        <f>IF(B84="","",IF(OR(inp_Tipo="Arrendamiento Puro",par_BaseIVAFin="Sobre renta",B84="Opción de compra"),F84,G84)*$C$14)</f>
        <v>24270.4</v>
      </c>
      <c r="K84" s="117">
        <f>IF(B84="","",F84+J84)</f>
        <v>175960.4</v>
      </c>
      <c r="L84" s="117">
        <f>IF(B84="","",F84-IF(A84=$C$38,$C$30,0))</f>
        <v>151690</v>
      </c>
      <c r="M84" s="131">
        <f>IF(B84="","",$C$37*(1+$C$13)^(-C84))</f>
        <v>0.665952256887692</v>
      </c>
      <c r="N84" s="117">
        <f>IF(B84="","",L84*M84)</f>
        <v>101018.297847294</v>
      </c>
      <c r="O84" s="117">
        <f>IF(B84="","",IF(B84="Básico",F84,0)-IF(A84=$C$38,$C$30,0))</f>
        <v>0</v>
      </c>
      <c r="P84" s="130">
        <f>IF(B84="",$C$31,D84)</f>
        <v>47032.0</v>
      </c>
      <c r="Q84" s="117">
        <f>IF(B84="",0,L84)</f>
        <v>151690</v>
      </c>
      <c r="R84" s="117">
        <f>IF(B84="",0,-F84)</f>
        <v>-151690</v>
      </c>
      <c r="S84" s="117">
        <f>IF(B84="","",O84*M84)</f>
        <v>0</v>
      </c>
    </row>
    <row r="85">
      <c r="A85" s="53" t="n">
        <v>26</v>
      </c>
      <c r="B85" s="53" t="str">
        <f>IF(A85&gt;$C$38,"",IF(A85&lt;=$C$5,"Básico",IF($C$6&gt;0,"Sucesivo","Opción de compra")))</f>
        <v/>
      </c>
      <c r="C85" s="53" t="str">
        <f>IF(B85="","",IF(B85="Opción de compra",$C$5,A85-$C$7))</f>
        <v/>
      </c>
      <c r="D85" s="130" t="str">
        <f>IF(B85="","",EDATE($C$33,C85))</f>
        <v/>
      </c>
      <c r="E85" s="117" t="str">
        <f>IF(B85="","",I84)</f>
        <v/>
      </c>
      <c r="F85" s="117" t="str">
        <f>IF(B85="","",IF(B85="Básico",$C$24,IF(B85="Sucesivo",$C$25,$C$26)))</f>
        <v/>
      </c>
      <c r="G85" s="117" t="str">
        <f>IF(B85="","",IF(B85="Opción de compra",0,(E85-$C$7*F85)*IF(B85="Sucesivo",$C$11,$C$9)))</f>
        <v/>
      </c>
      <c r="H85" s="117" t="str">
        <f>IF(B85="","",F85-G85)</f>
        <v/>
      </c>
      <c r="I85" s="117" t="str">
        <f>IF(B85="","",E85-H85)</f>
        <v/>
      </c>
      <c r="J85" s="117" t="str">
        <f>IF(B85="","",IF(OR(inp_Tipo="Arrendamiento Puro",par_BaseIVAFin="Sobre renta",B85="Opción de compra"),F85,G85)*$C$14)</f>
        <v/>
      </c>
      <c r="K85" s="117" t="str">
        <f>IF(B85="","",F85+J85)</f>
        <v/>
      </c>
      <c r="L85" s="117" t="str">
        <f>IF(B85="","",F85-IF(A85=$C$38,$C$30,0))</f>
        <v/>
      </c>
      <c r="M85" s="131" t="str">
        <f>IF(B85="","",$C$37*(1+$C$13)^(-C85))</f>
        <v/>
      </c>
      <c r="N85" s="117" t="str">
        <f>IF(B85="","",L85*M85)</f>
        <v/>
      </c>
      <c r="O85" s="117" t="str">
        <f>IF(B85="","",IF(B85="Básico",F85,0)-IF(A85=$C$38,$C$30,0))</f>
        <v/>
      </c>
      <c r="P85" s="130">
        <f>IF(B85="",$C$31,D85)</f>
        <v>46301.0</v>
      </c>
      <c r="Q85" s="117">
        <f>IF(B85="",0,L85)</f>
        <v>0</v>
      </c>
      <c r="R85" s="117">
        <f>IF(B85="",0,-F85)</f>
        <v>0</v>
      </c>
      <c r="S85" s="117" t="str">
        <f>IF(B85="","",O85*M85)</f>
        <v/>
      </c>
    </row>
    <row r="86">
      <c r="A86" s="53" t="n">
        <v>27</v>
      </c>
      <c r="B86" s="53" t="str">
        <f>IF(A86&gt;$C$38,"",IF(A86&lt;=$C$5,"Básico",IF($C$6&gt;0,"Sucesivo","Opción de compra")))</f>
        <v/>
      </c>
      <c r="C86" s="53" t="str">
        <f>IF(B86="","",IF(B86="Opción de compra",$C$5,A86-$C$7))</f>
        <v/>
      </c>
      <c r="D86" s="130" t="str">
        <f>IF(B86="","",EDATE($C$33,C86))</f>
        <v/>
      </c>
      <c r="E86" s="117" t="str">
        <f>IF(B86="","",I85)</f>
        <v/>
      </c>
      <c r="F86" s="117" t="str">
        <f>IF(B86="","",IF(B86="Básico",$C$24,IF(B86="Sucesivo",$C$25,$C$26)))</f>
        <v/>
      </c>
      <c r="G86" s="117" t="str">
        <f>IF(B86="","",IF(B86="Opción de compra",0,(E86-$C$7*F86)*IF(B86="Sucesivo",$C$11,$C$9)))</f>
        <v/>
      </c>
      <c r="H86" s="117" t="str">
        <f>IF(B86="","",F86-G86)</f>
        <v/>
      </c>
      <c r="I86" s="117" t="str">
        <f>IF(B86="","",E86-H86)</f>
        <v/>
      </c>
      <c r="J86" s="117" t="str">
        <f>IF(B86="","",IF(OR(inp_Tipo="Arrendamiento Puro",par_BaseIVAFin="Sobre renta",B86="Opción de compra"),F86,G86)*$C$14)</f>
        <v/>
      </c>
      <c r="K86" s="117" t="str">
        <f>IF(B86="","",F86+J86)</f>
        <v/>
      </c>
      <c r="L86" s="117" t="str">
        <f>IF(B86="","",F86-IF(A86=$C$38,$C$30,0))</f>
        <v/>
      </c>
      <c r="M86" s="131" t="str">
        <f>IF(B86="","",$C$37*(1+$C$13)^(-C86))</f>
        <v/>
      </c>
      <c r="N86" s="117" t="str">
        <f>IF(B86="","",L86*M86)</f>
        <v/>
      </c>
      <c r="O86" s="117" t="str">
        <f>IF(B86="","",IF(B86="Básico",F86,0)-IF(A86=$C$38,$C$30,0))</f>
        <v/>
      </c>
      <c r="P86" s="130">
        <f>IF(B86="",$C$31,D86)</f>
        <v>46301.0</v>
      </c>
      <c r="Q86" s="117">
        <f>IF(B86="",0,L86)</f>
        <v>0</v>
      </c>
      <c r="R86" s="117">
        <f>IF(B86="",0,-F86)</f>
        <v>0</v>
      </c>
      <c r="S86" s="117" t="str">
        <f>IF(B86="","",O86*M86)</f>
        <v/>
      </c>
    </row>
    <row r="87">
      <c r="A87" s="53" t="n">
        <v>28</v>
      </c>
      <c r="B87" s="53" t="str">
        <f>IF(A87&gt;$C$38,"",IF(A87&lt;=$C$5,"Básico",IF($C$6&gt;0,"Sucesivo","Opción de compra")))</f>
        <v/>
      </c>
      <c r="C87" s="53" t="str">
        <f>IF(B87="","",IF(B87="Opción de compra",$C$5,A87-$C$7))</f>
        <v/>
      </c>
      <c r="D87" s="130" t="str">
        <f>IF(B87="","",EDATE($C$33,C87))</f>
        <v/>
      </c>
      <c r="E87" s="117" t="str">
        <f>IF(B87="","",I86)</f>
        <v/>
      </c>
      <c r="F87" s="117" t="str">
        <f>IF(B87="","",IF(B87="Básico",$C$24,IF(B87="Sucesivo",$C$25,$C$26)))</f>
        <v/>
      </c>
      <c r="G87" s="117" t="str">
        <f>IF(B87="","",IF(B87="Opción de compra",0,(E87-$C$7*F87)*IF(B87="Sucesivo",$C$11,$C$9)))</f>
        <v/>
      </c>
      <c r="H87" s="117" t="str">
        <f>IF(B87="","",F87-G87)</f>
        <v/>
      </c>
      <c r="I87" s="117" t="str">
        <f>IF(B87="","",E87-H87)</f>
        <v/>
      </c>
      <c r="J87" s="117" t="str">
        <f>IF(B87="","",IF(OR(inp_Tipo="Arrendamiento Puro",par_BaseIVAFin="Sobre renta",B87="Opción de compra"),F87,G87)*$C$14)</f>
        <v/>
      </c>
      <c r="K87" s="117" t="str">
        <f>IF(B87="","",F87+J87)</f>
        <v/>
      </c>
      <c r="L87" s="117" t="str">
        <f>IF(B87="","",F87-IF(A87=$C$38,$C$30,0))</f>
        <v/>
      </c>
      <c r="M87" s="131" t="str">
        <f>IF(B87="","",$C$37*(1+$C$13)^(-C87))</f>
        <v/>
      </c>
      <c r="N87" s="117" t="str">
        <f>IF(B87="","",L87*M87)</f>
        <v/>
      </c>
      <c r="O87" s="117" t="str">
        <f>IF(B87="","",IF(B87="Básico",F87,0)-IF(A87=$C$38,$C$30,0))</f>
        <v/>
      </c>
      <c r="P87" s="130">
        <f>IF(B87="",$C$31,D87)</f>
        <v>46301.0</v>
      </c>
      <c r="Q87" s="117">
        <f>IF(B87="",0,L87)</f>
        <v>0</v>
      </c>
      <c r="R87" s="117">
        <f>IF(B87="",0,-F87)</f>
        <v>0</v>
      </c>
      <c r="S87" s="117" t="str">
        <f>IF(B87="","",O87*M87)</f>
        <v/>
      </c>
    </row>
    <row r="88">
      <c r="A88" s="53" t="n">
        <v>29</v>
      </c>
      <c r="B88" s="53" t="str">
        <f>IF(A88&gt;$C$38,"",IF(A88&lt;=$C$5,"Básico",IF($C$6&gt;0,"Sucesivo","Opción de compra")))</f>
        <v/>
      </c>
      <c r="C88" s="53" t="str">
        <f>IF(B88="","",IF(B88="Opción de compra",$C$5,A88-$C$7))</f>
        <v/>
      </c>
      <c r="D88" s="130" t="str">
        <f>IF(B88="","",EDATE($C$33,C88))</f>
        <v/>
      </c>
      <c r="E88" s="117" t="str">
        <f>IF(B88="","",I87)</f>
        <v/>
      </c>
      <c r="F88" s="117" t="str">
        <f>IF(B88="","",IF(B88="Básico",$C$24,IF(B88="Sucesivo",$C$25,$C$26)))</f>
        <v/>
      </c>
      <c r="G88" s="117" t="str">
        <f>IF(B88="","",IF(B88="Opción de compra",0,(E88-$C$7*F88)*IF(B88="Sucesivo",$C$11,$C$9)))</f>
        <v/>
      </c>
      <c r="H88" s="117" t="str">
        <f>IF(B88="","",F88-G88)</f>
        <v/>
      </c>
      <c r="I88" s="117" t="str">
        <f>IF(B88="","",E88-H88)</f>
        <v/>
      </c>
      <c r="J88" s="117" t="str">
        <f>IF(B88="","",IF(OR(inp_Tipo="Arrendamiento Puro",par_BaseIVAFin="Sobre renta",B88="Opción de compra"),F88,G88)*$C$14)</f>
        <v/>
      </c>
      <c r="K88" s="117" t="str">
        <f>IF(B88="","",F88+J88)</f>
        <v/>
      </c>
      <c r="L88" s="117" t="str">
        <f>IF(B88="","",F88-IF(A88=$C$38,$C$30,0))</f>
        <v/>
      </c>
      <c r="M88" s="131" t="str">
        <f>IF(B88="","",$C$37*(1+$C$13)^(-C88))</f>
        <v/>
      </c>
      <c r="N88" s="117" t="str">
        <f>IF(B88="","",L88*M88)</f>
        <v/>
      </c>
      <c r="O88" s="117" t="str">
        <f>IF(B88="","",IF(B88="Básico",F88,0)-IF(A88=$C$38,$C$30,0))</f>
        <v/>
      </c>
      <c r="P88" s="130">
        <f>IF(B88="",$C$31,D88)</f>
        <v>46301.0</v>
      </c>
      <c r="Q88" s="117">
        <f>IF(B88="",0,L88)</f>
        <v>0</v>
      </c>
      <c r="R88" s="117">
        <f>IF(B88="",0,-F88)</f>
        <v>0</v>
      </c>
      <c r="S88" s="117" t="str">
        <f>IF(B88="","",O88*M88)</f>
        <v/>
      </c>
    </row>
    <row r="89">
      <c r="A89" s="53" t="n">
        <v>30</v>
      </c>
      <c r="B89" s="53" t="str">
        <f>IF(A89&gt;$C$38,"",IF(A89&lt;=$C$5,"Básico",IF($C$6&gt;0,"Sucesivo","Opción de compra")))</f>
        <v/>
      </c>
      <c r="C89" s="53" t="str">
        <f>IF(B89="","",IF(B89="Opción de compra",$C$5,A89-$C$7))</f>
        <v/>
      </c>
      <c r="D89" s="130" t="str">
        <f>IF(B89="","",EDATE($C$33,C89))</f>
        <v/>
      </c>
      <c r="E89" s="117" t="str">
        <f>IF(B89="","",I88)</f>
        <v/>
      </c>
      <c r="F89" s="117" t="str">
        <f>IF(B89="","",IF(B89="Básico",$C$24,IF(B89="Sucesivo",$C$25,$C$26)))</f>
        <v/>
      </c>
      <c r="G89" s="117" t="str">
        <f>IF(B89="","",IF(B89="Opción de compra",0,(E89-$C$7*F89)*IF(B89="Sucesivo",$C$11,$C$9)))</f>
        <v/>
      </c>
      <c r="H89" s="117" t="str">
        <f>IF(B89="","",F89-G89)</f>
        <v/>
      </c>
      <c r="I89" s="117" t="str">
        <f>IF(B89="","",E89-H89)</f>
        <v/>
      </c>
      <c r="J89" s="117" t="str">
        <f>IF(B89="","",IF(OR(inp_Tipo="Arrendamiento Puro",par_BaseIVAFin="Sobre renta",B89="Opción de compra"),F89,G89)*$C$14)</f>
        <v/>
      </c>
      <c r="K89" s="117" t="str">
        <f>IF(B89="","",F89+J89)</f>
        <v/>
      </c>
      <c r="L89" s="117" t="str">
        <f>IF(B89="","",F89-IF(A89=$C$38,$C$30,0))</f>
        <v/>
      </c>
      <c r="M89" s="131" t="str">
        <f>IF(B89="","",$C$37*(1+$C$13)^(-C89))</f>
        <v/>
      </c>
      <c r="N89" s="117" t="str">
        <f>IF(B89="","",L89*M89)</f>
        <v/>
      </c>
      <c r="O89" s="117" t="str">
        <f>IF(B89="","",IF(B89="Básico",F89,0)-IF(A89=$C$38,$C$30,0))</f>
        <v/>
      </c>
      <c r="P89" s="130">
        <f>IF(B89="",$C$31,D89)</f>
        <v>46301.0</v>
      </c>
      <c r="Q89" s="117">
        <f>IF(B89="",0,L89)</f>
        <v>0</v>
      </c>
      <c r="R89" s="117">
        <f>IF(B89="",0,-F89)</f>
        <v>0</v>
      </c>
      <c r="S89" s="117" t="str">
        <f>IF(B89="","",O89*M89)</f>
        <v/>
      </c>
    </row>
    <row r="90">
      <c r="A90" s="53" t="n">
        <v>31</v>
      </c>
      <c r="B90" s="53" t="str">
        <f>IF(A90&gt;$C$38,"",IF(A90&lt;=$C$5,"Básico",IF($C$6&gt;0,"Sucesivo","Opción de compra")))</f>
        <v/>
      </c>
      <c r="C90" s="53" t="str">
        <f>IF(B90="","",IF(B90="Opción de compra",$C$5,A90-$C$7))</f>
        <v/>
      </c>
      <c r="D90" s="130" t="str">
        <f>IF(B90="","",EDATE($C$33,C90))</f>
        <v/>
      </c>
      <c r="E90" s="117" t="str">
        <f>IF(B90="","",I89)</f>
        <v/>
      </c>
      <c r="F90" s="117" t="str">
        <f>IF(B90="","",IF(B90="Básico",$C$24,IF(B90="Sucesivo",$C$25,$C$26)))</f>
        <v/>
      </c>
      <c r="G90" s="117" t="str">
        <f>IF(B90="","",IF(B90="Opción de compra",0,(E90-$C$7*F90)*IF(B90="Sucesivo",$C$11,$C$9)))</f>
        <v/>
      </c>
      <c r="H90" s="117" t="str">
        <f>IF(B90="","",F90-G90)</f>
        <v/>
      </c>
      <c r="I90" s="117" t="str">
        <f>IF(B90="","",E90-H90)</f>
        <v/>
      </c>
      <c r="J90" s="117" t="str">
        <f>IF(B90="","",IF(OR(inp_Tipo="Arrendamiento Puro",par_BaseIVAFin="Sobre renta",B90="Opción de compra"),F90,G90)*$C$14)</f>
        <v/>
      </c>
      <c r="K90" s="117" t="str">
        <f>IF(B90="","",F90+J90)</f>
        <v/>
      </c>
      <c r="L90" s="117" t="str">
        <f>IF(B90="","",F90-IF(A90=$C$38,$C$30,0))</f>
        <v/>
      </c>
      <c r="M90" s="131" t="str">
        <f>IF(B90="","",$C$37*(1+$C$13)^(-C90))</f>
        <v/>
      </c>
      <c r="N90" s="117" t="str">
        <f>IF(B90="","",L90*M90)</f>
        <v/>
      </c>
      <c r="O90" s="117" t="str">
        <f>IF(B90="","",IF(B90="Básico",F90,0)-IF(A90=$C$38,$C$30,0))</f>
        <v/>
      </c>
      <c r="P90" s="130">
        <f>IF(B90="",$C$31,D90)</f>
        <v>46301.0</v>
      </c>
      <c r="Q90" s="117">
        <f>IF(B90="",0,L90)</f>
        <v>0</v>
      </c>
      <c r="R90" s="117">
        <f>IF(B90="",0,-F90)</f>
        <v>0</v>
      </c>
      <c r="S90" s="117" t="str">
        <f>IF(B90="","",O90*M90)</f>
        <v/>
      </c>
    </row>
    <row r="91">
      <c r="A91" s="53" t="n">
        <v>32</v>
      </c>
      <c r="B91" s="53" t="str">
        <f>IF(A91&gt;$C$38,"",IF(A91&lt;=$C$5,"Básico",IF($C$6&gt;0,"Sucesivo","Opción de compra")))</f>
        <v/>
      </c>
      <c r="C91" s="53" t="str">
        <f>IF(B91="","",IF(B91="Opción de compra",$C$5,A91-$C$7))</f>
        <v/>
      </c>
      <c r="D91" s="130" t="str">
        <f>IF(B91="","",EDATE($C$33,C91))</f>
        <v/>
      </c>
      <c r="E91" s="117" t="str">
        <f>IF(B91="","",I90)</f>
        <v/>
      </c>
      <c r="F91" s="117" t="str">
        <f>IF(B91="","",IF(B91="Básico",$C$24,IF(B91="Sucesivo",$C$25,$C$26)))</f>
        <v/>
      </c>
      <c r="G91" s="117" t="str">
        <f>IF(B91="","",IF(B91="Opción de compra",0,(E91-$C$7*F91)*IF(B91="Sucesivo",$C$11,$C$9)))</f>
        <v/>
      </c>
      <c r="H91" s="117" t="str">
        <f>IF(B91="","",F91-G91)</f>
        <v/>
      </c>
      <c r="I91" s="117" t="str">
        <f>IF(B91="","",E91-H91)</f>
        <v/>
      </c>
      <c r="J91" s="117" t="str">
        <f>IF(B91="","",IF(OR(inp_Tipo="Arrendamiento Puro",par_BaseIVAFin="Sobre renta",B91="Opción de compra"),F91,G91)*$C$14)</f>
        <v/>
      </c>
      <c r="K91" s="117" t="str">
        <f>IF(B91="","",F91+J91)</f>
        <v/>
      </c>
      <c r="L91" s="117" t="str">
        <f>IF(B91="","",F91-IF(A91=$C$38,$C$30,0))</f>
        <v/>
      </c>
      <c r="M91" s="131" t="str">
        <f>IF(B91="","",$C$37*(1+$C$13)^(-C91))</f>
        <v/>
      </c>
      <c r="N91" s="117" t="str">
        <f>IF(B91="","",L91*M91)</f>
        <v/>
      </c>
      <c r="O91" s="117" t="str">
        <f>IF(B91="","",IF(B91="Básico",F91,0)-IF(A91=$C$38,$C$30,0))</f>
        <v/>
      </c>
      <c r="P91" s="130">
        <f>IF(B91="",$C$31,D91)</f>
        <v>46301.0</v>
      </c>
      <c r="Q91" s="117">
        <f>IF(B91="",0,L91)</f>
        <v>0</v>
      </c>
      <c r="R91" s="117">
        <f>IF(B91="",0,-F91)</f>
        <v>0</v>
      </c>
      <c r="S91" s="117" t="str">
        <f>IF(B91="","",O91*M91)</f>
        <v/>
      </c>
    </row>
    <row r="92">
      <c r="A92" s="53" t="n">
        <v>33</v>
      </c>
      <c r="B92" s="53" t="str">
        <f>IF(A92&gt;$C$38,"",IF(A92&lt;=$C$5,"Básico",IF($C$6&gt;0,"Sucesivo","Opción de compra")))</f>
        <v/>
      </c>
      <c r="C92" s="53" t="str">
        <f>IF(B92="","",IF(B92="Opción de compra",$C$5,A92-$C$7))</f>
        <v/>
      </c>
      <c r="D92" s="130" t="str">
        <f>IF(B92="","",EDATE($C$33,C92))</f>
        <v/>
      </c>
      <c r="E92" s="117" t="str">
        <f>IF(B92="","",I91)</f>
        <v/>
      </c>
      <c r="F92" s="117" t="str">
        <f>IF(B92="","",IF(B92="Básico",$C$24,IF(B92="Sucesivo",$C$25,$C$26)))</f>
        <v/>
      </c>
      <c r="G92" s="117" t="str">
        <f>IF(B92="","",IF(B92="Opción de compra",0,(E92-$C$7*F92)*IF(B92="Sucesivo",$C$11,$C$9)))</f>
        <v/>
      </c>
      <c r="H92" s="117" t="str">
        <f>IF(B92="","",F92-G92)</f>
        <v/>
      </c>
      <c r="I92" s="117" t="str">
        <f>IF(B92="","",E92-H92)</f>
        <v/>
      </c>
      <c r="J92" s="117" t="str">
        <f>IF(B92="","",IF(OR(inp_Tipo="Arrendamiento Puro",par_BaseIVAFin="Sobre renta",B92="Opción de compra"),F92,G92)*$C$14)</f>
        <v/>
      </c>
      <c r="K92" s="117" t="str">
        <f>IF(B92="","",F92+J92)</f>
        <v/>
      </c>
      <c r="L92" s="117" t="str">
        <f>IF(B92="","",F92-IF(A92=$C$38,$C$30,0))</f>
        <v/>
      </c>
      <c r="M92" s="131" t="str">
        <f>IF(B92="","",$C$37*(1+$C$13)^(-C92))</f>
        <v/>
      </c>
      <c r="N92" s="117" t="str">
        <f>IF(B92="","",L92*M92)</f>
        <v/>
      </c>
      <c r="O92" s="117" t="str">
        <f>IF(B92="","",IF(B92="Básico",F92,0)-IF(A92=$C$38,$C$30,0))</f>
        <v/>
      </c>
      <c r="P92" s="130">
        <f>IF(B92="",$C$31,D92)</f>
        <v>46301.0</v>
      </c>
      <c r="Q92" s="117">
        <f>IF(B92="",0,L92)</f>
        <v>0</v>
      </c>
      <c r="R92" s="117">
        <f>IF(B92="",0,-F92)</f>
        <v>0</v>
      </c>
      <c r="S92" s="117" t="str">
        <f>IF(B92="","",O92*M92)</f>
        <v/>
      </c>
    </row>
    <row r="93">
      <c r="A93" s="53" t="n">
        <v>34</v>
      </c>
      <c r="B93" s="53" t="str">
        <f>IF(A93&gt;$C$38,"",IF(A93&lt;=$C$5,"Básico",IF($C$6&gt;0,"Sucesivo","Opción de compra")))</f>
        <v/>
      </c>
      <c r="C93" s="53" t="str">
        <f>IF(B93="","",IF(B93="Opción de compra",$C$5,A93-$C$7))</f>
        <v/>
      </c>
      <c r="D93" s="130" t="str">
        <f>IF(B93="","",EDATE($C$33,C93))</f>
        <v/>
      </c>
      <c r="E93" s="117" t="str">
        <f>IF(B93="","",I92)</f>
        <v/>
      </c>
      <c r="F93" s="117" t="str">
        <f>IF(B93="","",IF(B93="Básico",$C$24,IF(B93="Sucesivo",$C$25,$C$26)))</f>
        <v/>
      </c>
      <c r="G93" s="117" t="str">
        <f>IF(B93="","",IF(B93="Opción de compra",0,(E93-$C$7*F93)*IF(B93="Sucesivo",$C$11,$C$9)))</f>
        <v/>
      </c>
      <c r="H93" s="117" t="str">
        <f>IF(B93="","",F93-G93)</f>
        <v/>
      </c>
      <c r="I93" s="117" t="str">
        <f>IF(B93="","",E93-H93)</f>
        <v/>
      </c>
      <c r="J93" s="117" t="str">
        <f>IF(B93="","",IF(OR(inp_Tipo="Arrendamiento Puro",par_BaseIVAFin="Sobre renta",B93="Opción de compra"),F93,G93)*$C$14)</f>
        <v/>
      </c>
      <c r="K93" s="117" t="str">
        <f>IF(B93="","",F93+J93)</f>
        <v/>
      </c>
      <c r="L93" s="117" t="str">
        <f>IF(B93="","",F93-IF(A93=$C$38,$C$30,0))</f>
        <v/>
      </c>
      <c r="M93" s="131" t="str">
        <f>IF(B93="","",$C$37*(1+$C$13)^(-C93))</f>
        <v/>
      </c>
      <c r="N93" s="117" t="str">
        <f>IF(B93="","",L93*M93)</f>
        <v/>
      </c>
      <c r="O93" s="117" t="str">
        <f>IF(B93="","",IF(B93="Básico",F93,0)-IF(A93=$C$38,$C$30,0))</f>
        <v/>
      </c>
      <c r="P93" s="130">
        <f>IF(B93="",$C$31,D93)</f>
        <v>46301.0</v>
      </c>
      <c r="Q93" s="117">
        <f>IF(B93="",0,L93)</f>
        <v>0</v>
      </c>
      <c r="R93" s="117">
        <f>IF(B93="",0,-F93)</f>
        <v>0</v>
      </c>
      <c r="S93" s="117" t="str">
        <f>IF(B93="","",O93*M93)</f>
        <v/>
      </c>
    </row>
    <row r="94">
      <c r="A94" s="53" t="n">
        <v>35</v>
      </c>
      <c r="B94" s="53" t="str">
        <f>IF(A94&gt;$C$38,"",IF(A94&lt;=$C$5,"Básico",IF($C$6&gt;0,"Sucesivo","Opción de compra")))</f>
        <v/>
      </c>
      <c r="C94" s="53" t="str">
        <f>IF(B94="","",IF(B94="Opción de compra",$C$5,A94-$C$7))</f>
        <v/>
      </c>
      <c r="D94" s="130" t="str">
        <f>IF(B94="","",EDATE($C$33,C94))</f>
        <v/>
      </c>
      <c r="E94" s="117" t="str">
        <f>IF(B94="","",I93)</f>
        <v/>
      </c>
      <c r="F94" s="117" t="str">
        <f>IF(B94="","",IF(B94="Básico",$C$24,IF(B94="Sucesivo",$C$25,$C$26)))</f>
        <v/>
      </c>
      <c r="G94" s="117" t="str">
        <f>IF(B94="","",IF(B94="Opción de compra",0,(E94-$C$7*F94)*IF(B94="Sucesivo",$C$11,$C$9)))</f>
        <v/>
      </c>
      <c r="H94" s="117" t="str">
        <f>IF(B94="","",F94-G94)</f>
        <v/>
      </c>
      <c r="I94" s="117" t="str">
        <f>IF(B94="","",E94-H94)</f>
        <v/>
      </c>
      <c r="J94" s="117" t="str">
        <f>IF(B94="","",IF(OR(inp_Tipo="Arrendamiento Puro",par_BaseIVAFin="Sobre renta",B94="Opción de compra"),F94,G94)*$C$14)</f>
        <v/>
      </c>
      <c r="K94" s="117" t="str">
        <f>IF(B94="","",F94+J94)</f>
        <v/>
      </c>
      <c r="L94" s="117" t="str">
        <f>IF(B94="","",F94-IF(A94=$C$38,$C$30,0))</f>
        <v/>
      </c>
      <c r="M94" s="131" t="str">
        <f>IF(B94="","",$C$37*(1+$C$13)^(-C94))</f>
        <v/>
      </c>
      <c r="N94" s="117" t="str">
        <f>IF(B94="","",L94*M94)</f>
        <v/>
      </c>
      <c r="O94" s="117" t="str">
        <f>IF(B94="","",IF(B94="Básico",F94,0)-IF(A94=$C$38,$C$30,0))</f>
        <v/>
      </c>
      <c r="P94" s="130">
        <f>IF(B94="",$C$31,D94)</f>
        <v>46301.0</v>
      </c>
      <c r="Q94" s="117">
        <f>IF(B94="",0,L94)</f>
        <v>0</v>
      </c>
      <c r="R94" s="117">
        <f>IF(B94="",0,-F94)</f>
        <v>0</v>
      </c>
      <c r="S94" s="117" t="str">
        <f>IF(B94="","",O94*M94)</f>
        <v/>
      </c>
    </row>
    <row r="95">
      <c r="A95" s="53" t="n">
        <v>36</v>
      </c>
      <c r="B95" s="53" t="str">
        <f>IF(A95&gt;$C$38,"",IF(A95&lt;=$C$5,"Básico",IF($C$6&gt;0,"Sucesivo","Opción de compra")))</f>
        <v/>
      </c>
      <c r="C95" s="53" t="str">
        <f>IF(B95="","",IF(B95="Opción de compra",$C$5,A95-$C$7))</f>
        <v/>
      </c>
      <c r="D95" s="130" t="str">
        <f>IF(B95="","",EDATE($C$33,C95))</f>
        <v/>
      </c>
      <c r="E95" s="117" t="str">
        <f>IF(B95="","",I94)</f>
        <v/>
      </c>
      <c r="F95" s="117" t="str">
        <f>IF(B95="","",IF(B95="Básico",$C$24,IF(B95="Sucesivo",$C$25,$C$26)))</f>
        <v/>
      </c>
      <c r="G95" s="117" t="str">
        <f>IF(B95="","",IF(B95="Opción de compra",0,(E95-$C$7*F95)*IF(B95="Sucesivo",$C$11,$C$9)))</f>
        <v/>
      </c>
      <c r="H95" s="117" t="str">
        <f>IF(B95="","",F95-G95)</f>
        <v/>
      </c>
      <c r="I95" s="117" t="str">
        <f>IF(B95="","",E95-H95)</f>
        <v/>
      </c>
      <c r="J95" s="117" t="str">
        <f>IF(B95="","",IF(OR(inp_Tipo="Arrendamiento Puro",par_BaseIVAFin="Sobre renta",B95="Opción de compra"),F95,G95)*$C$14)</f>
        <v/>
      </c>
      <c r="K95" s="117" t="str">
        <f>IF(B95="","",F95+J95)</f>
        <v/>
      </c>
      <c r="L95" s="117" t="str">
        <f>IF(B95="","",F95-IF(A95=$C$38,$C$30,0))</f>
        <v/>
      </c>
      <c r="M95" s="131" t="str">
        <f>IF(B95="","",$C$37*(1+$C$13)^(-C95))</f>
        <v/>
      </c>
      <c r="N95" s="117" t="str">
        <f>IF(B95="","",L95*M95)</f>
        <v/>
      </c>
      <c r="O95" s="117" t="str">
        <f>IF(B95="","",IF(B95="Básico",F95,0)-IF(A95=$C$38,$C$30,0))</f>
        <v/>
      </c>
      <c r="P95" s="130">
        <f>IF(B95="",$C$31,D95)</f>
        <v>46301.0</v>
      </c>
      <c r="Q95" s="117">
        <f>IF(B95="",0,L95)</f>
        <v>0</v>
      </c>
      <c r="R95" s="117">
        <f>IF(B95="",0,-F95)</f>
        <v>0</v>
      </c>
      <c r="S95" s="117" t="str">
        <f>IF(B95="","",O95*M95)</f>
        <v/>
      </c>
    </row>
    <row r="96">
      <c r="A96" s="53" t="n">
        <v>37</v>
      </c>
      <c r="B96" s="53" t="str">
        <f>IF(A96&gt;$C$38,"",IF(A96&lt;=$C$5,"Básico",IF($C$6&gt;0,"Sucesivo","Opción de compra")))</f>
        <v/>
      </c>
      <c r="C96" s="53" t="str">
        <f>IF(B96="","",IF(B96="Opción de compra",$C$5,A96-$C$7))</f>
        <v/>
      </c>
      <c r="D96" s="130" t="str">
        <f>IF(B96="","",EDATE($C$33,C96))</f>
        <v/>
      </c>
      <c r="E96" s="117" t="str">
        <f>IF(B96="","",I95)</f>
        <v/>
      </c>
      <c r="F96" s="117" t="str">
        <f>IF(B96="","",IF(B96="Básico",$C$24,IF(B96="Sucesivo",$C$25,$C$26)))</f>
        <v/>
      </c>
      <c r="G96" s="117" t="str">
        <f>IF(B96="","",IF(B96="Opción de compra",0,(E96-$C$7*F96)*IF(B96="Sucesivo",$C$11,$C$9)))</f>
        <v/>
      </c>
      <c r="H96" s="117" t="str">
        <f>IF(B96="","",F96-G96)</f>
        <v/>
      </c>
      <c r="I96" s="117" t="str">
        <f>IF(B96="","",E96-H96)</f>
        <v/>
      </c>
      <c r="J96" s="117" t="str">
        <f>IF(B96="","",IF(OR(inp_Tipo="Arrendamiento Puro",par_BaseIVAFin="Sobre renta",B96="Opción de compra"),F96,G96)*$C$14)</f>
        <v/>
      </c>
      <c r="K96" s="117" t="str">
        <f>IF(B96="","",F96+J96)</f>
        <v/>
      </c>
      <c r="L96" s="117" t="str">
        <f>IF(B96="","",F96-IF(A96=$C$38,$C$30,0))</f>
        <v/>
      </c>
      <c r="M96" s="131" t="str">
        <f>IF(B96="","",$C$37*(1+$C$13)^(-C96))</f>
        <v/>
      </c>
      <c r="N96" s="117" t="str">
        <f>IF(B96="","",L96*M96)</f>
        <v/>
      </c>
      <c r="O96" s="117" t="str">
        <f>IF(B96="","",IF(B96="Básico",F96,0)-IF(A96=$C$38,$C$30,0))</f>
        <v/>
      </c>
      <c r="P96" s="130">
        <f>IF(B96="",$C$31,D96)</f>
        <v>46301.0</v>
      </c>
      <c r="Q96" s="117">
        <f>IF(B96="",0,L96)</f>
        <v>0</v>
      </c>
      <c r="R96" s="117">
        <f>IF(B96="",0,-F96)</f>
        <v>0</v>
      </c>
      <c r="S96" s="117" t="str">
        <f>IF(B96="","",O96*M96)</f>
        <v/>
      </c>
    </row>
    <row r="97">
      <c r="A97" s="53" t="n">
        <v>38</v>
      </c>
      <c r="B97" s="53" t="str">
        <f>IF(A97&gt;$C$38,"",IF(A97&lt;=$C$5,"Básico",IF($C$6&gt;0,"Sucesivo","Opción de compra")))</f>
        <v/>
      </c>
      <c r="C97" s="53" t="str">
        <f>IF(B97="","",IF(B97="Opción de compra",$C$5,A97-$C$7))</f>
        <v/>
      </c>
      <c r="D97" s="130" t="str">
        <f>IF(B97="","",EDATE($C$33,C97))</f>
        <v/>
      </c>
      <c r="E97" s="117" t="str">
        <f>IF(B97="","",I96)</f>
        <v/>
      </c>
      <c r="F97" s="117" t="str">
        <f>IF(B97="","",IF(B97="Básico",$C$24,IF(B97="Sucesivo",$C$25,$C$26)))</f>
        <v/>
      </c>
      <c r="G97" s="117" t="str">
        <f>IF(B97="","",IF(B97="Opción de compra",0,(E97-$C$7*F97)*IF(B97="Sucesivo",$C$11,$C$9)))</f>
        <v/>
      </c>
      <c r="H97" s="117" t="str">
        <f>IF(B97="","",F97-G97)</f>
        <v/>
      </c>
      <c r="I97" s="117" t="str">
        <f>IF(B97="","",E97-H97)</f>
        <v/>
      </c>
      <c r="J97" s="117" t="str">
        <f>IF(B97="","",IF(OR(inp_Tipo="Arrendamiento Puro",par_BaseIVAFin="Sobre renta",B97="Opción de compra"),F97,G97)*$C$14)</f>
        <v/>
      </c>
      <c r="K97" s="117" t="str">
        <f>IF(B97="","",F97+J97)</f>
        <v/>
      </c>
      <c r="L97" s="117" t="str">
        <f>IF(B97="","",F97-IF(A97=$C$38,$C$30,0))</f>
        <v/>
      </c>
      <c r="M97" s="131" t="str">
        <f>IF(B97="","",$C$37*(1+$C$13)^(-C97))</f>
        <v/>
      </c>
      <c r="N97" s="117" t="str">
        <f>IF(B97="","",L97*M97)</f>
        <v/>
      </c>
      <c r="O97" s="117" t="str">
        <f>IF(B97="","",IF(B97="Básico",F97,0)-IF(A97=$C$38,$C$30,0))</f>
        <v/>
      </c>
      <c r="P97" s="130">
        <f>IF(B97="",$C$31,D97)</f>
        <v>46301.0</v>
      </c>
      <c r="Q97" s="117">
        <f>IF(B97="",0,L97)</f>
        <v>0</v>
      </c>
      <c r="R97" s="117">
        <f>IF(B97="",0,-F97)</f>
        <v>0</v>
      </c>
      <c r="S97" s="117" t="str">
        <f>IF(B97="","",O97*M97)</f>
        <v/>
      </c>
    </row>
    <row r="98">
      <c r="A98" s="53" t="n">
        <v>39</v>
      </c>
      <c r="B98" s="53" t="str">
        <f>IF(A98&gt;$C$38,"",IF(A98&lt;=$C$5,"Básico",IF($C$6&gt;0,"Sucesivo","Opción de compra")))</f>
        <v/>
      </c>
      <c r="C98" s="53" t="str">
        <f>IF(B98="","",IF(B98="Opción de compra",$C$5,A98-$C$7))</f>
        <v/>
      </c>
      <c r="D98" s="130" t="str">
        <f>IF(B98="","",EDATE($C$33,C98))</f>
        <v/>
      </c>
      <c r="E98" s="117" t="str">
        <f>IF(B98="","",I97)</f>
        <v/>
      </c>
      <c r="F98" s="117" t="str">
        <f>IF(B98="","",IF(B98="Básico",$C$24,IF(B98="Sucesivo",$C$25,$C$26)))</f>
        <v/>
      </c>
      <c r="G98" s="117" t="str">
        <f>IF(B98="","",IF(B98="Opción de compra",0,(E98-$C$7*F98)*IF(B98="Sucesivo",$C$11,$C$9)))</f>
        <v/>
      </c>
      <c r="H98" s="117" t="str">
        <f>IF(B98="","",F98-G98)</f>
        <v/>
      </c>
      <c r="I98" s="117" t="str">
        <f>IF(B98="","",E98-H98)</f>
        <v/>
      </c>
      <c r="J98" s="117" t="str">
        <f>IF(B98="","",IF(OR(inp_Tipo="Arrendamiento Puro",par_BaseIVAFin="Sobre renta",B98="Opción de compra"),F98,G98)*$C$14)</f>
        <v/>
      </c>
      <c r="K98" s="117" t="str">
        <f>IF(B98="","",F98+J98)</f>
        <v/>
      </c>
      <c r="L98" s="117" t="str">
        <f>IF(B98="","",F98-IF(A98=$C$38,$C$30,0))</f>
        <v/>
      </c>
      <c r="M98" s="131" t="str">
        <f>IF(B98="","",$C$37*(1+$C$13)^(-C98))</f>
        <v/>
      </c>
      <c r="N98" s="117" t="str">
        <f>IF(B98="","",L98*M98)</f>
        <v/>
      </c>
      <c r="O98" s="117" t="str">
        <f>IF(B98="","",IF(B98="Básico",F98,0)-IF(A98=$C$38,$C$30,0))</f>
        <v/>
      </c>
      <c r="P98" s="130">
        <f>IF(B98="",$C$31,D98)</f>
        <v>46301.0</v>
      </c>
      <c r="Q98" s="117">
        <f>IF(B98="",0,L98)</f>
        <v>0</v>
      </c>
      <c r="R98" s="117">
        <f>IF(B98="",0,-F98)</f>
        <v>0</v>
      </c>
      <c r="S98" s="117" t="str">
        <f>IF(B98="","",O98*M98)</f>
        <v/>
      </c>
    </row>
    <row r="99">
      <c r="A99" s="53" t="n">
        <v>40</v>
      </c>
      <c r="B99" s="53" t="str">
        <f>IF(A99&gt;$C$38,"",IF(A99&lt;=$C$5,"Básico",IF($C$6&gt;0,"Sucesivo","Opción de compra")))</f>
        <v/>
      </c>
      <c r="C99" s="53" t="str">
        <f>IF(B99="","",IF(B99="Opción de compra",$C$5,A99-$C$7))</f>
        <v/>
      </c>
      <c r="D99" s="130" t="str">
        <f>IF(B99="","",EDATE($C$33,C99))</f>
        <v/>
      </c>
      <c r="E99" s="117" t="str">
        <f>IF(B99="","",I98)</f>
        <v/>
      </c>
      <c r="F99" s="117" t="str">
        <f>IF(B99="","",IF(B99="Básico",$C$24,IF(B99="Sucesivo",$C$25,$C$26)))</f>
        <v/>
      </c>
      <c r="G99" s="117" t="str">
        <f>IF(B99="","",IF(B99="Opción de compra",0,(E99-$C$7*F99)*IF(B99="Sucesivo",$C$11,$C$9)))</f>
        <v/>
      </c>
      <c r="H99" s="117" t="str">
        <f>IF(B99="","",F99-G99)</f>
        <v/>
      </c>
      <c r="I99" s="117" t="str">
        <f>IF(B99="","",E99-H99)</f>
        <v/>
      </c>
      <c r="J99" s="117" t="str">
        <f>IF(B99="","",IF(OR(inp_Tipo="Arrendamiento Puro",par_BaseIVAFin="Sobre renta",B99="Opción de compra"),F99,G99)*$C$14)</f>
        <v/>
      </c>
      <c r="K99" s="117" t="str">
        <f>IF(B99="","",F99+J99)</f>
        <v/>
      </c>
      <c r="L99" s="117" t="str">
        <f>IF(B99="","",F99-IF(A99=$C$38,$C$30,0))</f>
        <v/>
      </c>
      <c r="M99" s="131" t="str">
        <f>IF(B99="","",$C$37*(1+$C$13)^(-C99))</f>
        <v/>
      </c>
      <c r="N99" s="117" t="str">
        <f>IF(B99="","",L99*M99)</f>
        <v/>
      </c>
      <c r="O99" s="117" t="str">
        <f>IF(B99="","",IF(B99="Básico",F99,0)-IF(A99=$C$38,$C$30,0))</f>
        <v/>
      </c>
      <c r="P99" s="130">
        <f>IF(B99="",$C$31,D99)</f>
        <v>46301.0</v>
      </c>
      <c r="Q99" s="117">
        <f>IF(B99="",0,L99)</f>
        <v>0</v>
      </c>
      <c r="R99" s="117">
        <f>IF(B99="",0,-F99)</f>
        <v>0</v>
      </c>
      <c r="S99" s="117" t="str">
        <f>IF(B99="","",O99*M99)</f>
        <v/>
      </c>
    </row>
    <row r="100">
      <c r="A100" s="53" t="n">
        <v>41</v>
      </c>
      <c r="B100" s="53" t="str">
        <f>IF(A100&gt;$C$38,"",IF(A100&lt;=$C$5,"Básico",IF($C$6&gt;0,"Sucesivo","Opción de compra")))</f>
        <v/>
      </c>
      <c r="C100" s="53" t="str">
        <f>IF(B100="","",IF(B100="Opción de compra",$C$5,A100-$C$7))</f>
        <v/>
      </c>
      <c r="D100" s="130" t="str">
        <f>IF(B100="","",EDATE($C$33,C100))</f>
        <v/>
      </c>
      <c r="E100" s="117" t="str">
        <f>IF(B100="","",I99)</f>
        <v/>
      </c>
      <c r="F100" s="117" t="str">
        <f>IF(B100="","",IF(B100="Básico",$C$24,IF(B100="Sucesivo",$C$25,$C$26)))</f>
        <v/>
      </c>
      <c r="G100" s="117" t="str">
        <f>IF(B100="","",IF(B100="Opción de compra",0,(E100-$C$7*F100)*IF(B100="Sucesivo",$C$11,$C$9)))</f>
        <v/>
      </c>
      <c r="H100" s="117" t="str">
        <f>IF(B100="","",F100-G100)</f>
        <v/>
      </c>
      <c r="I100" s="117" t="str">
        <f>IF(B100="","",E100-H100)</f>
        <v/>
      </c>
      <c r="J100" s="117" t="str">
        <f>IF(B100="","",IF(OR(inp_Tipo="Arrendamiento Puro",par_BaseIVAFin="Sobre renta",B100="Opción de compra"),F100,G100)*$C$14)</f>
        <v/>
      </c>
      <c r="K100" s="117" t="str">
        <f>IF(B100="","",F100+J100)</f>
        <v/>
      </c>
      <c r="L100" s="117" t="str">
        <f>IF(B100="","",F100-IF(A100=$C$38,$C$30,0))</f>
        <v/>
      </c>
      <c r="M100" s="131" t="str">
        <f>IF(B100="","",$C$37*(1+$C$13)^(-C100))</f>
        <v/>
      </c>
      <c r="N100" s="117" t="str">
        <f>IF(B100="","",L100*M100)</f>
        <v/>
      </c>
      <c r="O100" s="117" t="str">
        <f>IF(B100="","",IF(B100="Básico",F100,0)-IF(A100=$C$38,$C$30,0))</f>
        <v/>
      </c>
      <c r="P100" s="130">
        <f>IF(B100="",$C$31,D100)</f>
        <v>46301.0</v>
      </c>
      <c r="Q100" s="117">
        <f>IF(B100="",0,L100)</f>
        <v>0</v>
      </c>
      <c r="R100" s="117">
        <f>IF(B100="",0,-F100)</f>
        <v>0</v>
      </c>
      <c r="S100" s="117" t="str">
        <f>IF(B100="","",O100*M100)</f>
        <v/>
      </c>
    </row>
    <row r="101">
      <c r="A101" s="53" t="n">
        <v>42</v>
      </c>
      <c r="B101" s="53" t="str">
        <f>IF(A101&gt;$C$38,"",IF(A101&lt;=$C$5,"Básico",IF($C$6&gt;0,"Sucesivo","Opción de compra")))</f>
        <v/>
      </c>
      <c r="C101" s="53" t="str">
        <f>IF(B101="","",IF(B101="Opción de compra",$C$5,A101-$C$7))</f>
        <v/>
      </c>
      <c r="D101" s="130" t="str">
        <f>IF(B101="","",EDATE($C$33,C101))</f>
        <v/>
      </c>
      <c r="E101" s="117" t="str">
        <f>IF(B101="","",I100)</f>
        <v/>
      </c>
      <c r="F101" s="117" t="str">
        <f>IF(B101="","",IF(B101="Básico",$C$24,IF(B101="Sucesivo",$C$25,$C$26)))</f>
        <v/>
      </c>
      <c r="G101" s="117" t="str">
        <f>IF(B101="","",IF(B101="Opción de compra",0,(E101-$C$7*F101)*IF(B101="Sucesivo",$C$11,$C$9)))</f>
        <v/>
      </c>
      <c r="H101" s="117" t="str">
        <f>IF(B101="","",F101-G101)</f>
        <v/>
      </c>
      <c r="I101" s="117" t="str">
        <f>IF(B101="","",E101-H101)</f>
        <v/>
      </c>
      <c r="J101" s="117" t="str">
        <f>IF(B101="","",IF(OR(inp_Tipo="Arrendamiento Puro",par_BaseIVAFin="Sobre renta",B101="Opción de compra"),F101,G101)*$C$14)</f>
        <v/>
      </c>
      <c r="K101" s="117" t="str">
        <f>IF(B101="","",F101+J101)</f>
        <v/>
      </c>
      <c r="L101" s="117" t="str">
        <f>IF(B101="","",F101-IF(A101=$C$38,$C$30,0))</f>
        <v/>
      </c>
      <c r="M101" s="131" t="str">
        <f>IF(B101="","",$C$37*(1+$C$13)^(-C101))</f>
        <v/>
      </c>
      <c r="N101" s="117" t="str">
        <f>IF(B101="","",L101*M101)</f>
        <v/>
      </c>
      <c r="O101" s="117" t="str">
        <f>IF(B101="","",IF(B101="Básico",F101,0)-IF(A101=$C$38,$C$30,0))</f>
        <v/>
      </c>
      <c r="P101" s="130">
        <f>IF(B101="",$C$31,D101)</f>
        <v>46301.0</v>
      </c>
      <c r="Q101" s="117">
        <f>IF(B101="",0,L101)</f>
        <v>0</v>
      </c>
      <c r="R101" s="117">
        <f>IF(B101="",0,-F101)</f>
        <v>0</v>
      </c>
      <c r="S101" s="117" t="str">
        <f>IF(B101="","",O101*M101)</f>
        <v/>
      </c>
    </row>
    <row r="102">
      <c r="A102" s="53" t="n">
        <v>43</v>
      </c>
      <c r="B102" s="53" t="str">
        <f>IF(A102&gt;$C$38,"",IF(A102&lt;=$C$5,"Básico",IF($C$6&gt;0,"Sucesivo","Opción de compra")))</f>
        <v/>
      </c>
      <c r="C102" s="53" t="str">
        <f>IF(B102="","",IF(B102="Opción de compra",$C$5,A102-$C$7))</f>
        <v/>
      </c>
      <c r="D102" s="130" t="str">
        <f>IF(B102="","",EDATE($C$33,C102))</f>
        <v/>
      </c>
      <c r="E102" s="117" t="str">
        <f>IF(B102="","",I101)</f>
        <v/>
      </c>
      <c r="F102" s="117" t="str">
        <f>IF(B102="","",IF(B102="Básico",$C$24,IF(B102="Sucesivo",$C$25,$C$26)))</f>
        <v/>
      </c>
      <c r="G102" s="117" t="str">
        <f>IF(B102="","",IF(B102="Opción de compra",0,(E102-$C$7*F102)*IF(B102="Sucesivo",$C$11,$C$9)))</f>
        <v/>
      </c>
      <c r="H102" s="117" t="str">
        <f>IF(B102="","",F102-G102)</f>
        <v/>
      </c>
      <c r="I102" s="117" t="str">
        <f>IF(B102="","",E102-H102)</f>
        <v/>
      </c>
      <c r="J102" s="117" t="str">
        <f>IF(B102="","",IF(OR(inp_Tipo="Arrendamiento Puro",par_BaseIVAFin="Sobre renta",B102="Opción de compra"),F102,G102)*$C$14)</f>
        <v/>
      </c>
      <c r="K102" s="117" t="str">
        <f>IF(B102="","",F102+J102)</f>
        <v/>
      </c>
      <c r="L102" s="117" t="str">
        <f>IF(B102="","",F102-IF(A102=$C$38,$C$30,0))</f>
        <v/>
      </c>
      <c r="M102" s="131" t="str">
        <f>IF(B102="","",$C$37*(1+$C$13)^(-C102))</f>
        <v/>
      </c>
      <c r="N102" s="117" t="str">
        <f>IF(B102="","",L102*M102)</f>
        <v/>
      </c>
      <c r="O102" s="117" t="str">
        <f>IF(B102="","",IF(B102="Básico",F102,0)-IF(A102=$C$38,$C$30,0))</f>
        <v/>
      </c>
      <c r="P102" s="130">
        <f>IF(B102="",$C$31,D102)</f>
        <v>46301.0</v>
      </c>
      <c r="Q102" s="117">
        <f>IF(B102="",0,L102)</f>
        <v>0</v>
      </c>
      <c r="R102" s="117">
        <f>IF(B102="",0,-F102)</f>
        <v>0</v>
      </c>
      <c r="S102" s="117" t="str">
        <f>IF(B102="","",O102*M102)</f>
        <v/>
      </c>
    </row>
    <row r="103">
      <c r="A103" s="53" t="n">
        <v>44</v>
      </c>
      <c r="B103" s="53" t="str">
        <f>IF(A103&gt;$C$38,"",IF(A103&lt;=$C$5,"Básico",IF($C$6&gt;0,"Sucesivo","Opción de compra")))</f>
        <v/>
      </c>
      <c r="C103" s="53" t="str">
        <f>IF(B103="","",IF(B103="Opción de compra",$C$5,A103-$C$7))</f>
        <v/>
      </c>
      <c r="D103" s="130" t="str">
        <f>IF(B103="","",EDATE($C$33,C103))</f>
        <v/>
      </c>
      <c r="E103" s="117" t="str">
        <f>IF(B103="","",I102)</f>
        <v/>
      </c>
      <c r="F103" s="117" t="str">
        <f>IF(B103="","",IF(B103="Básico",$C$24,IF(B103="Sucesivo",$C$25,$C$26)))</f>
        <v/>
      </c>
      <c r="G103" s="117" t="str">
        <f>IF(B103="","",IF(B103="Opción de compra",0,(E103-$C$7*F103)*IF(B103="Sucesivo",$C$11,$C$9)))</f>
        <v/>
      </c>
      <c r="H103" s="117" t="str">
        <f>IF(B103="","",F103-G103)</f>
        <v/>
      </c>
      <c r="I103" s="117" t="str">
        <f>IF(B103="","",E103-H103)</f>
        <v/>
      </c>
      <c r="J103" s="117" t="str">
        <f>IF(B103="","",IF(OR(inp_Tipo="Arrendamiento Puro",par_BaseIVAFin="Sobre renta",B103="Opción de compra"),F103,G103)*$C$14)</f>
        <v/>
      </c>
      <c r="K103" s="117" t="str">
        <f>IF(B103="","",F103+J103)</f>
        <v/>
      </c>
      <c r="L103" s="117" t="str">
        <f>IF(B103="","",F103-IF(A103=$C$38,$C$30,0))</f>
        <v/>
      </c>
      <c r="M103" s="131" t="str">
        <f>IF(B103="","",$C$37*(1+$C$13)^(-C103))</f>
        <v/>
      </c>
      <c r="N103" s="117" t="str">
        <f>IF(B103="","",L103*M103)</f>
        <v/>
      </c>
      <c r="O103" s="117" t="str">
        <f>IF(B103="","",IF(B103="Básico",F103,0)-IF(A103=$C$38,$C$30,0))</f>
        <v/>
      </c>
      <c r="P103" s="130">
        <f>IF(B103="",$C$31,D103)</f>
        <v>46301.0</v>
      </c>
      <c r="Q103" s="117">
        <f>IF(B103="",0,L103)</f>
        <v>0</v>
      </c>
      <c r="R103" s="117">
        <f>IF(B103="",0,-F103)</f>
        <v>0</v>
      </c>
      <c r="S103" s="117" t="str">
        <f>IF(B103="","",O103*M103)</f>
        <v/>
      </c>
    </row>
    <row r="104">
      <c r="A104" s="53" t="n">
        <v>45</v>
      </c>
      <c r="B104" s="53" t="str">
        <f>IF(A104&gt;$C$38,"",IF(A104&lt;=$C$5,"Básico",IF($C$6&gt;0,"Sucesivo","Opción de compra")))</f>
        <v/>
      </c>
      <c r="C104" s="53" t="str">
        <f>IF(B104="","",IF(B104="Opción de compra",$C$5,A104-$C$7))</f>
        <v/>
      </c>
      <c r="D104" s="130" t="str">
        <f>IF(B104="","",EDATE($C$33,C104))</f>
        <v/>
      </c>
      <c r="E104" s="117" t="str">
        <f>IF(B104="","",I103)</f>
        <v/>
      </c>
      <c r="F104" s="117" t="str">
        <f>IF(B104="","",IF(B104="Básico",$C$24,IF(B104="Sucesivo",$C$25,$C$26)))</f>
        <v/>
      </c>
      <c r="G104" s="117" t="str">
        <f>IF(B104="","",IF(B104="Opción de compra",0,(E104-$C$7*F104)*IF(B104="Sucesivo",$C$11,$C$9)))</f>
        <v/>
      </c>
      <c r="H104" s="117" t="str">
        <f>IF(B104="","",F104-G104)</f>
        <v/>
      </c>
      <c r="I104" s="117" t="str">
        <f>IF(B104="","",E104-H104)</f>
        <v/>
      </c>
      <c r="J104" s="117" t="str">
        <f>IF(B104="","",IF(OR(inp_Tipo="Arrendamiento Puro",par_BaseIVAFin="Sobre renta",B104="Opción de compra"),F104,G104)*$C$14)</f>
        <v/>
      </c>
      <c r="K104" s="117" t="str">
        <f>IF(B104="","",F104+J104)</f>
        <v/>
      </c>
      <c r="L104" s="117" t="str">
        <f>IF(B104="","",F104-IF(A104=$C$38,$C$30,0))</f>
        <v/>
      </c>
      <c r="M104" s="131" t="str">
        <f>IF(B104="","",$C$37*(1+$C$13)^(-C104))</f>
        <v/>
      </c>
      <c r="N104" s="117" t="str">
        <f>IF(B104="","",L104*M104)</f>
        <v/>
      </c>
      <c r="O104" s="117" t="str">
        <f>IF(B104="","",IF(B104="Básico",F104,0)-IF(A104=$C$38,$C$30,0))</f>
        <v/>
      </c>
      <c r="P104" s="130">
        <f>IF(B104="",$C$31,D104)</f>
        <v>46301.0</v>
      </c>
      <c r="Q104" s="117">
        <f>IF(B104="",0,L104)</f>
        <v>0</v>
      </c>
      <c r="R104" s="117">
        <f>IF(B104="",0,-F104)</f>
        <v>0</v>
      </c>
      <c r="S104" s="117" t="str">
        <f>IF(B104="","",O104*M104)</f>
        <v/>
      </c>
    </row>
    <row r="105">
      <c r="A105" s="53" t="n">
        <v>46</v>
      </c>
      <c r="B105" s="53" t="str">
        <f>IF(A105&gt;$C$38,"",IF(A105&lt;=$C$5,"Básico",IF($C$6&gt;0,"Sucesivo","Opción de compra")))</f>
        <v/>
      </c>
      <c r="C105" s="53" t="str">
        <f>IF(B105="","",IF(B105="Opción de compra",$C$5,A105-$C$7))</f>
        <v/>
      </c>
      <c r="D105" s="130" t="str">
        <f>IF(B105="","",EDATE($C$33,C105))</f>
        <v/>
      </c>
      <c r="E105" s="117" t="str">
        <f>IF(B105="","",I104)</f>
        <v/>
      </c>
      <c r="F105" s="117" t="str">
        <f>IF(B105="","",IF(B105="Básico",$C$24,IF(B105="Sucesivo",$C$25,$C$26)))</f>
        <v/>
      </c>
      <c r="G105" s="117" t="str">
        <f>IF(B105="","",IF(B105="Opción de compra",0,(E105-$C$7*F105)*IF(B105="Sucesivo",$C$11,$C$9)))</f>
        <v/>
      </c>
      <c r="H105" s="117" t="str">
        <f>IF(B105="","",F105-G105)</f>
        <v/>
      </c>
      <c r="I105" s="117" t="str">
        <f>IF(B105="","",E105-H105)</f>
        <v/>
      </c>
      <c r="J105" s="117" t="str">
        <f>IF(B105="","",IF(OR(inp_Tipo="Arrendamiento Puro",par_BaseIVAFin="Sobre renta",B105="Opción de compra"),F105,G105)*$C$14)</f>
        <v/>
      </c>
      <c r="K105" s="117" t="str">
        <f>IF(B105="","",F105+J105)</f>
        <v/>
      </c>
      <c r="L105" s="117" t="str">
        <f>IF(B105="","",F105-IF(A105=$C$38,$C$30,0))</f>
        <v/>
      </c>
      <c r="M105" s="131" t="str">
        <f>IF(B105="","",$C$37*(1+$C$13)^(-C105))</f>
        <v/>
      </c>
      <c r="N105" s="117" t="str">
        <f>IF(B105="","",L105*M105)</f>
        <v/>
      </c>
      <c r="O105" s="117" t="str">
        <f>IF(B105="","",IF(B105="Básico",F105,0)-IF(A105=$C$38,$C$30,0))</f>
        <v/>
      </c>
      <c r="P105" s="130">
        <f>IF(B105="",$C$31,D105)</f>
        <v>46301.0</v>
      </c>
      <c r="Q105" s="117">
        <f>IF(B105="",0,L105)</f>
        <v>0</v>
      </c>
      <c r="R105" s="117">
        <f>IF(B105="",0,-F105)</f>
        <v>0</v>
      </c>
      <c r="S105" s="117" t="str">
        <f>IF(B105="","",O105*M105)</f>
        <v/>
      </c>
    </row>
    <row r="106">
      <c r="A106" s="53" t="n">
        <v>47</v>
      </c>
      <c r="B106" s="53" t="str">
        <f>IF(A106&gt;$C$38,"",IF(A106&lt;=$C$5,"Básico",IF($C$6&gt;0,"Sucesivo","Opción de compra")))</f>
        <v/>
      </c>
      <c r="C106" s="53" t="str">
        <f>IF(B106="","",IF(B106="Opción de compra",$C$5,A106-$C$7))</f>
        <v/>
      </c>
      <c r="D106" s="130" t="str">
        <f>IF(B106="","",EDATE($C$33,C106))</f>
        <v/>
      </c>
      <c r="E106" s="117" t="str">
        <f>IF(B106="","",I105)</f>
        <v/>
      </c>
      <c r="F106" s="117" t="str">
        <f>IF(B106="","",IF(B106="Básico",$C$24,IF(B106="Sucesivo",$C$25,$C$26)))</f>
        <v/>
      </c>
      <c r="G106" s="117" t="str">
        <f>IF(B106="","",IF(B106="Opción de compra",0,(E106-$C$7*F106)*IF(B106="Sucesivo",$C$11,$C$9)))</f>
        <v/>
      </c>
      <c r="H106" s="117" t="str">
        <f>IF(B106="","",F106-G106)</f>
        <v/>
      </c>
      <c r="I106" s="117" t="str">
        <f>IF(B106="","",E106-H106)</f>
        <v/>
      </c>
      <c r="J106" s="117" t="str">
        <f>IF(B106="","",IF(OR(inp_Tipo="Arrendamiento Puro",par_BaseIVAFin="Sobre renta",B106="Opción de compra"),F106,G106)*$C$14)</f>
        <v/>
      </c>
      <c r="K106" s="117" t="str">
        <f>IF(B106="","",F106+J106)</f>
        <v/>
      </c>
      <c r="L106" s="117" t="str">
        <f>IF(B106="","",F106-IF(A106=$C$38,$C$30,0))</f>
        <v/>
      </c>
      <c r="M106" s="131" t="str">
        <f>IF(B106="","",$C$37*(1+$C$13)^(-C106))</f>
        <v/>
      </c>
      <c r="N106" s="117" t="str">
        <f>IF(B106="","",L106*M106)</f>
        <v/>
      </c>
      <c r="O106" s="117" t="str">
        <f>IF(B106="","",IF(B106="Básico",F106,0)-IF(A106=$C$38,$C$30,0))</f>
        <v/>
      </c>
      <c r="P106" s="130">
        <f>IF(B106="",$C$31,D106)</f>
        <v>46301.0</v>
      </c>
      <c r="Q106" s="117">
        <f>IF(B106="",0,L106)</f>
        <v>0</v>
      </c>
      <c r="R106" s="117">
        <f>IF(B106="",0,-F106)</f>
        <v>0</v>
      </c>
      <c r="S106" s="117" t="str">
        <f>IF(B106="","",O106*M106)</f>
        <v/>
      </c>
    </row>
    <row r="107">
      <c r="A107" s="53" t="n">
        <v>48</v>
      </c>
      <c r="B107" s="53" t="str">
        <f>IF(A107&gt;$C$38,"",IF(A107&lt;=$C$5,"Básico",IF($C$6&gt;0,"Sucesivo","Opción de compra")))</f>
        <v/>
      </c>
      <c r="C107" s="53" t="str">
        <f>IF(B107="","",IF(B107="Opción de compra",$C$5,A107-$C$7))</f>
        <v/>
      </c>
      <c r="D107" s="130" t="str">
        <f>IF(B107="","",EDATE($C$33,C107))</f>
        <v/>
      </c>
      <c r="E107" s="117" t="str">
        <f>IF(B107="","",I106)</f>
        <v/>
      </c>
      <c r="F107" s="117" t="str">
        <f>IF(B107="","",IF(B107="Básico",$C$24,IF(B107="Sucesivo",$C$25,$C$26)))</f>
        <v/>
      </c>
      <c r="G107" s="117" t="str">
        <f>IF(B107="","",IF(B107="Opción de compra",0,(E107-$C$7*F107)*IF(B107="Sucesivo",$C$11,$C$9)))</f>
        <v/>
      </c>
      <c r="H107" s="117" t="str">
        <f>IF(B107="","",F107-G107)</f>
        <v/>
      </c>
      <c r="I107" s="117" t="str">
        <f>IF(B107="","",E107-H107)</f>
        <v/>
      </c>
      <c r="J107" s="117" t="str">
        <f>IF(B107="","",IF(OR(inp_Tipo="Arrendamiento Puro",par_BaseIVAFin="Sobre renta",B107="Opción de compra"),F107,G107)*$C$14)</f>
        <v/>
      </c>
      <c r="K107" s="117" t="str">
        <f>IF(B107="","",F107+J107)</f>
        <v/>
      </c>
      <c r="L107" s="117" t="str">
        <f>IF(B107="","",F107-IF(A107=$C$38,$C$30,0))</f>
        <v/>
      </c>
      <c r="M107" s="131" t="str">
        <f>IF(B107="","",$C$37*(1+$C$13)^(-C107))</f>
        <v/>
      </c>
      <c r="N107" s="117" t="str">
        <f>IF(B107="","",L107*M107)</f>
        <v/>
      </c>
      <c r="O107" s="117" t="str">
        <f>IF(B107="","",IF(B107="Básico",F107,0)-IF(A107=$C$38,$C$30,0))</f>
        <v/>
      </c>
      <c r="P107" s="130">
        <f>IF(B107="",$C$31,D107)</f>
        <v>46301.0</v>
      </c>
      <c r="Q107" s="117">
        <f>IF(B107="",0,L107)</f>
        <v>0</v>
      </c>
      <c r="R107" s="117">
        <f>IF(B107="",0,-F107)</f>
        <v>0</v>
      </c>
      <c r="S107" s="117" t="str">
        <f>IF(B107="","",O107*M107)</f>
        <v/>
      </c>
    </row>
    <row r="108">
      <c r="A108" s="53" t="n">
        <v>49</v>
      </c>
      <c r="B108" s="53" t="str">
        <f>IF(A108&gt;$C$38,"",IF(A108&lt;=$C$5,"Básico",IF($C$6&gt;0,"Sucesivo","Opción de compra")))</f>
        <v/>
      </c>
      <c r="C108" s="53" t="str">
        <f>IF(B108="","",IF(B108="Opción de compra",$C$5,A108-$C$7))</f>
        <v/>
      </c>
      <c r="D108" s="130" t="str">
        <f>IF(B108="","",EDATE($C$33,C108))</f>
        <v/>
      </c>
      <c r="E108" s="117" t="str">
        <f>IF(B108="","",I107)</f>
        <v/>
      </c>
      <c r="F108" s="117" t="str">
        <f>IF(B108="","",IF(B108="Básico",$C$24,IF(B108="Sucesivo",$C$25,$C$26)))</f>
        <v/>
      </c>
      <c r="G108" s="117" t="str">
        <f>IF(B108="","",IF(B108="Opción de compra",0,(E108-$C$7*F108)*IF(B108="Sucesivo",$C$11,$C$9)))</f>
        <v/>
      </c>
      <c r="H108" s="117" t="str">
        <f>IF(B108="","",F108-G108)</f>
        <v/>
      </c>
      <c r="I108" s="117" t="str">
        <f>IF(B108="","",E108-H108)</f>
        <v/>
      </c>
      <c r="J108" s="117" t="str">
        <f>IF(B108="","",IF(OR(inp_Tipo="Arrendamiento Puro",par_BaseIVAFin="Sobre renta",B108="Opción de compra"),F108,G108)*$C$14)</f>
        <v/>
      </c>
      <c r="K108" s="117" t="str">
        <f>IF(B108="","",F108+J108)</f>
        <v/>
      </c>
      <c r="L108" s="117" t="str">
        <f>IF(B108="","",F108-IF(A108=$C$38,$C$30,0))</f>
        <v/>
      </c>
      <c r="M108" s="131" t="str">
        <f>IF(B108="","",$C$37*(1+$C$13)^(-C108))</f>
        <v/>
      </c>
      <c r="N108" s="117" t="str">
        <f>IF(B108="","",L108*M108)</f>
        <v/>
      </c>
      <c r="O108" s="117" t="str">
        <f>IF(B108="","",IF(B108="Básico",F108,0)-IF(A108=$C$38,$C$30,0))</f>
        <v/>
      </c>
      <c r="P108" s="130">
        <f>IF(B108="",$C$31,D108)</f>
        <v>46301.0</v>
      </c>
      <c r="Q108" s="117">
        <f>IF(B108="",0,L108)</f>
        <v>0</v>
      </c>
      <c r="R108" s="117">
        <f>IF(B108="",0,-F108)</f>
        <v>0</v>
      </c>
      <c r="S108" s="117" t="str">
        <f>IF(B108="","",O108*M108)</f>
        <v/>
      </c>
    </row>
    <row r="109">
      <c r="A109" s="53" t="n">
        <v>50</v>
      </c>
      <c r="B109" s="53" t="str">
        <f>IF(A109&gt;$C$38,"",IF(A109&lt;=$C$5,"Básico",IF($C$6&gt;0,"Sucesivo","Opción de compra")))</f>
        <v/>
      </c>
      <c r="C109" s="53" t="str">
        <f>IF(B109="","",IF(B109="Opción de compra",$C$5,A109-$C$7))</f>
        <v/>
      </c>
      <c r="D109" s="130" t="str">
        <f>IF(B109="","",EDATE($C$33,C109))</f>
        <v/>
      </c>
      <c r="E109" s="117" t="str">
        <f>IF(B109="","",I108)</f>
        <v/>
      </c>
      <c r="F109" s="117" t="str">
        <f>IF(B109="","",IF(B109="Básico",$C$24,IF(B109="Sucesivo",$C$25,$C$26)))</f>
        <v/>
      </c>
      <c r="G109" s="117" t="str">
        <f>IF(B109="","",IF(B109="Opción de compra",0,(E109-$C$7*F109)*IF(B109="Sucesivo",$C$11,$C$9)))</f>
        <v/>
      </c>
      <c r="H109" s="117" t="str">
        <f>IF(B109="","",F109-G109)</f>
        <v/>
      </c>
      <c r="I109" s="117" t="str">
        <f>IF(B109="","",E109-H109)</f>
        <v/>
      </c>
      <c r="J109" s="117" t="str">
        <f>IF(B109="","",IF(OR(inp_Tipo="Arrendamiento Puro",par_BaseIVAFin="Sobre renta",B109="Opción de compra"),F109,G109)*$C$14)</f>
        <v/>
      </c>
      <c r="K109" s="117" t="str">
        <f>IF(B109="","",F109+J109)</f>
        <v/>
      </c>
      <c r="L109" s="117" t="str">
        <f>IF(B109="","",F109-IF(A109=$C$38,$C$30,0))</f>
        <v/>
      </c>
      <c r="M109" s="131" t="str">
        <f>IF(B109="","",$C$37*(1+$C$13)^(-C109))</f>
        <v/>
      </c>
      <c r="N109" s="117" t="str">
        <f>IF(B109="","",L109*M109)</f>
        <v/>
      </c>
      <c r="O109" s="117" t="str">
        <f>IF(B109="","",IF(B109="Básico",F109,0)-IF(A109=$C$38,$C$30,0))</f>
        <v/>
      </c>
      <c r="P109" s="130">
        <f>IF(B109="",$C$31,D109)</f>
        <v>46301.0</v>
      </c>
      <c r="Q109" s="117">
        <f>IF(B109="",0,L109)</f>
        <v>0</v>
      </c>
      <c r="R109" s="117">
        <f>IF(B109="",0,-F109)</f>
        <v>0</v>
      </c>
      <c r="S109" s="117" t="str">
        <f>IF(B109="","",O109*M109)</f>
        <v/>
      </c>
    </row>
    <row r="110">
      <c r="A110" s="53" t="n">
        <v>51</v>
      </c>
      <c r="B110" s="53" t="str">
        <f>IF(A110&gt;$C$38,"",IF(A110&lt;=$C$5,"Básico",IF($C$6&gt;0,"Sucesivo","Opción de compra")))</f>
        <v/>
      </c>
      <c r="C110" s="53" t="str">
        <f>IF(B110="","",IF(B110="Opción de compra",$C$5,A110-$C$7))</f>
        <v/>
      </c>
      <c r="D110" s="130" t="str">
        <f>IF(B110="","",EDATE($C$33,C110))</f>
        <v/>
      </c>
      <c r="E110" s="117" t="str">
        <f>IF(B110="","",I109)</f>
        <v/>
      </c>
      <c r="F110" s="117" t="str">
        <f>IF(B110="","",IF(B110="Básico",$C$24,IF(B110="Sucesivo",$C$25,$C$26)))</f>
        <v/>
      </c>
      <c r="G110" s="117" t="str">
        <f>IF(B110="","",IF(B110="Opción de compra",0,(E110-$C$7*F110)*IF(B110="Sucesivo",$C$11,$C$9)))</f>
        <v/>
      </c>
      <c r="H110" s="117" t="str">
        <f>IF(B110="","",F110-G110)</f>
        <v/>
      </c>
      <c r="I110" s="117" t="str">
        <f>IF(B110="","",E110-H110)</f>
        <v/>
      </c>
      <c r="J110" s="117" t="str">
        <f>IF(B110="","",IF(OR(inp_Tipo="Arrendamiento Puro",par_BaseIVAFin="Sobre renta",B110="Opción de compra"),F110,G110)*$C$14)</f>
        <v/>
      </c>
      <c r="K110" s="117" t="str">
        <f>IF(B110="","",F110+J110)</f>
        <v/>
      </c>
      <c r="L110" s="117" t="str">
        <f>IF(B110="","",F110-IF(A110=$C$38,$C$30,0))</f>
        <v/>
      </c>
      <c r="M110" s="131" t="str">
        <f>IF(B110="","",$C$37*(1+$C$13)^(-C110))</f>
        <v/>
      </c>
      <c r="N110" s="117" t="str">
        <f>IF(B110="","",L110*M110)</f>
        <v/>
      </c>
      <c r="O110" s="117" t="str">
        <f>IF(B110="","",IF(B110="Básico",F110,0)-IF(A110=$C$38,$C$30,0))</f>
        <v/>
      </c>
      <c r="P110" s="130">
        <f>IF(B110="",$C$31,D110)</f>
        <v>46301.0</v>
      </c>
      <c r="Q110" s="117">
        <f>IF(B110="",0,L110)</f>
        <v>0</v>
      </c>
      <c r="R110" s="117">
        <f>IF(B110="",0,-F110)</f>
        <v>0</v>
      </c>
      <c r="S110" s="117" t="str">
        <f>IF(B110="","",O110*M110)</f>
        <v/>
      </c>
    </row>
    <row r="111">
      <c r="A111" s="53" t="n">
        <v>52</v>
      </c>
      <c r="B111" s="53" t="str">
        <f>IF(A111&gt;$C$38,"",IF(A111&lt;=$C$5,"Básico",IF($C$6&gt;0,"Sucesivo","Opción de compra")))</f>
        <v/>
      </c>
      <c r="C111" s="53" t="str">
        <f>IF(B111="","",IF(B111="Opción de compra",$C$5,A111-$C$7))</f>
        <v/>
      </c>
      <c r="D111" s="130" t="str">
        <f>IF(B111="","",EDATE($C$33,C111))</f>
        <v/>
      </c>
      <c r="E111" s="117" t="str">
        <f>IF(B111="","",I110)</f>
        <v/>
      </c>
      <c r="F111" s="117" t="str">
        <f>IF(B111="","",IF(B111="Básico",$C$24,IF(B111="Sucesivo",$C$25,$C$26)))</f>
        <v/>
      </c>
      <c r="G111" s="117" t="str">
        <f>IF(B111="","",IF(B111="Opción de compra",0,(E111-$C$7*F111)*IF(B111="Sucesivo",$C$11,$C$9)))</f>
        <v/>
      </c>
      <c r="H111" s="117" t="str">
        <f>IF(B111="","",F111-G111)</f>
        <v/>
      </c>
      <c r="I111" s="117" t="str">
        <f>IF(B111="","",E111-H111)</f>
        <v/>
      </c>
      <c r="J111" s="117" t="str">
        <f>IF(B111="","",IF(OR(inp_Tipo="Arrendamiento Puro",par_BaseIVAFin="Sobre renta",B111="Opción de compra"),F111,G111)*$C$14)</f>
        <v/>
      </c>
      <c r="K111" s="117" t="str">
        <f>IF(B111="","",F111+J111)</f>
        <v/>
      </c>
      <c r="L111" s="117" t="str">
        <f>IF(B111="","",F111-IF(A111=$C$38,$C$30,0))</f>
        <v/>
      </c>
      <c r="M111" s="131" t="str">
        <f>IF(B111="","",$C$37*(1+$C$13)^(-C111))</f>
        <v/>
      </c>
      <c r="N111" s="117" t="str">
        <f>IF(B111="","",L111*M111)</f>
        <v/>
      </c>
      <c r="O111" s="117" t="str">
        <f>IF(B111="","",IF(B111="Básico",F111,0)-IF(A111=$C$38,$C$30,0))</f>
        <v/>
      </c>
      <c r="P111" s="130">
        <f>IF(B111="",$C$31,D111)</f>
        <v>46301.0</v>
      </c>
      <c r="Q111" s="117">
        <f>IF(B111="",0,L111)</f>
        <v>0</v>
      </c>
      <c r="R111" s="117">
        <f>IF(B111="",0,-F111)</f>
        <v>0</v>
      </c>
      <c r="S111" s="117" t="str">
        <f>IF(B111="","",O111*M111)</f>
        <v/>
      </c>
    </row>
    <row r="112">
      <c r="A112" s="53" t="n">
        <v>53</v>
      </c>
      <c r="B112" s="53" t="str">
        <f>IF(A112&gt;$C$38,"",IF(A112&lt;=$C$5,"Básico",IF($C$6&gt;0,"Sucesivo","Opción de compra")))</f>
        <v/>
      </c>
      <c r="C112" s="53" t="str">
        <f>IF(B112="","",IF(B112="Opción de compra",$C$5,A112-$C$7))</f>
        <v/>
      </c>
      <c r="D112" s="130" t="str">
        <f>IF(B112="","",EDATE($C$33,C112))</f>
        <v/>
      </c>
      <c r="E112" s="117" t="str">
        <f>IF(B112="","",I111)</f>
        <v/>
      </c>
      <c r="F112" s="117" t="str">
        <f>IF(B112="","",IF(B112="Básico",$C$24,IF(B112="Sucesivo",$C$25,$C$26)))</f>
        <v/>
      </c>
      <c r="G112" s="117" t="str">
        <f>IF(B112="","",IF(B112="Opción de compra",0,(E112-$C$7*F112)*IF(B112="Sucesivo",$C$11,$C$9)))</f>
        <v/>
      </c>
      <c r="H112" s="117" t="str">
        <f>IF(B112="","",F112-G112)</f>
        <v/>
      </c>
      <c r="I112" s="117" t="str">
        <f>IF(B112="","",E112-H112)</f>
        <v/>
      </c>
      <c r="J112" s="117" t="str">
        <f>IF(B112="","",IF(OR(inp_Tipo="Arrendamiento Puro",par_BaseIVAFin="Sobre renta",B112="Opción de compra"),F112,G112)*$C$14)</f>
        <v/>
      </c>
      <c r="K112" s="117" t="str">
        <f>IF(B112="","",F112+J112)</f>
        <v/>
      </c>
      <c r="L112" s="117" t="str">
        <f>IF(B112="","",F112-IF(A112=$C$38,$C$30,0))</f>
        <v/>
      </c>
      <c r="M112" s="131" t="str">
        <f>IF(B112="","",$C$37*(1+$C$13)^(-C112))</f>
        <v/>
      </c>
      <c r="N112" s="117" t="str">
        <f>IF(B112="","",L112*M112)</f>
        <v/>
      </c>
      <c r="O112" s="117" t="str">
        <f>IF(B112="","",IF(B112="Básico",F112,0)-IF(A112=$C$38,$C$30,0))</f>
        <v/>
      </c>
      <c r="P112" s="130">
        <f>IF(B112="",$C$31,D112)</f>
        <v>46301.0</v>
      </c>
      <c r="Q112" s="117">
        <f>IF(B112="",0,L112)</f>
        <v>0</v>
      </c>
      <c r="R112" s="117">
        <f>IF(B112="",0,-F112)</f>
        <v>0</v>
      </c>
      <c r="S112" s="117" t="str">
        <f>IF(B112="","",O112*M112)</f>
        <v/>
      </c>
    </row>
    <row r="113">
      <c r="A113" s="53" t="n">
        <v>54</v>
      </c>
      <c r="B113" s="53" t="str">
        <f>IF(A113&gt;$C$38,"",IF(A113&lt;=$C$5,"Básico",IF($C$6&gt;0,"Sucesivo","Opción de compra")))</f>
        <v/>
      </c>
      <c r="C113" s="53" t="str">
        <f>IF(B113="","",IF(B113="Opción de compra",$C$5,A113-$C$7))</f>
        <v/>
      </c>
      <c r="D113" s="130" t="str">
        <f>IF(B113="","",EDATE($C$33,C113))</f>
        <v/>
      </c>
      <c r="E113" s="117" t="str">
        <f>IF(B113="","",I112)</f>
        <v/>
      </c>
      <c r="F113" s="117" t="str">
        <f>IF(B113="","",IF(B113="Básico",$C$24,IF(B113="Sucesivo",$C$25,$C$26)))</f>
        <v/>
      </c>
      <c r="G113" s="117" t="str">
        <f>IF(B113="","",IF(B113="Opción de compra",0,(E113-$C$7*F113)*IF(B113="Sucesivo",$C$11,$C$9)))</f>
        <v/>
      </c>
      <c r="H113" s="117" t="str">
        <f>IF(B113="","",F113-G113)</f>
        <v/>
      </c>
      <c r="I113" s="117" t="str">
        <f>IF(B113="","",E113-H113)</f>
        <v/>
      </c>
      <c r="J113" s="117" t="str">
        <f>IF(B113="","",IF(OR(inp_Tipo="Arrendamiento Puro",par_BaseIVAFin="Sobre renta",B113="Opción de compra"),F113,G113)*$C$14)</f>
        <v/>
      </c>
      <c r="K113" s="117" t="str">
        <f>IF(B113="","",F113+J113)</f>
        <v/>
      </c>
      <c r="L113" s="117" t="str">
        <f>IF(B113="","",F113-IF(A113=$C$38,$C$30,0))</f>
        <v/>
      </c>
      <c r="M113" s="131" t="str">
        <f>IF(B113="","",$C$37*(1+$C$13)^(-C113))</f>
        <v/>
      </c>
      <c r="N113" s="117" t="str">
        <f>IF(B113="","",L113*M113)</f>
        <v/>
      </c>
      <c r="O113" s="117" t="str">
        <f>IF(B113="","",IF(B113="Básico",F113,0)-IF(A113=$C$38,$C$30,0))</f>
        <v/>
      </c>
      <c r="P113" s="130">
        <f>IF(B113="",$C$31,D113)</f>
        <v>46301.0</v>
      </c>
      <c r="Q113" s="117">
        <f>IF(B113="",0,L113)</f>
        <v>0</v>
      </c>
      <c r="R113" s="117">
        <f>IF(B113="",0,-F113)</f>
        <v>0</v>
      </c>
      <c r="S113" s="117" t="str">
        <f>IF(B113="","",O113*M113)</f>
        <v/>
      </c>
    </row>
    <row r="114">
      <c r="A114" s="53" t="n">
        <v>55</v>
      </c>
      <c r="B114" s="53" t="str">
        <f>IF(A114&gt;$C$38,"",IF(A114&lt;=$C$5,"Básico",IF($C$6&gt;0,"Sucesivo","Opción de compra")))</f>
        <v/>
      </c>
      <c r="C114" s="53" t="str">
        <f>IF(B114="","",IF(B114="Opción de compra",$C$5,A114-$C$7))</f>
        <v/>
      </c>
      <c r="D114" s="130" t="str">
        <f>IF(B114="","",EDATE($C$33,C114))</f>
        <v/>
      </c>
      <c r="E114" s="117" t="str">
        <f>IF(B114="","",I113)</f>
        <v/>
      </c>
      <c r="F114" s="117" t="str">
        <f>IF(B114="","",IF(B114="Básico",$C$24,IF(B114="Sucesivo",$C$25,$C$26)))</f>
        <v/>
      </c>
      <c r="G114" s="117" t="str">
        <f>IF(B114="","",IF(B114="Opción de compra",0,(E114-$C$7*F114)*IF(B114="Sucesivo",$C$11,$C$9)))</f>
        <v/>
      </c>
      <c r="H114" s="117" t="str">
        <f>IF(B114="","",F114-G114)</f>
        <v/>
      </c>
      <c r="I114" s="117" t="str">
        <f>IF(B114="","",E114-H114)</f>
        <v/>
      </c>
      <c r="J114" s="117" t="str">
        <f>IF(B114="","",IF(OR(inp_Tipo="Arrendamiento Puro",par_BaseIVAFin="Sobre renta",B114="Opción de compra"),F114,G114)*$C$14)</f>
        <v/>
      </c>
      <c r="K114" s="117" t="str">
        <f>IF(B114="","",F114+J114)</f>
        <v/>
      </c>
      <c r="L114" s="117" t="str">
        <f>IF(B114="","",F114-IF(A114=$C$38,$C$30,0))</f>
        <v/>
      </c>
      <c r="M114" s="131" t="str">
        <f>IF(B114="","",$C$37*(1+$C$13)^(-C114))</f>
        <v/>
      </c>
      <c r="N114" s="117" t="str">
        <f>IF(B114="","",L114*M114)</f>
        <v/>
      </c>
      <c r="O114" s="117" t="str">
        <f>IF(B114="","",IF(B114="Básico",F114,0)-IF(A114=$C$38,$C$30,0))</f>
        <v/>
      </c>
      <c r="P114" s="130">
        <f>IF(B114="",$C$31,D114)</f>
        <v>46301.0</v>
      </c>
      <c r="Q114" s="117">
        <f>IF(B114="",0,L114)</f>
        <v>0</v>
      </c>
      <c r="R114" s="117">
        <f>IF(B114="",0,-F114)</f>
        <v>0</v>
      </c>
      <c r="S114" s="117" t="str">
        <f>IF(B114="","",O114*M114)</f>
        <v/>
      </c>
    </row>
    <row r="115">
      <c r="A115" s="53" t="n">
        <v>56</v>
      </c>
      <c r="B115" s="53" t="str">
        <f>IF(A115&gt;$C$38,"",IF(A115&lt;=$C$5,"Básico",IF($C$6&gt;0,"Sucesivo","Opción de compra")))</f>
        <v/>
      </c>
      <c r="C115" s="53" t="str">
        <f>IF(B115="","",IF(B115="Opción de compra",$C$5,A115-$C$7))</f>
        <v/>
      </c>
      <c r="D115" s="130" t="str">
        <f>IF(B115="","",EDATE($C$33,C115))</f>
        <v/>
      </c>
      <c r="E115" s="117" t="str">
        <f>IF(B115="","",I114)</f>
        <v/>
      </c>
      <c r="F115" s="117" t="str">
        <f>IF(B115="","",IF(B115="Básico",$C$24,IF(B115="Sucesivo",$C$25,$C$26)))</f>
        <v/>
      </c>
      <c r="G115" s="117" t="str">
        <f>IF(B115="","",IF(B115="Opción de compra",0,(E115-$C$7*F115)*IF(B115="Sucesivo",$C$11,$C$9)))</f>
        <v/>
      </c>
      <c r="H115" s="117" t="str">
        <f>IF(B115="","",F115-G115)</f>
        <v/>
      </c>
      <c r="I115" s="117" t="str">
        <f>IF(B115="","",E115-H115)</f>
        <v/>
      </c>
      <c r="J115" s="117" t="str">
        <f>IF(B115="","",IF(OR(inp_Tipo="Arrendamiento Puro",par_BaseIVAFin="Sobre renta",B115="Opción de compra"),F115,G115)*$C$14)</f>
        <v/>
      </c>
      <c r="K115" s="117" t="str">
        <f>IF(B115="","",F115+J115)</f>
        <v/>
      </c>
      <c r="L115" s="117" t="str">
        <f>IF(B115="","",F115-IF(A115=$C$38,$C$30,0))</f>
        <v/>
      </c>
      <c r="M115" s="131" t="str">
        <f>IF(B115="","",$C$37*(1+$C$13)^(-C115))</f>
        <v/>
      </c>
      <c r="N115" s="117" t="str">
        <f>IF(B115="","",L115*M115)</f>
        <v/>
      </c>
      <c r="O115" s="117" t="str">
        <f>IF(B115="","",IF(B115="Básico",F115,0)-IF(A115=$C$38,$C$30,0))</f>
        <v/>
      </c>
      <c r="P115" s="130">
        <f>IF(B115="",$C$31,D115)</f>
        <v>46301.0</v>
      </c>
      <c r="Q115" s="117">
        <f>IF(B115="",0,L115)</f>
        <v>0</v>
      </c>
      <c r="R115" s="117">
        <f>IF(B115="",0,-F115)</f>
        <v>0</v>
      </c>
      <c r="S115" s="117" t="str">
        <f>IF(B115="","",O115*M115)</f>
        <v/>
      </c>
    </row>
    <row r="116">
      <c r="A116" s="53" t="n">
        <v>57</v>
      </c>
      <c r="B116" s="53" t="str">
        <f>IF(A116&gt;$C$38,"",IF(A116&lt;=$C$5,"Básico",IF($C$6&gt;0,"Sucesivo","Opción de compra")))</f>
        <v/>
      </c>
      <c r="C116" s="53" t="str">
        <f>IF(B116="","",IF(B116="Opción de compra",$C$5,A116-$C$7))</f>
        <v/>
      </c>
      <c r="D116" s="130" t="str">
        <f>IF(B116="","",EDATE($C$33,C116))</f>
        <v/>
      </c>
      <c r="E116" s="117" t="str">
        <f>IF(B116="","",I115)</f>
        <v/>
      </c>
      <c r="F116" s="117" t="str">
        <f>IF(B116="","",IF(B116="Básico",$C$24,IF(B116="Sucesivo",$C$25,$C$26)))</f>
        <v/>
      </c>
      <c r="G116" s="117" t="str">
        <f>IF(B116="","",IF(B116="Opción de compra",0,(E116-$C$7*F116)*IF(B116="Sucesivo",$C$11,$C$9)))</f>
        <v/>
      </c>
      <c r="H116" s="117" t="str">
        <f>IF(B116="","",F116-G116)</f>
        <v/>
      </c>
      <c r="I116" s="117" t="str">
        <f>IF(B116="","",E116-H116)</f>
        <v/>
      </c>
      <c r="J116" s="117" t="str">
        <f>IF(B116="","",IF(OR(inp_Tipo="Arrendamiento Puro",par_BaseIVAFin="Sobre renta",B116="Opción de compra"),F116,G116)*$C$14)</f>
        <v/>
      </c>
      <c r="K116" s="117" t="str">
        <f>IF(B116="","",F116+J116)</f>
        <v/>
      </c>
      <c r="L116" s="117" t="str">
        <f>IF(B116="","",F116-IF(A116=$C$38,$C$30,0))</f>
        <v/>
      </c>
      <c r="M116" s="131" t="str">
        <f>IF(B116="","",$C$37*(1+$C$13)^(-C116))</f>
        <v/>
      </c>
      <c r="N116" s="117" t="str">
        <f>IF(B116="","",L116*M116)</f>
        <v/>
      </c>
      <c r="O116" s="117" t="str">
        <f>IF(B116="","",IF(B116="Básico",F116,0)-IF(A116=$C$38,$C$30,0))</f>
        <v/>
      </c>
      <c r="P116" s="130">
        <f>IF(B116="",$C$31,D116)</f>
        <v>46301.0</v>
      </c>
      <c r="Q116" s="117">
        <f>IF(B116="",0,L116)</f>
        <v>0</v>
      </c>
      <c r="R116" s="117">
        <f>IF(B116="",0,-F116)</f>
        <v>0</v>
      </c>
      <c r="S116" s="117" t="str">
        <f>IF(B116="","",O116*M116)</f>
        <v/>
      </c>
    </row>
    <row r="117">
      <c r="A117" s="53" t="n">
        <v>58</v>
      </c>
      <c r="B117" s="53" t="str">
        <f>IF(A117&gt;$C$38,"",IF(A117&lt;=$C$5,"Básico",IF($C$6&gt;0,"Sucesivo","Opción de compra")))</f>
        <v/>
      </c>
      <c r="C117" s="53" t="str">
        <f>IF(B117="","",IF(B117="Opción de compra",$C$5,A117-$C$7))</f>
        <v/>
      </c>
      <c r="D117" s="130" t="str">
        <f>IF(B117="","",EDATE($C$33,C117))</f>
        <v/>
      </c>
      <c r="E117" s="117" t="str">
        <f>IF(B117="","",I116)</f>
        <v/>
      </c>
      <c r="F117" s="117" t="str">
        <f>IF(B117="","",IF(B117="Básico",$C$24,IF(B117="Sucesivo",$C$25,$C$26)))</f>
        <v/>
      </c>
      <c r="G117" s="117" t="str">
        <f>IF(B117="","",IF(B117="Opción de compra",0,(E117-$C$7*F117)*IF(B117="Sucesivo",$C$11,$C$9)))</f>
        <v/>
      </c>
      <c r="H117" s="117" t="str">
        <f>IF(B117="","",F117-G117)</f>
        <v/>
      </c>
      <c r="I117" s="117" t="str">
        <f>IF(B117="","",E117-H117)</f>
        <v/>
      </c>
      <c r="J117" s="117" t="str">
        <f>IF(B117="","",IF(OR(inp_Tipo="Arrendamiento Puro",par_BaseIVAFin="Sobre renta",B117="Opción de compra"),F117,G117)*$C$14)</f>
        <v/>
      </c>
      <c r="K117" s="117" t="str">
        <f>IF(B117="","",F117+J117)</f>
        <v/>
      </c>
      <c r="L117" s="117" t="str">
        <f>IF(B117="","",F117-IF(A117=$C$38,$C$30,0))</f>
        <v/>
      </c>
      <c r="M117" s="131" t="str">
        <f>IF(B117="","",$C$37*(1+$C$13)^(-C117))</f>
        <v/>
      </c>
      <c r="N117" s="117" t="str">
        <f>IF(B117="","",L117*M117)</f>
        <v/>
      </c>
      <c r="O117" s="117" t="str">
        <f>IF(B117="","",IF(B117="Básico",F117,0)-IF(A117=$C$38,$C$30,0))</f>
        <v/>
      </c>
      <c r="P117" s="130">
        <f>IF(B117="",$C$31,D117)</f>
        <v>46301.0</v>
      </c>
      <c r="Q117" s="117">
        <f>IF(B117="",0,L117)</f>
        <v>0</v>
      </c>
      <c r="R117" s="117">
        <f>IF(B117="",0,-F117)</f>
        <v>0</v>
      </c>
      <c r="S117" s="117" t="str">
        <f>IF(B117="","",O117*M117)</f>
        <v/>
      </c>
    </row>
    <row r="118">
      <c r="A118" s="53" t="n">
        <v>59</v>
      </c>
      <c r="B118" s="53" t="str">
        <f>IF(A118&gt;$C$38,"",IF(A118&lt;=$C$5,"Básico",IF($C$6&gt;0,"Sucesivo","Opción de compra")))</f>
        <v/>
      </c>
      <c r="C118" s="53" t="str">
        <f>IF(B118="","",IF(B118="Opción de compra",$C$5,A118-$C$7))</f>
        <v/>
      </c>
      <c r="D118" s="130" t="str">
        <f>IF(B118="","",EDATE($C$33,C118))</f>
        <v/>
      </c>
      <c r="E118" s="117" t="str">
        <f>IF(B118="","",I117)</f>
        <v/>
      </c>
      <c r="F118" s="117" t="str">
        <f>IF(B118="","",IF(B118="Básico",$C$24,IF(B118="Sucesivo",$C$25,$C$26)))</f>
        <v/>
      </c>
      <c r="G118" s="117" t="str">
        <f>IF(B118="","",IF(B118="Opción de compra",0,(E118-$C$7*F118)*IF(B118="Sucesivo",$C$11,$C$9)))</f>
        <v/>
      </c>
      <c r="H118" s="117" t="str">
        <f>IF(B118="","",F118-G118)</f>
        <v/>
      </c>
      <c r="I118" s="117" t="str">
        <f>IF(B118="","",E118-H118)</f>
        <v/>
      </c>
      <c r="J118" s="117" t="str">
        <f>IF(B118="","",IF(OR(inp_Tipo="Arrendamiento Puro",par_BaseIVAFin="Sobre renta",B118="Opción de compra"),F118,G118)*$C$14)</f>
        <v/>
      </c>
      <c r="K118" s="117" t="str">
        <f>IF(B118="","",F118+J118)</f>
        <v/>
      </c>
      <c r="L118" s="117" t="str">
        <f>IF(B118="","",F118-IF(A118=$C$38,$C$30,0))</f>
        <v/>
      </c>
      <c r="M118" s="131" t="str">
        <f>IF(B118="","",$C$37*(1+$C$13)^(-C118))</f>
        <v/>
      </c>
      <c r="N118" s="117" t="str">
        <f>IF(B118="","",L118*M118)</f>
        <v/>
      </c>
      <c r="O118" s="117" t="str">
        <f>IF(B118="","",IF(B118="Básico",F118,0)-IF(A118=$C$38,$C$30,0))</f>
        <v/>
      </c>
      <c r="P118" s="130">
        <f>IF(B118="",$C$31,D118)</f>
        <v>46301.0</v>
      </c>
      <c r="Q118" s="117">
        <f>IF(B118="",0,L118)</f>
        <v>0</v>
      </c>
      <c r="R118" s="117">
        <f>IF(B118="",0,-F118)</f>
        <v>0</v>
      </c>
      <c r="S118" s="117" t="str">
        <f>IF(B118="","",O118*M118)</f>
        <v/>
      </c>
    </row>
    <row r="119">
      <c r="A119" s="53" t="n">
        <v>60</v>
      </c>
      <c r="B119" s="53" t="str">
        <f>IF(A119&gt;$C$38,"",IF(A119&lt;=$C$5,"Básico",IF($C$6&gt;0,"Sucesivo","Opción de compra")))</f>
        <v/>
      </c>
      <c r="C119" s="53" t="str">
        <f>IF(B119="","",IF(B119="Opción de compra",$C$5,A119-$C$7))</f>
        <v/>
      </c>
      <c r="D119" s="130" t="str">
        <f>IF(B119="","",EDATE($C$33,C119))</f>
        <v/>
      </c>
      <c r="E119" s="117" t="str">
        <f>IF(B119="","",I118)</f>
        <v/>
      </c>
      <c r="F119" s="117" t="str">
        <f>IF(B119="","",IF(B119="Básico",$C$24,IF(B119="Sucesivo",$C$25,$C$26)))</f>
        <v/>
      </c>
      <c r="G119" s="117" t="str">
        <f>IF(B119="","",IF(B119="Opción de compra",0,(E119-$C$7*F119)*IF(B119="Sucesivo",$C$11,$C$9)))</f>
        <v/>
      </c>
      <c r="H119" s="117" t="str">
        <f>IF(B119="","",F119-G119)</f>
        <v/>
      </c>
      <c r="I119" s="117" t="str">
        <f>IF(B119="","",E119-H119)</f>
        <v/>
      </c>
      <c r="J119" s="117" t="str">
        <f>IF(B119="","",IF(OR(inp_Tipo="Arrendamiento Puro",par_BaseIVAFin="Sobre renta",B119="Opción de compra"),F119,G119)*$C$14)</f>
        <v/>
      </c>
      <c r="K119" s="117" t="str">
        <f>IF(B119="","",F119+J119)</f>
        <v/>
      </c>
      <c r="L119" s="117" t="str">
        <f>IF(B119="","",F119-IF(A119=$C$38,$C$30,0))</f>
        <v/>
      </c>
      <c r="M119" s="131" t="str">
        <f>IF(B119="","",$C$37*(1+$C$13)^(-C119))</f>
        <v/>
      </c>
      <c r="N119" s="117" t="str">
        <f>IF(B119="","",L119*M119)</f>
        <v/>
      </c>
      <c r="O119" s="117" t="str">
        <f>IF(B119="","",IF(B119="Básico",F119,0)-IF(A119=$C$38,$C$30,0))</f>
        <v/>
      </c>
      <c r="P119" s="130">
        <f>IF(B119="",$C$31,D119)</f>
        <v>46301.0</v>
      </c>
      <c r="Q119" s="117">
        <f>IF(B119="",0,L119)</f>
        <v>0</v>
      </c>
      <c r="R119" s="117">
        <f>IF(B119="",0,-F119)</f>
        <v>0</v>
      </c>
      <c r="S119" s="117" t="str">
        <f>IF(B119="","",O119*M119)</f>
        <v/>
      </c>
    </row>
    <row r="120">
      <c r="A120" s="53" t="n">
        <v>61</v>
      </c>
      <c r="B120" s="53" t="str">
        <f>IF(A120&gt;$C$38,"",IF(A120&lt;=$C$5,"Básico",IF($C$6&gt;0,"Sucesivo","Opción de compra")))</f>
        <v/>
      </c>
      <c r="C120" s="53" t="str">
        <f>IF(B120="","",IF(B120="Opción de compra",$C$5,A120-$C$7))</f>
        <v/>
      </c>
      <c r="D120" s="130" t="str">
        <f>IF(B120="","",EDATE($C$33,C120))</f>
        <v/>
      </c>
      <c r="E120" s="117" t="str">
        <f>IF(B120="","",I119)</f>
        <v/>
      </c>
      <c r="F120" s="117" t="str">
        <f>IF(B120="","",IF(B120="Básico",$C$24,IF(B120="Sucesivo",$C$25,$C$26)))</f>
        <v/>
      </c>
      <c r="G120" s="117" t="str">
        <f>IF(B120="","",IF(B120="Opción de compra",0,(E120-$C$7*F120)*IF(B120="Sucesivo",$C$11,$C$9)))</f>
        <v/>
      </c>
      <c r="H120" s="117" t="str">
        <f>IF(B120="","",F120-G120)</f>
        <v/>
      </c>
      <c r="I120" s="117" t="str">
        <f>IF(B120="","",E120-H120)</f>
        <v/>
      </c>
      <c r="J120" s="117" t="str">
        <f>IF(B120="","",IF(OR(inp_Tipo="Arrendamiento Puro",par_BaseIVAFin="Sobre renta",B120="Opción de compra"),F120,G120)*$C$14)</f>
        <v/>
      </c>
      <c r="K120" s="117" t="str">
        <f>IF(B120="","",F120+J120)</f>
        <v/>
      </c>
      <c r="L120" s="117" t="str">
        <f>IF(B120="","",F120-IF(A120=$C$38,$C$30,0))</f>
        <v/>
      </c>
      <c r="M120" s="131" t="str">
        <f>IF(B120="","",$C$37*(1+$C$13)^(-C120))</f>
        <v/>
      </c>
      <c r="N120" s="117" t="str">
        <f>IF(B120="","",L120*M120)</f>
        <v/>
      </c>
      <c r="O120" s="117" t="str">
        <f>IF(B120="","",IF(B120="Básico",F120,0)-IF(A120=$C$38,$C$30,0))</f>
        <v/>
      </c>
      <c r="P120" s="130">
        <f>IF(B120="",$C$31,D120)</f>
        <v>46301.0</v>
      </c>
      <c r="Q120" s="117">
        <f>IF(B120="",0,L120)</f>
        <v>0</v>
      </c>
      <c r="R120" s="117">
        <f>IF(B120="",0,-F120)</f>
        <v>0</v>
      </c>
      <c r="S120" s="117" t="str">
        <f>IF(B120="","",O120*M120)</f>
        <v/>
      </c>
    </row>
    <row r="121">
      <c r="A121" s="53" t="n">
        <v>62</v>
      </c>
      <c r="B121" s="53" t="str">
        <f>IF(A121&gt;$C$38,"",IF(A121&lt;=$C$5,"Básico",IF($C$6&gt;0,"Sucesivo","Opción de compra")))</f>
        <v/>
      </c>
      <c r="C121" s="53" t="str">
        <f>IF(B121="","",IF(B121="Opción de compra",$C$5,A121-$C$7))</f>
        <v/>
      </c>
      <c r="D121" s="130" t="str">
        <f>IF(B121="","",EDATE($C$33,C121))</f>
        <v/>
      </c>
      <c r="E121" s="117" t="str">
        <f>IF(B121="","",I120)</f>
        <v/>
      </c>
      <c r="F121" s="117" t="str">
        <f>IF(B121="","",IF(B121="Básico",$C$24,IF(B121="Sucesivo",$C$25,$C$26)))</f>
        <v/>
      </c>
      <c r="G121" s="117" t="str">
        <f>IF(B121="","",IF(B121="Opción de compra",0,(E121-$C$7*F121)*IF(B121="Sucesivo",$C$11,$C$9)))</f>
        <v/>
      </c>
      <c r="H121" s="117" t="str">
        <f>IF(B121="","",F121-G121)</f>
        <v/>
      </c>
      <c r="I121" s="117" t="str">
        <f>IF(B121="","",E121-H121)</f>
        <v/>
      </c>
      <c r="J121" s="117" t="str">
        <f>IF(B121="","",IF(OR(inp_Tipo="Arrendamiento Puro",par_BaseIVAFin="Sobre renta",B121="Opción de compra"),F121,G121)*$C$14)</f>
        <v/>
      </c>
      <c r="K121" s="117" t="str">
        <f>IF(B121="","",F121+J121)</f>
        <v/>
      </c>
      <c r="L121" s="117" t="str">
        <f>IF(B121="","",F121-IF(A121=$C$38,$C$30,0))</f>
        <v/>
      </c>
      <c r="M121" s="131" t="str">
        <f>IF(B121="","",$C$37*(1+$C$13)^(-C121))</f>
        <v/>
      </c>
      <c r="N121" s="117" t="str">
        <f>IF(B121="","",L121*M121)</f>
        <v/>
      </c>
      <c r="O121" s="117" t="str">
        <f>IF(B121="","",IF(B121="Básico",F121,0)-IF(A121=$C$38,$C$30,0))</f>
        <v/>
      </c>
      <c r="P121" s="130">
        <f>IF(B121="",$C$31,D121)</f>
        <v>46301.0</v>
      </c>
      <c r="Q121" s="117">
        <f>IF(B121="",0,L121)</f>
        <v>0</v>
      </c>
      <c r="R121" s="117">
        <f>IF(B121="",0,-F121)</f>
        <v>0</v>
      </c>
      <c r="S121" s="117" t="str">
        <f>IF(B121="","",O121*M121)</f>
        <v/>
      </c>
    </row>
    <row r="122">
      <c r="A122" s="53" t="n">
        <v>63</v>
      </c>
      <c r="B122" s="53" t="str">
        <f>IF(A122&gt;$C$38,"",IF(A122&lt;=$C$5,"Básico",IF($C$6&gt;0,"Sucesivo","Opción de compra")))</f>
        <v/>
      </c>
      <c r="C122" s="53" t="str">
        <f>IF(B122="","",IF(B122="Opción de compra",$C$5,A122-$C$7))</f>
        <v/>
      </c>
      <c r="D122" s="130" t="str">
        <f>IF(B122="","",EDATE($C$33,C122))</f>
        <v/>
      </c>
      <c r="E122" s="117" t="str">
        <f>IF(B122="","",I121)</f>
        <v/>
      </c>
      <c r="F122" s="117" t="str">
        <f>IF(B122="","",IF(B122="Básico",$C$24,IF(B122="Sucesivo",$C$25,$C$26)))</f>
        <v/>
      </c>
      <c r="G122" s="117" t="str">
        <f>IF(B122="","",IF(B122="Opción de compra",0,(E122-$C$7*F122)*IF(B122="Sucesivo",$C$11,$C$9)))</f>
        <v/>
      </c>
      <c r="H122" s="117" t="str">
        <f>IF(B122="","",F122-G122)</f>
        <v/>
      </c>
      <c r="I122" s="117" t="str">
        <f>IF(B122="","",E122-H122)</f>
        <v/>
      </c>
      <c r="J122" s="117" t="str">
        <f>IF(B122="","",IF(OR(inp_Tipo="Arrendamiento Puro",par_BaseIVAFin="Sobre renta",B122="Opción de compra"),F122,G122)*$C$14)</f>
        <v/>
      </c>
      <c r="K122" s="117" t="str">
        <f>IF(B122="","",F122+J122)</f>
        <v/>
      </c>
      <c r="L122" s="117" t="str">
        <f>IF(B122="","",F122-IF(A122=$C$38,$C$30,0))</f>
        <v/>
      </c>
      <c r="M122" s="131" t="str">
        <f>IF(B122="","",$C$37*(1+$C$13)^(-C122))</f>
        <v/>
      </c>
      <c r="N122" s="117" t="str">
        <f>IF(B122="","",L122*M122)</f>
        <v/>
      </c>
      <c r="O122" s="117" t="str">
        <f>IF(B122="","",IF(B122="Básico",F122,0)-IF(A122=$C$38,$C$30,0))</f>
        <v/>
      </c>
      <c r="P122" s="130">
        <f>IF(B122="",$C$31,D122)</f>
        <v>46301.0</v>
      </c>
      <c r="Q122" s="117">
        <f>IF(B122="",0,L122)</f>
        <v>0</v>
      </c>
      <c r="R122" s="117">
        <f>IF(B122="",0,-F122)</f>
        <v>0</v>
      </c>
      <c r="S122" s="117" t="str">
        <f>IF(B122="","",O122*M122)</f>
        <v/>
      </c>
    </row>
    <row r="123">
      <c r="A123" s="53" t="n">
        <v>64</v>
      </c>
      <c r="B123" s="53" t="str">
        <f>IF(A123&gt;$C$38,"",IF(A123&lt;=$C$5,"Básico",IF($C$6&gt;0,"Sucesivo","Opción de compra")))</f>
        <v/>
      </c>
      <c r="C123" s="53" t="str">
        <f>IF(B123="","",IF(B123="Opción de compra",$C$5,A123-$C$7))</f>
        <v/>
      </c>
      <c r="D123" s="130" t="str">
        <f>IF(B123="","",EDATE($C$33,C123))</f>
        <v/>
      </c>
      <c r="E123" s="117" t="str">
        <f>IF(B123="","",I122)</f>
        <v/>
      </c>
      <c r="F123" s="117" t="str">
        <f>IF(B123="","",IF(B123="Básico",$C$24,IF(B123="Sucesivo",$C$25,$C$26)))</f>
        <v/>
      </c>
      <c r="G123" s="117" t="str">
        <f>IF(B123="","",IF(B123="Opción de compra",0,(E123-$C$7*F123)*IF(B123="Sucesivo",$C$11,$C$9)))</f>
        <v/>
      </c>
      <c r="H123" s="117" t="str">
        <f>IF(B123="","",F123-G123)</f>
        <v/>
      </c>
      <c r="I123" s="117" t="str">
        <f>IF(B123="","",E123-H123)</f>
        <v/>
      </c>
      <c r="J123" s="117" t="str">
        <f>IF(B123="","",IF(OR(inp_Tipo="Arrendamiento Puro",par_BaseIVAFin="Sobre renta",B123="Opción de compra"),F123,G123)*$C$14)</f>
        <v/>
      </c>
      <c r="K123" s="117" t="str">
        <f>IF(B123="","",F123+J123)</f>
        <v/>
      </c>
      <c r="L123" s="117" t="str">
        <f>IF(B123="","",F123-IF(A123=$C$38,$C$30,0))</f>
        <v/>
      </c>
      <c r="M123" s="131" t="str">
        <f>IF(B123="","",$C$37*(1+$C$13)^(-C123))</f>
        <v/>
      </c>
      <c r="N123" s="117" t="str">
        <f>IF(B123="","",L123*M123)</f>
        <v/>
      </c>
      <c r="O123" s="117" t="str">
        <f>IF(B123="","",IF(B123="Básico",F123,0)-IF(A123=$C$38,$C$30,0))</f>
        <v/>
      </c>
      <c r="P123" s="130">
        <f>IF(B123="",$C$31,D123)</f>
        <v>46301.0</v>
      </c>
      <c r="Q123" s="117">
        <f>IF(B123="",0,L123)</f>
        <v>0</v>
      </c>
      <c r="R123" s="117">
        <f>IF(B123="",0,-F123)</f>
        <v>0</v>
      </c>
      <c r="S123" s="117" t="str">
        <f>IF(B123="","",O123*M123)</f>
        <v/>
      </c>
    </row>
    <row r="124">
      <c r="A124" s="53" t="n">
        <v>65</v>
      </c>
      <c r="B124" s="53" t="str">
        <f>IF(A124&gt;$C$38,"",IF(A124&lt;=$C$5,"Básico",IF($C$6&gt;0,"Sucesivo","Opción de compra")))</f>
        <v/>
      </c>
      <c r="C124" s="53" t="str">
        <f>IF(B124="","",IF(B124="Opción de compra",$C$5,A124-$C$7))</f>
        <v/>
      </c>
      <c r="D124" s="130" t="str">
        <f>IF(B124="","",EDATE($C$33,C124))</f>
        <v/>
      </c>
      <c r="E124" s="117" t="str">
        <f>IF(B124="","",I123)</f>
        <v/>
      </c>
      <c r="F124" s="117" t="str">
        <f>IF(B124="","",IF(B124="Básico",$C$24,IF(B124="Sucesivo",$C$25,$C$26)))</f>
        <v/>
      </c>
      <c r="G124" s="117" t="str">
        <f>IF(B124="","",IF(B124="Opción de compra",0,(E124-$C$7*F124)*IF(B124="Sucesivo",$C$11,$C$9)))</f>
        <v/>
      </c>
      <c r="H124" s="117" t="str">
        <f>IF(B124="","",F124-G124)</f>
        <v/>
      </c>
      <c r="I124" s="117" t="str">
        <f>IF(B124="","",E124-H124)</f>
        <v/>
      </c>
      <c r="J124" s="117" t="str">
        <f>IF(B124="","",IF(OR(inp_Tipo="Arrendamiento Puro",par_BaseIVAFin="Sobre renta",B124="Opción de compra"),F124,G124)*$C$14)</f>
        <v/>
      </c>
      <c r="K124" s="117" t="str">
        <f>IF(B124="","",F124+J124)</f>
        <v/>
      </c>
      <c r="L124" s="117" t="str">
        <f>IF(B124="","",F124-IF(A124=$C$38,$C$30,0))</f>
        <v/>
      </c>
      <c r="M124" s="131" t="str">
        <f>IF(B124="","",$C$37*(1+$C$13)^(-C124))</f>
        <v/>
      </c>
      <c r="N124" s="117" t="str">
        <f>IF(B124="","",L124*M124)</f>
        <v/>
      </c>
      <c r="O124" s="117" t="str">
        <f>IF(B124="","",IF(B124="Básico",F124,0)-IF(A124=$C$38,$C$30,0))</f>
        <v/>
      </c>
      <c r="P124" s="130">
        <f>IF(B124="",$C$31,D124)</f>
        <v>46301.0</v>
      </c>
      <c r="Q124" s="117">
        <f>IF(B124="",0,L124)</f>
        <v>0</v>
      </c>
      <c r="R124" s="117">
        <f>IF(B124="",0,-F124)</f>
        <v>0</v>
      </c>
      <c r="S124" s="117" t="str">
        <f>IF(B124="","",O124*M124)</f>
        <v/>
      </c>
    </row>
    <row r="125">
      <c r="A125" s="53" t="n">
        <v>66</v>
      </c>
      <c r="B125" s="53" t="str">
        <f>IF(A125&gt;$C$38,"",IF(A125&lt;=$C$5,"Básico",IF($C$6&gt;0,"Sucesivo","Opción de compra")))</f>
        <v/>
      </c>
      <c r="C125" s="53" t="str">
        <f>IF(B125="","",IF(B125="Opción de compra",$C$5,A125-$C$7))</f>
        <v/>
      </c>
      <c r="D125" s="130" t="str">
        <f>IF(B125="","",EDATE($C$33,C125))</f>
        <v/>
      </c>
      <c r="E125" s="117" t="str">
        <f>IF(B125="","",I124)</f>
        <v/>
      </c>
      <c r="F125" s="117" t="str">
        <f>IF(B125="","",IF(B125="Básico",$C$24,IF(B125="Sucesivo",$C$25,$C$26)))</f>
        <v/>
      </c>
      <c r="G125" s="117" t="str">
        <f>IF(B125="","",IF(B125="Opción de compra",0,(E125-$C$7*F125)*IF(B125="Sucesivo",$C$11,$C$9)))</f>
        <v/>
      </c>
      <c r="H125" s="117" t="str">
        <f>IF(B125="","",F125-G125)</f>
        <v/>
      </c>
      <c r="I125" s="117" t="str">
        <f>IF(B125="","",E125-H125)</f>
        <v/>
      </c>
      <c r="J125" s="117" t="str">
        <f>IF(B125="","",IF(OR(inp_Tipo="Arrendamiento Puro",par_BaseIVAFin="Sobre renta",B125="Opción de compra"),F125,G125)*$C$14)</f>
        <v/>
      </c>
      <c r="K125" s="117" t="str">
        <f>IF(B125="","",F125+J125)</f>
        <v/>
      </c>
      <c r="L125" s="117" t="str">
        <f>IF(B125="","",F125-IF(A125=$C$38,$C$30,0))</f>
        <v/>
      </c>
      <c r="M125" s="131" t="str">
        <f>IF(B125="","",$C$37*(1+$C$13)^(-C125))</f>
        <v/>
      </c>
      <c r="N125" s="117" t="str">
        <f>IF(B125="","",L125*M125)</f>
        <v/>
      </c>
      <c r="O125" s="117" t="str">
        <f>IF(B125="","",IF(B125="Básico",F125,0)-IF(A125=$C$38,$C$30,0))</f>
        <v/>
      </c>
      <c r="P125" s="130">
        <f>IF(B125="",$C$31,D125)</f>
        <v>46301.0</v>
      </c>
      <c r="Q125" s="117">
        <f>IF(B125="",0,L125)</f>
        <v>0</v>
      </c>
      <c r="R125" s="117">
        <f>IF(B125="",0,-F125)</f>
        <v>0</v>
      </c>
      <c r="S125" s="117" t="str">
        <f>IF(B125="","",O125*M125)</f>
        <v/>
      </c>
    </row>
    <row r="126">
      <c r="A126" s="53" t="n">
        <v>67</v>
      </c>
      <c r="B126" s="53" t="str">
        <f>IF(A126&gt;$C$38,"",IF(A126&lt;=$C$5,"Básico",IF($C$6&gt;0,"Sucesivo","Opción de compra")))</f>
        <v/>
      </c>
      <c r="C126" s="53" t="str">
        <f>IF(B126="","",IF(B126="Opción de compra",$C$5,A126-$C$7))</f>
        <v/>
      </c>
      <c r="D126" s="130" t="str">
        <f>IF(B126="","",EDATE($C$33,C126))</f>
        <v/>
      </c>
      <c r="E126" s="117" t="str">
        <f>IF(B126="","",I125)</f>
        <v/>
      </c>
      <c r="F126" s="117" t="str">
        <f>IF(B126="","",IF(B126="Básico",$C$24,IF(B126="Sucesivo",$C$25,$C$26)))</f>
        <v/>
      </c>
      <c r="G126" s="117" t="str">
        <f>IF(B126="","",IF(B126="Opción de compra",0,(E126-$C$7*F126)*IF(B126="Sucesivo",$C$11,$C$9)))</f>
        <v/>
      </c>
      <c r="H126" s="117" t="str">
        <f>IF(B126="","",F126-G126)</f>
        <v/>
      </c>
      <c r="I126" s="117" t="str">
        <f>IF(B126="","",E126-H126)</f>
        <v/>
      </c>
      <c r="J126" s="117" t="str">
        <f>IF(B126="","",IF(OR(inp_Tipo="Arrendamiento Puro",par_BaseIVAFin="Sobre renta",B126="Opción de compra"),F126,G126)*$C$14)</f>
        <v/>
      </c>
      <c r="K126" s="117" t="str">
        <f>IF(B126="","",F126+J126)</f>
        <v/>
      </c>
      <c r="L126" s="117" t="str">
        <f>IF(B126="","",F126-IF(A126=$C$38,$C$30,0))</f>
        <v/>
      </c>
      <c r="M126" s="131" t="str">
        <f>IF(B126="","",$C$37*(1+$C$13)^(-C126))</f>
        <v/>
      </c>
      <c r="N126" s="117" t="str">
        <f>IF(B126="","",L126*M126)</f>
        <v/>
      </c>
      <c r="O126" s="117" t="str">
        <f>IF(B126="","",IF(B126="Básico",F126,0)-IF(A126=$C$38,$C$30,0))</f>
        <v/>
      </c>
      <c r="P126" s="130">
        <f>IF(B126="",$C$31,D126)</f>
        <v>46301.0</v>
      </c>
      <c r="Q126" s="117">
        <f>IF(B126="",0,L126)</f>
        <v>0</v>
      </c>
      <c r="R126" s="117">
        <f>IF(B126="",0,-F126)</f>
        <v>0</v>
      </c>
      <c r="S126" s="117" t="str">
        <f>IF(B126="","",O126*M126)</f>
        <v/>
      </c>
    </row>
    <row r="127">
      <c r="A127" s="53" t="n">
        <v>68</v>
      </c>
      <c r="B127" s="53" t="str">
        <f>IF(A127&gt;$C$38,"",IF(A127&lt;=$C$5,"Básico",IF($C$6&gt;0,"Sucesivo","Opción de compra")))</f>
        <v/>
      </c>
      <c r="C127" s="53" t="str">
        <f>IF(B127="","",IF(B127="Opción de compra",$C$5,A127-$C$7))</f>
        <v/>
      </c>
      <c r="D127" s="130" t="str">
        <f>IF(B127="","",EDATE($C$33,C127))</f>
        <v/>
      </c>
      <c r="E127" s="117" t="str">
        <f>IF(B127="","",I126)</f>
        <v/>
      </c>
      <c r="F127" s="117" t="str">
        <f>IF(B127="","",IF(B127="Básico",$C$24,IF(B127="Sucesivo",$C$25,$C$26)))</f>
        <v/>
      </c>
      <c r="G127" s="117" t="str">
        <f>IF(B127="","",IF(B127="Opción de compra",0,(E127-$C$7*F127)*IF(B127="Sucesivo",$C$11,$C$9)))</f>
        <v/>
      </c>
      <c r="H127" s="117" t="str">
        <f>IF(B127="","",F127-G127)</f>
        <v/>
      </c>
      <c r="I127" s="117" t="str">
        <f>IF(B127="","",E127-H127)</f>
        <v/>
      </c>
      <c r="J127" s="117" t="str">
        <f>IF(B127="","",IF(OR(inp_Tipo="Arrendamiento Puro",par_BaseIVAFin="Sobre renta",B127="Opción de compra"),F127,G127)*$C$14)</f>
        <v/>
      </c>
      <c r="K127" s="117" t="str">
        <f>IF(B127="","",F127+J127)</f>
        <v/>
      </c>
      <c r="L127" s="117" t="str">
        <f>IF(B127="","",F127-IF(A127=$C$38,$C$30,0))</f>
        <v/>
      </c>
      <c r="M127" s="131" t="str">
        <f>IF(B127="","",$C$37*(1+$C$13)^(-C127))</f>
        <v/>
      </c>
      <c r="N127" s="117" t="str">
        <f>IF(B127="","",L127*M127)</f>
        <v/>
      </c>
      <c r="O127" s="117" t="str">
        <f>IF(B127="","",IF(B127="Básico",F127,0)-IF(A127=$C$38,$C$30,0))</f>
        <v/>
      </c>
      <c r="P127" s="130">
        <f>IF(B127="",$C$31,D127)</f>
        <v>46301.0</v>
      </c>
      <c r="Q127" s="117">
        <f>IF(B127="",0,L127)</f>
        <v>0</v>
      </c>
      <c r="R127" s="117">
        <f>IF(B127="",0,-F127)</f>
        <v>0</v>
      </c>
      <c r="S127" s="117" t="str">
        <f>IF(B127="","",O127*M127)</f>
        <v/>
      </c>
    </row>
    <row r="128">
      <c r="A128" s="53" t="n">
        <v>69</v>
      </c>
      <c r="B128" s="53" t="str">
        <f>IF(A128&gt;$C$38,"",IF(A128&lt;=$C$5,"Básico",IF($C$6&gt;0,"Sucesivo","Opción de compra")))</f>
        <v/>
      </c>
      <c r="C128" s="53" t="str">
        <f>IF(B128="","",IF(B128="Opción de compra",$C$5,A128-$C$7))</f>
        <v/>
      </c>
      <c r="D128" s="130" t="str">
        <f>IF(B128="","",EDATE($C$33,C128))</f>
        <v/>
      </c>
      <c r="E128" s="117" t="str">
        <f>IF(B128="","",I127)</f>
        <v/>
      </c>
      <c r="F128" s="117" t="str">
        <f>IF(B128="","",IF(B128="Básico",$C$24,IF(B128="Sucesivo",$C$25,$C$26)))</f>
        <v/>
      </c>
      <c r="G128" s="117" t="str">
        <f>IF(B128="","",IF(B128="Opción de compra",0,(E128-$C$7*F128)*IF(B128="Sucesivo",$C$11,$C$9)))</f>
        <v/>
      </c>
      <c r="H128" s="117" t="str">
        <f>IF(B128="","",F128-G128)</f>
        <v/>
      </c>
      <c r="I128" s="117" t="str">
        <f>IF(B128="","",E128-H128)</f>
        <v/>
      </c>
      <c r="J128" s="117" t="str">
        <f>IF(B128="","",IF(OR(inp_Tipo="Arrendamiento Puro",par_BaseIVAFin="Sobre renta",B128="Opción de compra"),F128,G128)*$C$14)</f>
        <v/>
      </c>
      <c r="K128" s="117" t="str">
        <f>IF(B128="","",F128+J128)</f>
        <v/>
      </c>
      <c r="L128" s="117" t="str">
        <f>IF(B128="","",F128-IF(A128=$C$38,$C$30,0))</f>
        <v/>
      </c>
      <c r="M128" s="131" t="str">
        <f>IF(B128="","",$C$37*(1+$C$13)^(-C128))</f>
        <v/>
      </c>
      <c r="N128" s="117" t="str">
        <f>IF(B128="","",L128*M128)</f>
        <v/>
      </c>
      <c r="O128" s="117" t="str">
        <f>IF(B128="","",IF(B128="Básico",F128,0)-IF(A128=$C$38,$C$30,0))</f>
        <v/>
      </c>
      <c r="P128" s="130">
        <f>IF(B128="",$C$31,D128)</f>
        <v>46301.0</v>
      </c>
      <c r="Q128" s="117">
        <f>IF(B128="",0,L128)</f>
        <v>0</v>
      </c>
      <c r="R128" s="117">
        <f>IF(B128="",0,-F128)</f>
        <v>0</v>
      </c>
      <c r="S128" s="117" t="str">
        <f>IF(B128="","",O128*M128)</f>
        <v/>
      </c>
    </row>
    <row r="129">
      <c r="A129" s="53" t="n">
        <v>70</v>
      </c>
      <c r="B129" s="53" t="str">
        <f>IF(A129&gt;$C$38,"",IF(A129&lt;=$C$5,"Básico",IF($C$6&gt;0,"Sucesivo","Opción de compra")))</f>
        <v/>
      </c>
      <c r="C129" s="53" t="str">
        <f>IF(B129="","",IF(B129="Opción de compra",$C$5,A129-$C$7))</f>
        <v/>
      </c>
      <c r="D129" s="130" t="str">
        <f>IF(B129="","",EDATE($C$33,C129))</f>
        <v/>
      </c>
      <c r="E129" s="117" t="str">
        <f>IF(B129="","",I128)</f>
        <v/>
      </c>
      <c r="F129" s="117" t="str">
        <f>IF(B129="","",IF(B129="Básico",$C$24,IF(B129="Sucesivo",$C$25,$C$26)))</f>
        <v/>
      </c>
      <c r="G129" s="117" t="str">
        <f>IF(B129="","",IF(B129="Opción de compra",0,(E129-$C$7*F129)*IF(B129="Sucesivo",$C$11,$C$9)))</f>
        <v/>
      </c>
      <c r="H129" s="117" t="str">
        <f>IF(B129="","",F129-G129)</f>
        <v/>
      </c>
      <c r="I129" s="117" t="str">
        <f>IF(B129="","",E129-H129)</f>
        <v/>
      </c>
      <c r="J129" s="117" t="str">
        <f>IF(B129="","",IF(OR(inp_Tipo="Arrendamiento Puro",par_BaseIVAFin="Sobre renta",B129="Opción de compra"),F129,G129)*$C$14)</f>
        <v/>
      </c>
      <c r="K129" s="117" t="str">
        <f>IF(B129="","",F129+J129)</f>
        <v/>
      </c>
      <c r="L129" s="117" t="str">
        <f>IF(B129="","",F129-IF(A129=$C$38,$C$30,0))</f>
        <v/>
      </c>
      <c r="M129" s="131" t="str">
        <f>IF(B129="","",$C$37*(1+$C$13)^(-C129))</f>
        <v/>
      </c>
      <c r="N129" s="117" t="str">
        <f>IF(B129="","",L129*M129)</f>
        <v/>
      </c>
      <c r="O129" s="117" t="str">
        <f>IF(B129="","",IF(B129="Básico",F129,0)-IF(A129=$C$38,$C$30,0))</f>
        <v/>
      </c>
      <c r="P129" s="130">
        <f>IF(B129="",$C$31,D129)</f>
        <v>46301.0</v>
      </c>
      <c r="Q129" s="117">
        <f>IF(B129="",0,L129)</f>
        <v>0</v>
      </c>
      <c r="R129" s="117">
        <f>IF(B129="",0,-F129)</f>
        <v>0</v>
      </c>
      <c r="S129" s="117" t="str">
        <f>IF(B129="","",O129*M129)</f>
        <v/>
      </c>
    </row>
    <row r="130">
      <c r="A130" s="53" t="n">
        <v>71</v>
      </c>
      <c r="B130" s="53" t="str">
        <f>IF(A130&gt;$C$38,"",IF(A130&lt;=$C$5,"Básico",IF($C$6&gt;0,"Sucesivo","Opción de compra")))</f>
        <v/>
      </c>
      <c r="C130" s="53" t="str">
        <f>IF(B130="","",IF(B130="Opción de compra",$C$5,A130-$C$7))</f>
        <v/>
      </c>
      <c r="D130" s="130" t="str">
        <f>IF(B130="","",EDATE($C$33,C130))</f>
        <v/>
      </c>
      <c r="E130" s="117" t="str">
        <f>IF(B130="","",I129)</f>
        <v/>
      </c>
      <c r="F130" s="117" t="str">
        <f>IF(B130="","",IF(B130="Básico",$C$24,IF(B130="Sucesivo",$C$25,$C$26)))</f>
        <v/>
      </c>
      <c r="G130" s="117" t="str">
        <f>IF(B130="","",IF(B130="Opción de compra",0,(E130-$C$7*F130)*IF(B130="Sucesivo",$C$11,$C$9)))</f>
        <v/>
      </c>
      <c r="H130" s="117" t="str">
        <f>IF(B130="","",F130-G130)</f>
        <v/>
      </c>
      <c r="I130" s="117" t="str">
        <f>IF(B130="","",E130-H130)</f>
        <v/>
      </c>
      <c r="J130" s="117" t="str">
        <f>IF(B130="","",IF(OR(inp_Tipo="Arrendamiento Puro",par_BaseIVAFin="Sobre renta",B130="Opción de compra"),F130,G130)*$C$14)</f>
        <v/>
      </c>
      <c r="K130" s="117" t="str">
        <f>IF(B130="","",F130+J130)</f>
        <v/>
      </c>
      <c r="L130" s="117" t="str">
        <f>IF(B130="","",F130-IF(A130=$C$38,$C$30,0))</f>
        <v/>
      </c>
      <c r="M130" s="131" t="str">
        <f>IF(B130="","",$C$37*(1+$C$13)^(-C130))</f>
        <v/>
      </c>
      <c r="N130" s="117" t="str">
        <f>IF(B130="","",L130*M130)</f>
        <v/>
      </c>
      <c r="O130" s="117" t="str">
        <f>IF(B130="","",IF(B130="Básico",F130,0)-IF(A130=$C$38,$C$30,0))</f>
        <v/>
      </c>
      <c r="P130" s="130">
        <f>IF(B130="",$C$31,D130)</f>
        <v>46301.0</v>
      </c>
      <c r="Q130" s="117">
        <f>IF(B130="",0,L130)</f>
        <v>0</v>
      </c>
      <c r="R130" s="117">
        <f>IF(B130="",0,-F130)</f>
        <v>0</v>
      </c>
      <c r="S130" s="117" t="str">
        <f>IF(B130="","",O130*M130)</f>
        <v/>
      </c>
    </row>
    <row r="131">
      <c r="A131" s="53" t="n">
        <v>72</v>
      </c>
      <c r="B131" s="53" t="str">
        <f>IF(A131&gt;$C$38,"",IF(A131&lt;=$C$5,"Básico",IF($C$6&gt;0,"Sucesivo","Opción de compra")))</f>
        <v/>
      </c>
      <c r="C131" s="53" t="str">
        <f>IF(B131="","",IF(B131="Opción de compra",$C$5,A131-$C$7))</f>
        <v/>
      </c>
      <c r="D131" s="130" t="str">
        <f>IF(B131="","",EDATE($C$33,C131))</f>
        <v/>
      </c>
      <c r="E131" s="117" t="str">
        <f>IF(B131="","",I130)</f>
        <v/>
      </c>
      <c r="F131" s="117" t="str">
        <f>IF(B131="","",IF(B131="Básico",$C$24,IF(B131="Sucesivo",$C$25,$C$26)))</f>
        <v/>
      </c>
      <c r="G131" s="117" t="str">
        <f>IF(B131="","",IF(B131="Opción de compra",0,(E131-$C$7*F131)*IF(B131="Sucesivo",$C$11,$C$9)))</f>
        <v/>
      </c>
      <c r="H131" s="117" t="str">
        <f>IF(B131="","",F131-G131)</f>
        <v/>
      </c>
      <c r="I131" s="117" t="str">
        <f>IF(B131="","",E131-H131)</f>
        <v/>
      </c>
      <c r="J131" s="117" t="str">
        <f>IF(B131="","",IF(OR(inp_Tipo="Arrendamiento Puro",par_BaseIVAFin="Sobre renta",B131="Opción de compra"),F131,G131)*$C$14)</f>
        <v/>
      </c>
      <c r="K131" s="117" t="str">
        <f>IF(B131="","",F131+J131)</f>
        <v/>
      </c>
      <c r="L131" s="117" t="str">
        <f>IF(B131="","",F131-IF(A131=$C$38,$C$30,0))</f>
        <v/>
      </c>
      <c r="M131" s="131" t="str">
        <f>IF(B131="","",$C$37*(1+$C$13)^(-C131))</f>
        <v/>
      </c>
      <c r="N131" s="117" t="str">
        <f>IF(B131="","",L131*M131)</f>
        <v/>
      </c>
      <c r="O131" s="117" t="str">
        <f>IF(B131="","",IF(B131="Básico",F131,0)-IF(A131=$C$38,$C$30,0))</f>
        <v/>
      </c>
      <c r="P131" s="130">
        <f>IF(B131="",$C$31,D131)</f>
        <v>46301.0</v>
      </c>
      <c r="Q131" s="117">
        <f>IF(B131="",0,L131)</f>
        <v>0</v>
      </c>
      <c r="R131" s="117">
        <f>IF(B131="",0,-F131)</f>
        <v>0</v>
      </c>
      <c r="S131" s="117" t="str">
        <f>IF(B131="","",O131*M131)</f>
        <v/>
      </c>
    </row>
    <row r="132">
      <c r="A132" s="53" t="n">
        <v>73</v>
      </c>
      <c r="B132" s="53" t="str">
        <f>IF(A132&gt;$C$38,"",IF(A132&lt;=$C$5,"Básico",IF($C$6&gt;0,"Sucesivo","Opción de compra")))</f>
        <v/>
      </c>
      <c r="C132" s="53" t="str">
        <f>IF(B132="","",IF(B132="Opción de compra",$C$5,A132-$C$7))</f>
        <v/>
      </c>
      <c r="D132" s="130" t="str">
        <f>IF(B132="","",EDATE($C$33,C132))</f>
        <v/>
      </c>
      <c r="E132" s="117" t="str">
        <f>IF(B132="","",I131)</f>
        <v/>
      </c>
      <c r="F132" s="117" t="str">
        <f>IF(B132="","",IF(B132="Básico",$C$24,IF(B132="Sucesivo",$C$25,$C$26)))</f>
        <v/>
      </c>
      <c r="G132" s="117" t="str">
        <f>IF(B132="","",IF(B132="Opción de compra",0,(E132-$C$7*F132)*IF(B132="Sucesivo",$C$11,$C$9)))</f>
        <v/>
      </c>
      <c r="H132" s="117" t="str">
        <f>IF(B132="","",F132-G132)</f>
        <v/>
      </c>
      <c r="I132" s="117" t="str">
        <f>IF(B132="","",E132-H132)</f>
        <v/>
      </c>
      <c r="J132" s="117" t="str">
        <f>IF(B132="","",IF(OR(inp_Tipo="Arrendamiento Puro",par_BaseIVAFin="Sobre renta",B132="Opción de compra"),F132,G132)*$C$14)</f>
        <v/>
      </c>
      <c r="K132" s="117" t="str">
        <f>IF(B132="","",F132+J132)</f>
        <v/>
      </c>
      <c r="L132" s="117" t="str">
        <f>IF(B132="","",F132-IF(A132=$C$38,$C$30,0))</f>
        <v/>
      </c>
      <c r="M132" s="131" t="str">
        <f>IF(B132="","",$C$37*(1+$C$13)^(-C132))</f>
        <v/>
      </c>
      <c r="N132" s="117" t="str">
        <f>IF(B132="","",L132*M132)</f>
        <v/>
      </c>
      <c r="O132" s="117" t="str">
        <f>IF(B132="","",IF(B132="Básico",F132,0)-IF(A132=$C$38,$C$30,0))</f>
        <v/>
      </c>
      <c r="P132" s="130">
        <f>IF(B132="",$C$31,D132)</f>
        <v>46301.0</v>
      </c>
      <c r="Q132" s="117">
        <f>IF(B132="",0,L132)</f>
        <v>0</v>
      </c>
      <c r="R132" s="117">
        <f>IF(B132="",0,-F132)</f>
        <v>0</v>
      </c>
      <c r="S132" s="117" t="str">
        <f>IF(B132="","",O132*M132)</f>
        <v/>
      </c>
    </row>
    <row r="133">
      <c r="A133" s="53" t="n">
        <v>74</v>
      </c>
      <c r="B133" s="53" t="str">
        <f>IF(A133&gt;$C$38,"",IF(A133&lt;=$C$5,"Básico",IF($C$6&gt;0,"Sucesivo","Opción de compra")))</f>
        <v/>
      </c>
      <c r="C133" s="53" t="str">
        <f>IF(B133="","",IF(B133="Opción de compra",$C$5,A133-$C$7))</f>
        <v/>
      </c>
      <c r="D133" s="130" t="str">
        <f>IF(B133="","",EDATE($C$33,C133))</f>
        <v/>
      </c>
      <c r="E133" s="117" t="str">
        <f>IF(B133="","",I132)</f>
        <v/>
      </c>
      <c r="F133" s="117" t="str">
        <f>IF(B133="","",IF(B133="Básico",$C$24,IF(B133="Sucesivo",$C$25,$C$26)))</f>
        <v/>
      </c>
      <c r="G133" s="117" t="str">
        <f>IF(B133="","",IF(B133="Opción de compra",0,(E133-$C$7*F133)*IF(B133="Sucesivo",$C$11,$C$9)))</f>
        <v/>
      </c>
      <c r="H133" s="117" t="str">
        <f>IF(B133="","",F133-G133)</f>
        <v/>
      </c>
      <c r="I133" s="117" t="str">
        <f>IF(B133="","",E133-H133)</f>
        <v/>
      </c>
      <c r="J133" s="117" t="str">
        <f>IF(B133="","",IF(OR(inp_Tipo="Arrendamiento Puro",par_BaseIVAFin="Sobre renta",B133="Opción de compra"),F133,G133)*$C$14)</f>
        <v/>
      </c>
      <c r="K133" s="117" t="str">
        <f>IF(B133="","",F133+J133)</f>
        <v/>
      </c>
      <c r="L133" s="117" t="str">
        <f>IF(B133="","",F133-IF(A133=$C$38,$C$30,0))</f>
        <v/>
      </c>
      <c r="M133" s="131" t="str">
        <f>IF(B133="","",$C$37*(1+$C$13)^(-C133))</f>
        <v/>
      </c>
      <c r="N133" s="117" t="str">
        <f>IF(B133="","",L133*M133)</f>
        <v/>
      </c>
      <c r="O133" s="117" t="str">
        <f>IF(B133="","",IF(B133="Básico",F133,0)-IF(A133=$C$38,$C$30,0))</f>
        <v/>
      </c>
      <c r="P133" s="130">
        <f>IF(B133="",$C$31,D133)</f>
        <v>46301.0</v>
      </c>
      <c r="Q133" s="117">
        <f>IF(B133="",0,L133)</f>
        <v>0</v>
      </c>
      <c r="R133" s="117">
        <f>IF(B133="",0,-F133)</f>
        <v>0</v>
      </c>
      <c r="S133" s="117" t="str">
        <f>IF(B133="","",O133*M133)</f>
        <v/>
      </c>
    </row>
    <row r="134">
      <c r="A134" s="53" t="n">
        <v>75</v>
      </c>
      <c r="B134" s="53" t="str">
        <f>IF(A134&gt;$C$38,"",IF(A134&lt;=$C$5,"Básico",IF($C$6&gt;0,"Sucesivo","Opción de compra")))</f>
        <v/>
      </c>
      <c r="C134" s="53" t="str">
        <f>IF(B134="","",IF(B134="Opción de compra",$C$5,A134-$C$7))</f>
        <v/>
      </c>
      <c r="D134" s="130" t="str">
        <f>IF(B134="","",EDATE($C$33,C134))</f>
        <v/>
      </c>
      <c r="E134" s="117" t="str">
        <f>IF(B134="","",I133)</f>
        <v/>
      </c>
      <c r="F134" s="117" t="str">
        <f>IF(B134="","",IF(B134="Básico",$C$24,IF(B134="Sucesivo",$C$25,$C$26)))</f>
        <v/>
      </c>
      <c r="G134" s="117" t="str">
        <f>IF(B134="","",IF(B134="Opción de compra",0,(E134-$C$7*F134)*IF(B134="Sucesivo",$C$11,$C$9)))</f>
        <v/>
      </c>
      <c r="H134" s="117" t="str">
        <f>IF(B134="","",F134-G134)</f>
        <v/>
      </c>
      <c r="I134" s="117" t="str">
        <f>IF(B134="","",E134-H134)</f>
        <v/>
      </c>
      <c r="J134" s="117" t="str">
        <f>IF(B134="","",IF(OR(inp_Tipo="Arrendamiento Puro",par_BaseIVAFin="Sobre renta",B134="Opción de compra"),F134,G134)*$C$14)</f>
        <v/>
      </c>
      <c r="K134" s="117" t="str">
        <f>IF(B134="","",F134+J134)</f>
        <v/>
      </c>
      <c r="L134" s="117" t="str">
        <f>IF(B134="","",F134-IF(A134=$C$38,$C$30,0))</f>
        <v/>
      </c>
      <c r="M134" s="131" t="str">
        <f>IF(B134="","",$C$37*(1+$C$13)^(-C134))</f>
        <v/>
      </c>
      <c r="N134" s="117" t="str">
        <f>IF(B134="","",L134*M134)</f>
        <v/>
      </c>
      <c r="O134" s="117" t="str">
        <f>IF(B134="","",IF(B134="Básico",F134,0)-IF(A134=$C$38,$C$30,0))</f>
        <v/>
      </c>
      <c r="P134" s="130">
        <f>IF(B134="",$C$31,D134)</f>
        <v>46301.0</v>
      </c>
      <c r="Q134" s="117">
        <f>IF(B134="",0,L134)</f>
        <v>0</v>
      </c>
      <c r="R134" s="117">
        <f>IF(B134="",0,-F134)</f>
        <v>0</v>
      </c>
      <c r="S134" s="117" t="str">
        <f>IF(B134="","",O134*M134)</f>
        <v/>
      </c>
    </row>
    <row r="135">
      <c r="A135" s="53" t="n">
        <v>76</v>
      </c>
      <c r="B135" s="53" t="str">
        <f>IF(A135&gt;$C$38,"",IF(A135&lt;=$C$5,"Básico",IF($C$6&gt;0,"Sucesivo","Opción de compra")))</f>
        <v/>
      </c>
      <c r="C135" s="53" t="str">
        <f>IF(B135="","",IF(B135="Opción de compra",$C$5,A135-$C$7))</f>
        <v/>
      </c>
      <c r="D135" s="130" t="str">
        <f>IF(B135="","",EDATE($C$33,C135))</f>
        <v/>
      </c>
      <c r="E135" s="117" t="str">
        <f>IF(B135="","",I134)</f>
        <v/>
      </c>
      <c r="F135" s="117" t="str">
        <f>IF(B135="","",IF(B135="Básico",$C$24,IF(B135="Sucesivo",$C$25,$C$26)))</f>
        <v/>
      </c>
      <c r="G135" s="117" t="str">
        <f>IF(B135="","",IF(B135="Opción de compra",0,(E135-$C$7*F135)*IF(B135="Sucesivo",$C$11,$C$9)))</f>
        <v/>
      </c>
      <c r="H135" s="117" t="str">
        <f>IF(B135="","",F135-G135)</f>
        <v/>
      </c>
      <c r="I135" s="117" t="str">
        <f>IF(B135="","",E135-H135)</f>
        <v/>
      </c>
      <c r="J135" s="117" t="str">
        <f>IF(B135="","",IF(OR(inp_Tipo="Arrendamiento Puro",par_BaseIVAFin="Sobre renta",B135="Opción de compra"),F135,G135)*$C$14)</f>
        <v/>
      </c>
      <c r="K135" s="117" t="str">
        <f>IF(B135="","",F135+J135)</f>
        <v/>
      </c>
      <c r="L135" s="117" t="str">
        <f>IF(B135="","",F135-IF(A135=$C$38,$C$30,0))</f>
        <v/>
      </c>
      <c r="M135" s="131" t="str">
        <f>IF(B135="","",$C$37*(1+$C$13)^(-C135))</f>
        <v/>
      </c>
      <c r="N135" s="117" t="str">
        <f>IF(B135="","",L135*M135)</f>
        <v/>
      </c>
      <c r="O135" s="117" t="str">
        <f>IF(B135="","",IF(B135="Básico",F135,0)-IF(A135=$C$38,$C$30,0))</f>
        <v/>
      </c>
      <c r="P135" s="130">
        <f>IF(B135="",$C$31,D135)</f>
        <v>46301.0</v>
      </c>
      <c r="Q135" s="117">
        <f>IF(B135="",0,L135)</f>
        <v>0</v>
      </c>
      <c r="R135" s="117">
        <f>IF(B135="",0,-F135)</f>
        <v>0</v>
      </c>
      <c r="S135" s="117" t="str">
        <f>IF(B135="","",O135*M135)</f>
        <v/>
      </c>
    </row>
    <row r="136">
      <c r="A136" s="53" t="n">
        <v>77</v>
      </c>
      <c r="B136" s="53" t="str">
        <f>IF(A136&gt;$C$38,"",IF(A136&lt;=$C$5,"Básico",IF($C$6&gt;0,"Sucesivo","Opción de compra")))</f>
        <v/>
      </c>
      <c r="C136" s="53" t="str">
        <f>IF(B136="","",IF(B136="Opción de compra",$C$5,A136-$C$7))</f>
        <v/>
      </c>
      <c r="D136" s="130" t="str">
        <f>IF(B136="","",EDATE($C$33,C136))</f>
        <v/>
      </c>
      <c r="E136" s="117" t="str">
        <f>IF(B136="","",I135)</f>
        <v/>
      </c>
      <c r="F136" s="117" t="str">
        <f>IF(B136="","",IF(B136="Básico",$C$24,IF(B136="Sucesivo",$C$25,$C$26)))</f>
        <v/>
      </c>
      <c r="G136" s="117" t="str">
        <f>IF(B136="","",IF(B136="Opción de compra",0,(E136-$C$7*F136)*IF(B136="Sucesivo",$C$11,$C$9)))</f>
        <v/>
      </c>
      <c r="H136" s="117" t="str">
        <f>IF(B136="","",F136-G136)</f>
        <v/>
      </c>
      <c r="I136" s="117" t="str">
        <f>IF(B136="","",E136-H136)</f>
        <v/>
      </c>
      <c r="J136" s="117" t="str">
        <f>IF(B136="","",IF(OR(inp_Tipo="Arrendamiento Puro",par_BaseIVAFin="Sobre renta",B136="Opción de compra"),F136,G136)*$C$14)</f>
        <v/>
      </c>
      <c r="K136" s="117" t="str">
        <f>IF(B136="","",F136+J136)</f>
        <v/>
      </c>
      <c r="L136" s="117" t="str">
        <f>IF(B136="","",F136-IF(A136=$C$38,$C$30,0))</f>
        <v/>
      </c>
      <c r="M136" s="131" t="str">
        <f>IF(B136="","",$C$37*(1+$C$13)^(-C136))</f>
        <v/>
      </c>
      <c r="N136" s="117" t="str">
        <f>IF(B136="","",L136*M136)</f>
        <v/>
      </c>
      <c r="O136" s="117" t="str">
        <f>IF(B136="","",IF(B136="Básico",F136,0)-IF(A136=$C$38,$C$30,0))</f>
        <v/>
      </c>
      <c r="P136" s="130">
        <f>IF(B136="",$C$31,D136)</f>
        <v>46301.0</v>
      </c>
      <c r="Q136" s="117">
        <f>IF(B136="",0,L136)</f>
        <v>0</v>
      </c>
      <c r="R136" s="117">
        <f>IF(B136="",0,-F136)</f>
        <v>0</v>
      </c>
      <c r="S136" s="117" t="str">
        <f>IF(B136="","",O136*M136)</f>
        <v/>
      </c>
    </row>
    <row r="137">
      <c r="A137" s="53" t="n">
        <v>78</v>
      </c>
      <c r="B137" s="53" t="str">
        <f>IF(A137&gt;$C$38,"",IF(A137&lt;=$C$5,"Básico",IF($C$6&gt;0,"Sucesivo","Opción de compra")))</f>
        <v/>
      </c>
      <c r="C137" s="53" t="str">
        <f>IF(B137="","",IF(B137="Opción de compra",$C$5,A137-$C$7))</f>
        <v/>
      </c>
      <c r="D137" s="130" t="str">
        <f>IF(B137="","",EDATE($C$33,C137))</f>
        <v/>
      </c>
      <c r="E137" s="117" t="str">
        <f>IF(B137="","",I136)</f>
        <v/>
      </c>
      <c r="F137" s="117" t="str">
        <f>IF(B137="","",IF(B137="Básico",$C$24,IF(B137="Sucesivo",$C$25,$C$26)))</f>
        <v/>
      </c>
      <c r="G137" s="117" t="str">
        <f>IF(B137="","",IF(B137="Opción de compra",0,(E137-$C$7*F137)*IF(B137="Sucesivo",$C$11,$C$9)))</f>
        <v/>
      </c>
      <c r="H137" s="117" t="str">
        <f>IF(B137="","",F137-G137)</f>
        <v/>
      </c>
      <c r="I137" s="117" t="str">
        <f>IF(B137="","",E137-H137)</f>
        <v/>
      </c>
      <c r="J137" s="117" t="str">
        <f>IF(B137="","",IF(OR(inp_Tipo="Arrendamiento Puro",par_BaseIVAFin="Sobre renta",B137="Opción de compra"),F137,G137)*$C$14)</f>
        <v/>
      </c>
      <c r="K137" s="117" t="str">
        <f>IF(B137="","",F137+J137)</f>
        <v/>
      </c>
      <c r="L137" s="117" t="str">
        <f>IF(B137="","",F137-IF(A137=$C$38,$C$30,0))</f>
        <v/>
      </c>
      <c r="M137" s="131" t="str">
        <f>IF(B137="","",$C$37*(1+$C$13)^(-C137))</f>
        <v/>
      </c>
      <c r="N137" s="117" t="str">
        <f>IF(B137="","",L137*M137)</f>
        <v/>
      </c>
      <c r="O137" s="117" t="str">
        <f>IF(B137="","",IF(B137="Básico",F137,0)-IF(A137=$C$38,$C$30,0))</f>
        <v/>
      </c>
      <c r="P137" s="130">
        <f>IF(B137="",$C$31,D137)</f>
        <v>46301.0</v>
      </c>
      <c r="Q137" s="117">
        <f>IF(B137="",0,L137)</f>
        <v>0</v>
      </c>
      <c r="R137" s="117">
        <f>IF(B137="",0,-F137)</f>
        <v>0</v>
      </c>
      <c r="S137" s="117" t="str">
        <f>IF(B137="","",O137*M137)</f>
        <v/>
      </c>
    </row>
    <row r="138">
      <c r="A138" s="53" t="n">
        <v>79</v>
      </c>
      <c r="B138" s="53" t="str">
        <f>IF(A138&gt;$C$38,"",IF(A138&lt;=$C$5,"Básico",IF($C$6&gt;0,"Sucesivo","Opción de compra")))</f>
        <v/>
      </c>
      <c r="C138" s="53" t="str">
        <f>IF(B138="","",IF(B138="Opción de compra",$C$5,A138-$C$7))</f>
        <v/>
      </c>
      <c r="D138" s="130" t="str">
        <f>IF(B138="","",EDATE($C$33,C138))</f>
        <v/>
      </c>
      <c r="E138" s="117" t="str">
        <f>IF(B138="","",I137)</f>
        <v/>
      </c>
      <c r="F138" s="117" t="str">
        <f>IF(B138="","",IF(B138="Básico",$C$24,IF(B138="Sucesivo",$C$25,$C$26)))</f>
        <v/>
      </c>
      <c r="G138" s="117" t="str">
        <f>IF(B138="","",IF(B138="Opción de compra",0,(E138-$C$7*F138)*IF(B138="Sucesivo",$C$11,$C$9)))</f>
        <v/>
      </c>
      <c r="H138" s="117" t="str">
        <f>IF(B138="","",F138-G138)</f>
        <v/>
      </c>
      <c r="I138" s="117" t="str">
        <f>IF(B138="","",E138-H138)</f>
        <v/>
      </c>
      <c r="J138" s="117" t="str">
        <f>IF(B138="","",IF(OR(inp_Tipo="Arrendamiento Puro",par_BaseIVAFin="Sobre renta",B138="Opción de compra"),F138,G138)*$C$14)</f>
        <v/>
      </c>
      <c r="K138" s="117" t="str">
        <f>IF(B138="","",F138+J138)</f>
        <v/>
      </c>
      <c r="L138" s="117" t="str">
        <f>IF(B138="","",F138-IF(A138=$C$38,$C$30,0))</f>
        <v/>
      </c>
      <c r="M138" s="131" t="str">
        <f>IF(B138="","",$C$37*(1+$C$13)^(-C138))</f>
        <v/>
      </c>
      <c r="N138" s="117" t="str">
        <f>IF(B138="","",L138*M138)</f>
        <v/>
      </c>
      <c r="O138" s="117" t="str">
        <f>IF(B138="","",IF(B138="Básico",F138,0)-IF(A138=$C$38,$C$30,0))</f>
        <v/>
      </c>
      <c r="P138" s="130">
        <f>IF(B138="",$C$31,D138)</f>
        <v>46301.0</v>
      </c>
      <c r="Q138" s="117">
        <f>IF(B138="",0,L138)</f>
        <v>0</v>
      </c>
      <c r="R138" s="117">
        <f>IF(B138="",0,-F138)</f>
        <v>0</v>
      </c>
      <c r="S138" s="117" t="str">
        <f>IF(B138="","",O138*M138)</f>
        <v/>
      </c>
    </row>
    <row r="139">
      <c r="A139" s="53" t="n">
        <v>80</v>
      </c>
      <c r="B139" s="53" t="str">
        <f>IF(A139&gt;$C$38,"",IF(A139&lt;=$C$5,"Básico",IF($C$6&gt;0,"Sucesivo","Opción de compra")))</f>
        <v/>
      </c>
      <c r="C139" s="53" t="str">
        <f>IF(B139="","",IF(B139="Opción de compra",$C$5,A139-$C$7))</f>
        <v/>
      </c>
      <c r="D139" s="130" t="str">
        <f>IF(B139="","",EDATE($C$33,C139))</f>
        <v/>
      </c>
      <c r="E139" s="117" t="str">
        <f>IF(B139="","",I138)</f>
        <v/>
      </c>
      <c r="F139" s="117" t="str">
        <f>IF(B139="","",IF(B139="Básico",$C$24,IF(B139="Sucesivo",$C$25,$C$26)))</f>
        <v/>
      </c>
      <c r="G139" s="117" t="str">
        <f>IF(B139="","",IF(B139="Opción de compra",0,(E139-$C$7*F139)*IF(B139="Sucesivo",$C$11,$C$9)))</f>
        <v/>
      </c>
      <c r="H139" s="117" t="str">
        <f>IF(B139="","",F139-G139)</f>
        <v/>
      </c>
      <c r="I139" s="117" t="str">
        <f>IF(B139="","",E139-H139)</f>
        <v/>
      </c>
      <c r="J139" s="117" t="str">
        <f>IF(B139="","",IF(OR(inp_Tipo="Arrendamiento Puro",par_BaseIVAFin="Sobre renta",B139="Opción de compra"),F139,G139)*$C$14)</f>
        <v/>
      </c>
      <c r="K139" s="117" t="str">
        <f>IF(B139="","",F139+J139)</f>
        <v/>
      </c>
      <c r="L139" s="117" t="str">
        <f>IF(B139="","",F139-IF(A139=$C$38,$C$30,0))</f>
        <v/>
      </c>
      <c r="M139" s="131" t="str">
        <f>IF(B139="","",$C$37*(1+$C$13)^(-C139))</f>
        <v/>
      </c>
      <c r="N139" s="117" t="str">
        <f>IF(B139="","",L139*M139)</f>
        <v/>
      </c>
      <c r="O139" s="117" t="str">
        <f>IF(B139="","",IF(B139="Básico",F139,0)-IF(A139=$C$38,$C$30,0))</f>
        <v/>
      </c>
      <c r="P139" s="130">
        <f>IF(B139="",$C$31,D139)</f>
        <v>46301.0</v>
      </c>
      <c r="Q139" s="117">
        <f>IF(B139="",0,L139)</f>
        <v>0</v>
      </c>
      <c r="R139" s="117">
        <f>IF(B139="",0,-F139)</f>
        <v>0</v>
      </c>
      <c r="S139" s="117" t="str">
        <f>IF(B139="","",O139*M139)</f>
        <v/>
      </c>
    </row>
    <row r="140">
      <c r="A140" s="53" t="n">
        <v>81</v>
      </c>
      <c r="B140" s="53" t="str">
        <f>IF(A140&gt;$C$38,"",IF(A140&lt;=$C$5,"Básico",IF($C$6&gt;0,"Sucesivo","Opción de compra")))</f>
        <v/>
      </c>
      <c r="C140" s="53" t="str">
        <f>IF(B140="","",IF(B140="Opción de compra",$C$5,A140-$C$7))</f>
        <v/>
      </c>
      <c r="D140" s="130" t="str">
        <f>IF(B140="","",EDATE($C$33,C140))</f>
        <v/>
      </c>
      <c r="E140" s="117" t="str">
        <f>IF(B140="","",I139)</f>
        <v/>
      </c>
      <c r="F140" s="117" t="str">
        <f>IF(B140="","",IF(B140="Básico",$C$24,IF(B140="Sucesivo",$C$25,$C$26)))</f>
        <v/>
      </c>
      <c r="G140" s="117" t="str">
        <f>IF(B140="","",IF(B140="Opción de compra",0,(E140-$C$7*F140)*IF(B140="Sucesivo",$C$11,$C$9)))</f>
        <v/>
      </c>
      <c r="H140" s="117" t="str">
        <f>IF(B140="","",F140-G140)</f>
        <v/>
      </c>
      <c r="I140" s="117" t="str">
        <f>IF(B140="","",E140-H140)</f>
        <v/>
      </c>
      <c r="J140" s="117" t="str">
        <f>IF(B140="","",IF(OR(inp_Tipo="Arrendamiento Puro",par_BaseIVAFin="Sobre renta",B140="Opción de compra"),F140,G140)*$C$14)</f>
        <v/>
      </c>
      <c r="K140" s="117" t="str">
        <f>IF(B140="","",F140+J140)</f>
        <v/>
      </c>
      <c r="L140" s="117" t="str">
        <f>IF(B140="","",F140-IF(A140=$C$38,$C$30,0))</f>
        <v/>
      </c>
      <c r="M140" s="131" t="str">
        <f>IF(B140="","",$C$37*(1+$C$13)^(-C140))</f>
        <v/>
      </c>
      <c r="N140" s="117" t="str">
        <f>IF(B140="","",L140*M140)</f>
        <v/>
      </c>
      <c r="O140" s="117" t="str">
        <f>IF(B140="","",IF(B140="Básico",F140,0)-IF(A140=$C$38,$C$30,0))</f>
        <v/>
      </c>
      <c r="P140" s="130">
        <f>IF(B140="",$C$31,D140)</f>
        <v>46301.0</v>
      </c>
      <c r="Q140" s="117">
        <f>IF(B140="",0,L140)</f>
        <v>0</v>
      </c>
      <c r="R140" s="117">
        <f>IF(B140="",0,-F140)</f>
        <v>0</v>
      </c>
      <c r="S140" s="117" t="str">
        <f>IF(B140="","",O140*M140)</f>
        <v/>
      </c>
    </row>
    <row r="141">
      <c r="A141" s="53" t="n">
        <v>82</v>
      </c>
      <c r="B141" s="53" t="str">
        <f>IF(A141&gt;$C$38,"",IF(A141&lt;=$C$5,"Básico",IF($C$6&gt;0,"Sucesivo","Opción de compra")))</f>
        <v/>
      </c>
      <c r="C141" s="53" t="str">
        <f>IF(B141="","",IF(B141="Opción de compra",$C$5,A141-$C$7))</f>
        <v/>
      </c>
      <c r="D141" s="130" t="str">
        <f>IF(B141="","",EDATE($C$33,C141))</f>
        <v/>
      </c>
      <c r="E141" s="117" t="str">
        <f>IF(B141="","",I140)</f>
        <v/>
      </c>
      <c r="F141" s="117" t="str">
        <f>IF(B141="","",IF(B141="Básico",$C$24,IF(B141="Sucesivo",$C$25,$C$26)))</f>
        <v/>
      </c>
      <c r="G141" s="117" t="str">
        <f>IF(B141="","",IF(B141="Opción de compra",0,(E141-$C$7*F141)*IF(B141="Sucesivo",$C$11,$C$9)))</f>
        <v/>
      </c>
      <c r="H141" s="117" t="str">
        <f>IF(B141="","",F141-G141)</f>
        <v/>
      </c>
      <c r="I141" s="117" t="str">
        <f>IF(B141="","",E141-H141)</f>
        <v/>
      </c>
      <c r="J141" s="117" t="str">
        <f>IF(B141="","",IF(OR(inp_Tipo="Arrendamiento Puro",par_BaseIVAFin="Sobre renta",B141="Opción de compra"),F141,G141)*$C$14)</f>
        <v/>
      </c>
      <c r="K141" s="117" t="str">
        <f>IF(B141="","",F141+J141)</f>
        <v/>
      </c>
      <c r="L141" s="117" t="str">
        <f>IF(B141="","",F141-IF(A141=$C$38,$C$30,0))</f>
        <v/>
      </c>
      <c r="M141" s="131" t="str">
        <f>IF(B141="","",$C$37*(1+$C$13)^(-C141))</f>
        <v/>
      </c>
      <c r="N141" s="117" t="str">
        <f>IF(B141="","",L141*M141)</f>
        <v/>
      </c>
      <c r="O141" s="117" t="str">
        <f>IF(B141="","",IF(B141="Básico",F141,0)-IF(A141=$C$38,$C$30,0))</f>
        <v/>
      </c>
      <c r="P141" s="130">
        <f>IF(B141="",$C$31,D141)</f>
        <v>46301.0</v>
      </c>
      <c r="Q141" s="117">
        <f>IF(B141="",0,L141)</f>
        <v>0</v>
      </c>
      <c r="R141" s="117">
        <f>IF(B141="",0,-F141)</f>
        <v>0</v>
      </c>
      <c r="S141" s="117" t="str">
        <f>IF(B141="","",O141*M141)</f>
        <v/>
      </c>
    </row>
    <row r="142">
      <c r="A142" s="53" t="n">
        <v>83</v>
      </c>
      <c r="B142" s="53" t="str">
        <f>IF(A142&gt;$C$38,"",IF(A142&lt;=$C$5,"Básico",IF($C$6&gt;0,"Sucesivo","Opción de compra")))</f>
        <v/>
      </c>
      <c r="C142" s="53" t="str">
        <f>IF(B142="","",IF(B142="Opción de compra",$C$5,A142-$C$7))</f>
        <v/>
      </c>
      <c r="D142" s="130" t="str">
        <f>IF(B142="","",EDATE($C$33,C142))</f>
        <v/>
      </c>
      <c r="E142" s="117" t="str">
        <f>IF(B142="","",I141)</f>
        <v/>
      </c>
      <c r="F142" s="117" t="str">
        <f>IF(B142="","",IF(B142="Básico",$C$24,IF(B142="Sucesivo",$C$25,$C$26)))</f>
        <v/>
      </c>
      <c r="G142" s="117" t="str">
        <f>IF(B142="","",IF(B142="Opción de compra",0,(E142-$C$7*F142)*IF(B142="Sucesivo",$C$11,$C$9)))</f>
        <v/>
      </c>
      <c r="H142" s="117" t="str">
        <f>IF(B142="","",F142-G142)</f>
        <v/>
      </c>
      <c r="I142" s="117" t="str">
        <f>IF(B142="","",E142-H142)</f>
        <v/>
      </c>
      <c r="J142" s="117" t="str">
        <f>IF(B142="","",IF(OR(inp_Tipo="Arrendamiento Puro",par_BaseIVAFin="Sobre renta",B142="Opción de compra"),F142,G142)*$C$14)</f>
        <v/>
      </c>
      <c r="K142" s="117" t="str">
        <f>IF(B142="","",F142+J142)</f>
        <v/>
      </c>
      <c r="L142" s="117" t="str">
        <f>IF(B142="","",F142-IF(A142=$C$38,$C$30,0))</f>
        <v/>
      </c>
      <c r="M142" s="131" t="str">
        <f>IF(B142="","",$C$37*(1+$C$13)^(-C142))</f>
        <v/>
      </c>
      <c r="N142" s="117" t="str">
        <f>IF(B142="","",L142*M142)</f>
        <v/>
      </c>
      <c r="O142" s="117" t="str">
        <f>IF(B142="","",IF(B142="Básico",F142,0)-IF(A142=$C$38,$C$30,0))</f>
        <v/>
      </c>
      <c r="P142" s="130">
        <f>IF(B142="",$C$31,D142)</f>
        <v>46301.0</v>
      </c>
      <c r="Q142" s="117">
        <f>IF(B142="",0,L142)</f>
        <v>0</v>
      </c>
      <c r="R142" s="117">
        <f>IF(B142="",0,-F142)</f>
        <v>0</v>
      </c>
      <c r="S142" s="117" t="str">
        <f>IF(B142="","",O142*M142)</f>
        <v/>
      </c>
    </row>
    <row r="143">
      <c r="A143" s="53" t="n">
        <v>84</v>
      </c>
      <c r="B143" s="53" t="str">
        <f>IF(A143&gt;$C$38,"",IF(A143&lt;=$C$5,"Básico",IF($C$6&gt;0,"Sucesivo","Opción de compra")))</f>
        <v/>
      </c>
      <c r="C143" s="53" t="str">
        <f>IF(B143="","",IF(B143="Opción de compra",$C$5,A143-$C$7))</f>
        <v/>
      </c>
      <c r="D143" s="130" t="str">
        <f>IF(B143="","",EDATE($C$33,C143))</f>
        <v/>
      </c>
      <c r="E143" s="117" t="str">
        <f>IF(B143="","",I142)</f>
        <v/>
      </c>
      <c r="F143" s="117" t="str">
        <f>IF(B143="","",IF(B143="Básico",$C$24,IF(B143="Sucesivo",$C$25,$C$26)))</f>
        <v/>
      </c>
      <c r="G143" s="117" t="str">
        <f>IF(B143="","",IF(B143="Opción de compra",0,(E143-$C$7*F143)*IF(B143="Sucesivo",$C$11,$C$9)))</f>
        <v/>
      </c>
      <c r="H143" s="117" t="str">
        <f>IF(B143="","",F143-G143)</f>
        <v/>
      </c>
      <c r="I143" s="117" t="str">
        <f>IF(B143="","",E143-H143)</f>
        <v/>
      </c>
      <c r="J143" s="117" t="str">
        <f>IF(B143="","",IF(OR(inp_Tipo="Arrendamiento Puro",par_BaseIVAFin="Sobre renta",B143="Opción de compra"),F143,G143)*$C$14)</f>
        <v/>
      </c>
      <c r="K143" s="117" t="str">
        <f>IF(B143="","",F143+J143)</f>
        <v/>
      </c>
      <c r="L143" s="117" t="str">
        <f>IF(B143="","",F143-IF(A143=$C$38,$C$30,0))</f>
        <v/>
      </c>
      <c r="M143" s="131" t="str">
        <f>IF(B143="","",$C$37*(1+$C$13)^(-C143))</f>
        <v/>
      </c>
      <c r="N143" s="117" t="str">
        <f>IF(B143="","",L143*M143)</f>
        <v/>
      </c>
      <c r="O143" s="117" t="str">
        <f>IF(B143="","",IF(B143="Básico",F143,0)-IF(A143=$C$38,$C$30,0))</f>
        <v/>
      </c>
      <c r="P143" s="130">
        <f>IF(B143="",$C$31,D143)</f>
        <v>46301.0</v>
      </c>
      <c r="Q143" s="117">
        <f>IF(B143="",0,L143)</f>
        <v>0</v>
      </c>
      <c r="R143" s="117">
        <f>IF(B143="",0,-F143)</f>
        <v>0</v>
      </c>
      <c r="S143" s="117" t="str">
        <f>IF(B143="","",O143*M143)</f>
        <v/>
      </c>
    </row>
    <row r="144">
      <c r="A144" s="53" t="n">
        <v>85</v>
      </c>
      <c r="B144" s="53" t="str">
        <f>IF(A144&gt;$C$38,"",IF(A144&lt;=$C$5,"Básico",IF($C$6&gt;0,"Sucesivo","Opción de compra")))</f>
        <v/>
      </c>
      <c r="C144" s="53" t="str">
        <f>IF(B144="","",IF(B144="Opción de compra",$C$5,A144-$C$7))</f>
        <v/>
      </c>
      <c r="D144" s="130" t="str">
        <f>IF(B144="","",EDATE($C$33,C144))</f>
        <v/>
      </c>
      <c r="E144" s="117" t="str">
        <f>IF(B144="","",I143)</f>
        <v/>
      </c>
      <c r="F144" s="117" t="str">
        <f>IF(B144="","",IF(B144="Básico",$C$24,IF(B144="Sucesivo",$C$25,$C$26)))</f>
        <v/>
      </c>
      <c r="G144" s="117" t="str">
        <f>IF(B144="","",IF(B144="Opción de compra",0,(E144-$C$7*F144)*IF(B144="Sucesivo",$C$11,$C$9)))</f>
        <v/>
      </c>
      <c r="H144" s="117" t="str">
        <f>IF(B144="","",F144-G144)</f>
        <v/>
      </c>
      <c r="I144" s="117" t="str">
        <f>IF(B144="","",E144-H144)</f>
        <v/>
      </c>
      <c r="J144" s="117" t="str">
        <f>IF(B144="","",IF(OR(inp_Tipo="Arrendamiento Puro",par_BaseIVAFin="Sobre renta",B144="Opción de compra"),F144,G144)*$C$14)</f>
        <v/>
      </c>
      <c r="K144" s="117" t="str">
        <f>IF(B144="","",F144+J144)</f>
        <v/>
      </c>
      <c r="L144" s="117" t="str">
        <f>IF(B144="","",F144-IF(A144=$C$38,$C$30,0))</f>
        <v/>
      </c>
      <c r="M144" s="131" t="str">
        <f>IF(B144="","",$C$37*(1+$C$13)^(-C144))</f>
        <v/>
      </c>
      <c r="N144" s="117" t="str">
        <f>IF(B144="","",L144*M144)</f>
        <v/>
      </c>
      <c r="O144" s="117" t="str">
        <f>IF(B144="","",IF(B144="Básico",F144,0)-IF(A144=$C$38,$C$30,0))</f>
        <v/>
      </c>
      <c r="P144" s="130">
        <f>IF(B144="",$C$31,D144)</f>
        <v>46301.0</v>
      </c>
      <c r="Q144" s="117">
        <f>IF(B144="",0,L144)</f>
        <v>0</v>
      </c>
      <c r="R144" s="117">
        <f>IF(B144="",0,-F144)</f>
        <v>0</v>
      </c>
      <c r="S144" s="117" t="str">
        <f>IF(B144="","",O144*M144)</f>
        <v/>
      </c>
    </row>
    <row r="145">
      <c r="A145" s="53" t="n">
        <v>86</v>
      </c>
      <c r="B145" s="53" t="str">
        <f>IF(A145&gt;$C$38,"",IF(A145&lt;=$C$5,"Básico",IF($C$6&gt;0,"Sucesivo","Opción de compra")))</f>
        <v/>
      </c>
      <c r="C145" s="53" t="str">
        <f>IF(B145="","",IF(B145="Opción de compra",$C$5,A145-$C$7))</f>
        <v/>
      </c>
      <c r="D145" s="130" t="str">
        <f>IF(B145="","",EDATE($C$33,C145))</f>
        <v/>
      </c>
      <c r="E145" s="117" t="str">
        <f>IF(B145="","",I144)</f>
        <v/>
      </c>
      <c r="F145" s="117" t="str">
        <f>IF(B145="","",IF(B145="Básico",$C$24,IF(B145="Sucesivo",$C$25,$C$26)))</f>
        <v/>
      </c>
      <c r="G145" s="117" t="str">
        <f>IF(B145="","",IF(B145="Opción de compra",0,(E145-$C$7*F145)*IF(B145="Sucesivo",$C$11,$C$9)))</f>
        <v/>
      </c>
      <c r="H145" s="117" t="str">
        <f>IF(B145="","",F145-G145)</f>
        <v/>
      </c>
      <c r="I145" s="117" t="str">
        <f>IF(B145="","",E145-H145)</f>
        <v/>
      </c>
      <c r="J145" s="117" t="str">
        <f>IF(B145="","",IF(OR(inp_Tipo="Arrendamiento Puro",par_BaseIVAFin="Sobre renta",B145="Opción de compra"),F145,G145)*$C$14)</f>
        <v/>
      </c>
      <c r="K145" s="117" t="str">
        <f>IF(B145="","",F145+J145)</f>
        <v/>
      </c>
      <c r="L145" s="117" t="str">
        <f>IF(B145="","",F145-IF(A145=$C$38,$C$30,0))</f>
        <v/>
      </c>
      <c r="M145" s="131" t="str">
        <f>IF(B145="","",$C$37*(1+$C$13)^(-C145))</f>
        <v/>
      </c>
      <c r="N145" s="117" t="str">
        <f>IF(B145="","",L145*M145)</f>
        <v/>
      </c>
      <c r="O145" s="117" t="str">
        <f>IF(B145="","",IF(B145="Básico",F145,0)-IF(A145=$C$38,$C$30,0))</f>
        <v/>
      </c>
      <c r="P145" s="130">
        <f>IF(B145="",$C$31,D145)</f>
        <v>46301.0</v>
      </c>
      <c r="Q145" s="117">
        <f>IF(B145="",0,L145)</f>
        <v>0</v>
      </c>
      <c r="R145" s="117">
        <f>IF(B145="",0,-F145)</f>
        <v>0</v>
      </c>
      <c r="S145" s="117" t="str">
        <f>IF(B145="","",O145*M145)</f>
        <v/>
      </c>
    </row>
    <row r="146">
      <c r="A146" s="53" t="n">
        <v>87</v>
      </c>
      <c r="B146" s="53" t="str">
        <f>IF(A146&gt;$C$38,"",IF(A146&lt;=$C$5,"Básico",IF($C$6&gt;0,"Sucesivo","Opción de compra")))</f>
        <v/>
      </c>
      <c r="C146" s="53" t="str">
        <f>IF(B146="","",IF(B146="Opción de compra",$C$5,A146-$C$7))</f>
        <v/>
      </c>
      <c r="D146" s="130" t="str">
        <f>IF(B146="","",EDATE($C$33,C146))</f>
        <v/>
      </c>
      <c r="E146" s="117" t="str">
        <f>IF(B146="","",I145)</f>
        <v/>
      </c>
      <c r="F146" s="117" t="str">
        <f>IF(B146="","",IF(B146="Básico",$C$24,IF(B146="Sucesivo",$C$25,$C$26)))</f>
        <v/>
      </c>
      <c r="G146" s="117" t="str">
        <f>IF(B146="","",IF(B146="Opción de compra",0,(E146-$C$7*F146)*IF(B146="Sucesivo",$C$11,$C$9)))</f>
        <v/>
      </c>
      <c r="H146" s="117" t="str">
        <f>IF(B146="","",F146-G146)</f>
        <v/>
      </c>
      <c r="I146" s="117" t="str">
        <f>IF(B146="","",E146-H146)</f>
        <v/>
      </c>
      <c r="J146" s="117" t="str">
        <f>IF(B146="","",IF(OR(inp_Tipo="Arrendamiento Puro",par_BaseIVAFin="Sobre renta",B146="Opción de compra"),F146,G146)*$C$14)</f>
        <v/>
      </c>
      <c r="K146" s="117" t="str">
        <f>IF(B146="","",F146+J146)</f>
        <v/>
      </c>
      <c r="L146" s="117" t="str">
        <f>IF(B146="","",F146-IF(A146=$C$38,$C$30,0))</f>
        <v/>
      </c>
      <c r="M146" s="131" t="str">
        <f>IF(B146="","",$C$37*(1+$C$13)^(-C146))</f>
        <v/>
      </c>
      <c r="N146" s="117" t="str">
        <f>IF(B146="","",L146*M146)</f>
        <v/>
      </c>
      <c r="O146" s="117" t="str">
        <f>IF(B146="","",IF(B146="Básico",F146,0)-IF(A146=$C$38,$C$30,0))</f>
        <v/>
      </c>
      <c r="P146" s="130">
        <f>IF(B146="",$C$31,D146)</f>
        <v>46301.0</v>
      </c>
      <c r="Q146" s="117">
        <f>IF(B146="",0,L146)</f>
        <v>0</v>
      </c>
      <c r="R146" s="117">
        <f>IF(B146="",0,-F146)</f>
        <v>0</v>
      </c>
      <c r="S146" s="117" t="str">
        <f>IF(B146="","",O146*M146)</f>
        <v/>
      </c>
    </row>
    <row r="147">
      <c r="A147" s="53" t="n">
        <v>88</v>
      </c>
      <c r="B147" s="53" t="str">
        <f>IF(A147&gt;$C$38,"",IF(A147&lt;=$C$5,"Básico",IF($C$6&gt;0,"Sucesivo","Opción de compra")))</f>
        <v/>
      </c>
      <c r="C147" s="53" t="str">
        <f>IF(B147="","",IF(B147="Opción de compra",$C$5,A147-$C$7))</f>
        <v/>
      </c>
      <c r="D147" s="130" t="str">
        <f>IF(B147="","",EDATE($C$33,C147))</f>
        <v/>
      </c>
      <c r="E147" s="117" t="str">
        <f>IF(B147="","",I146)</f>
        <v/>
      </c>
      <c r="F147" s="117" t="str">
        <f>IF(B147="","",IF(B147="Básico",$C$24,IF(B147="Sucesivo",$C$25,$C$26)))</f>
        <v/>
      </c>
      <c r="G147" s="117" t="str">
        <f>IF(B147="","",IF(B147="Opción de compra",0,(E147-$C$7*F147)*IF(B147="Sucesivo",$C$11,$C$9)))</f>
        <v/>
      </c>
      <c r="H147" s="117" t="str">
        <f>IF(B147="","",F147-G147)</f>
        <v/>
      </c>
      <c r="I147" s="117" t="str">
        <f>IF(B147="","",E147-H147)</f>
        <v/>
      </c>
      <c r="J147" s="117" t="str">
        <f>IF(B147="","",IF(OR(inp_Tipo="Arrendamiento Puro",par_BaseIVAFin="Sobre renta",B147="Opción de compra"),F147,G147)*$C$14)</f>
        <v/>
      </c>
      <c r="K147" s="117" t="str">
        <f>IF(B147="","",F147+J147)</f>
        <v/>
      </c>
      <c r="L147" s="117" t="str">
        <f>IF(B147="","",F147-IF(A147=$C$38,$C$30,0))</f>
        <v/>
      </c>
      <c r="M147" s="131" t="str">
        <f>IF(B147="","",$C$37*(1+$C$13)^(-C147))</f>
        <v/>
      </c>
      <c r="N147" s="117" t="str">
        <f>IF(B147="","",L147*M147)</f>
        <v/>
      </c>
      <c r="O147" s="117" t="str">
        <f>IF(B147="","",IF(B147="Básico",F147,0)-IF(A147=$C$38,$C$30,0))</f>
        <v/>
      </c>
      <c r="P147" s="130">
        <f>IF(B147="",$C$31,D147)</f>
        <v>46301.0</v>
      </c>
      <c r="Q147" s="117">
        <f>IF(B147="",0,L147)</f>
        <v>0</v>
      </c>
      <c r="R147" s="117">
        <f>IF(B147="",0,-F147)</f>
        <v>0</v>
      </c>
      <c r="S147" s="117" t="str">
        <f>IF(B147="","",O147*M147)</f>
        <v/>
      </c>
    </row>
    <row r="148">
      <c r="A148" s="53" t="n">
        <v>89</v>
      </c>
      <c r="B148" s="53" t="str">
        <f>IF(A148&gt;$C$38,"",IF(A148&lt;=$C$5,"Básico",IF($C$6&gt;0,"Sucesivo","Opción de compra")))</f>
        <v/>
      </c>
      <c r="C148" s="53" t="str">
        <f>IF(B148="","",IF(B148="Opción de compra",$C$5,A148-$C$7))</f>
        <v/>
      </c>
      <c r="D148" s="130" t="str">
        <f>IF(B148="","",EDATE($C$33,C148))</f>
        <v/>
      </c>
      <c r="E148" s="117" t="str">
        <f>IF(B148="","",I147)</f>
        <v/>
      </c>
      <c r="F148" s="117" t="str">
        <f>IF(B148="","",IF(B148="Básico",$C$24,IF(B148="Sucesivo",$C$25,$C$26)))</f>
        <v/>
      </c>
      <c r="G148" s="117" t="str">
        <f>IF(B148="","",IF(B148="Opción de compra",0,(E148-$C$7*F148)*IF(B148="Sucesivo",$C$11,$C$9)))</f>
        <v/>
      </c>
      <c r="H148" s="117" t="str">
        <f>IF(B148="","",F148-G148)</f>
        <v/>
      </c>
      <c r="I148" s="117" t="str">
        <f>IF(B148="","",E148-H148)</f>
        <v/>
      </c>
      <c r="J148" s="117" t="str">
        <f>IF(B148="","",IF(OR(inp_Tipo="Arrendamiento Puro",par_BaseIVAFin="Sobre renta",B148="Opción de compra"),F148,G148)*$C$14)</f>
        <v/>
      </c>
      <c r="K148" s="117" t="str">
        <f>IF(B148="","",F148+J148)</f>
        <v/>
      </c>
      <c r="L148" s="117" t="str">
        <f>IF(B148="","",F148-IF(A148=$C$38,$C$30,0))</f>
        <v/>
      </c>
      <c r="M148" s="131" t="str">
        <f>IF(B148="","",$C$37*(1+$C$13)^(-C148))</f>
        <v/>
      </c>
      <c r="N148" s="117" t="str">
        <f>IF(B148="","",L148*M148)</f>
        <v/>
      </c>
      <c r="O148" s="117" t="str">
        <f>IF(B148="","",IF(B148="Básico",F148,0)-IF(A148=$C$38,$C$30,0))</f>
        <v/>
      </c>
      <c r="P148" s="130">
        <f>IF(B148="",$C$31,D148)</f>
        <v>46301.0</v>
      </c>
      <c r="Q148" s="117">
        <f>IF(B148="",0,L148)</f>
        <v>0</v>
      </c>
      <c r="R148" s="117">
        <f>IF(B148="",0,-F148)</f>
        <v>0</v>
      </c>
      <c r="S148" s="117" t="str">
        <f>IF(B148="","",O148*M148)</f>
        <v/>
      </c>
    </row>
    <row r="149">
      <c r="A149" s="53" t="n">
        <v>90</v>
      </c>
      <c r="B149" s="53" t="str">
        <f>IF(A149&gt;$C$38,"",IF(A149&lt;=$C$5,"Básico",IF($C$6&gt;0,"Sucesivo","Opción de compra")))</f>
        <v/>
      </c>
      <c r="C149" s="53" t="str">
        <f>IF(B149="","",IF(B149="Opción de compra",$C$5,A149-$C$7))</f>
        <v/>
      </c>
      <c r="D149" s="130" t="str">
        <f>IF(B149="","",EDATE($C$33,C149))</f>
        <v/>
      </c>
      <c r="E149" s="117" t="str">
        <f>IF(B149="","",I148)</f>
        <v/>
      </c>
      <c r="F149" s="117" t="str">
        <f>IF(B149="","",IF(B149="Básico",$C$24,IF(B149="Sucesivo",$C$25,$C$26)))</f>
        <v/>
      </c>
      <c r="G149" s="117" t="str">
        <f>IF(B149="","",IF(B149="Opción de compra",0,(E149-$C$7*F149)*IF(B149="Sucesivo",$C$11,$C$9)))</f>
        <v/>
      </c>
      <c r="H149" s="117" t="str">
        <f>IF(B149="","",F149-G149)</f>
        <v/>
      </c>
      <c r="I149" s="117" t="str">
        <f>IF(B149="","",E149-H149)</f>
        <v/>
      </c>
      <c r="J149" s="117" t="str">
        <f>IF(B149="","",IF(OR(inp_Tipo="Arrendamiento Puro",par_BaseIVAFin="Sobre renta",B149="Opción de compra"),F149,G149)*$C$14)</f>
        <v/>
      </c>
      <c r="K149" s="117" t="str">
        <f>IF(B149="","",F149+J149)</f>
        <v/>
      </c>
      <c r="L149" s="117" t="str">
        <f>IF(B149="","",F149-IF(A149=$C$38,$C$30,0))</f>
        <v/>
      </c>
      <c r="M149" s="131" t="str">
        <f>IF(B149="","",$C$37*(1+$C$13)^(-C149))</f>
        <v/>
      </c>
      <c r="N149" s="117" t="str">
        <f>IF(B149="","",L149*M149)</f>
        <v/>
      </c>
      <c r="O149" s="117" t="str">
        <f>IF(B149="","",IF(B149="Básico",F149,0)-IF(A149=$C$38,$C$30,0))</f>
        <v/>
      </c>
      <c r="P149" s="130">
        <f>IF(B149="",$C$31,D149)</f>
        <v>46301.0</v>
      </c>
      <c r="Q149" s="117">
        <f>IF(B149="",0,L149)</f>
        <v>0</v>
      </c>
      <c r="R149" s="117">
        <f>IF(B149="",0,-F149)</f>
        <v>0</v>
      </c>
      <c r="S149" s="117" t="str">
        <f>IF(B149="","",O149*M149)</f>
        <v/>
      </c>
    </row>
    <row r="150">
      <c r="A150" s="53" t="n">
        <v>91</v>
      </c>
      <c r="B150" s="53" t="str">
        <f>IF(A150&gt;$C$38,"",IF(A150&lt;=$C$5,"Básico",IF($C$6&gt;0,"Sucesivo","Opción de compra")))</f>
        <v/>
      </c>
      <c r="C150" s="53" t="str">
        <f>IF(B150="","",IF(B150="Opción de compra",$C$5,A150-$C$7))</f>
        <v/>
      </c>
      <c r="D150" s="130" t="str">
        <f>IF(B150="","",EDATE($C$33,C150))</f>
        <v/>
      </c>
      <c r="E150" s="117" t="str">
        <f>IF(B150="","",I149)</f>
        <v/>
      </c>
      <c r="F150" s="117" t="str">
        <f>IF(B150="","",IF(B150="Básico",$C$24,IF(B150="Sucesivo",$C$25,$C$26)))</f>
        <v/>
      </c>
      <c r="G150" s="117" t="str">
        <f>IF(B150="","",IF(B150="Opción de compra",0,(E150-$C$7*F150)*IF(B150="Sucesivo",$C$11,$C$9)))</f>
        <v/>
      </c>
      <c r="H150" s="117" t="str">
        <f>IF(B150="","",F150-G150)</f>
        <v/>
      </c>
      <c r="I150" s="117" t="str">
        <f>IF(B150="","",E150-H150)</f>
        <v/>
      </c>
      <c r="J150" s="117" t="str">
        <f>IF(B150="","",IF(OR(inp_Tipo="Arrendamiento Puro",par_BaseIVAFin="Sobre renta",B150="Opción de compra"),F150,G150)*$C$14)</f>
        <v/>
      </c>
      <c r="K150" s="117" t="str">
        <f>IF(B150="","",F150+J150)</f>
        <v/>
      </c>
      <c r="L150" s="117" t="str">
        <f>IF(B150="","",F150-IF(A150=$C$38,$C$30,0))</f>
        <v/>
      </c>
      <c r="M150" s="131" t="str">
        <f>IF(B150="","",$C$37*(1+$C$13)^(-C150))</f>
        <v/>
      </c>
      <c r="N150" s="117" t="str">
        <f>IF(B150="","",L150*M150)</f>
        <v/>
      </c>
      <c r="O150" s="117" t="str">
        <f>IF(B150="","",IF(B150="Básico",F150,0)-IF(A150=$C$38,$C$30,0))</f>
        <v/>
      </c>
      <c r="P150" s="130">
        <f>IF(B150="",$C$31,D150)</f>
        <v>46301.0</v>
      </c>
      <c r="Q150" s="117">
        <f>IF(B150="",0,L150)</f>
        <v>0</v>
      </c>
      <c r="R150" s="117">
        <f>IF(B150="",0,-F150)</f>
        <v>0</v>
      </c>
      <c r="S150" s="117" t="str">
        <f>IF(B150="","",O150*M150)</f>
        <v/>
      </c>
    </row>
    <row r="151">
      <c r="A151" s="53" t="n">
        <v>92</v>
      </c>
      <c r="B151" s="53" t="str">
        <f>IF(A151&gt;$C$38,"",IF(A151&lt;=$C$5,"Básico",IF($C$6&gt;0,"Sucesivo","Opción de compra")))</f>
        <v/>
      </c>
      <c r="C151" s="53" t="str">
        <f>IF(B151="","",IF(B151="Opción de compra",$C$5,A151-$C$7))</f>
        <v/>
      </c>
      <c r="D151" s="130" t="str">
        <f>IF(B151="","",EDATE($C$33,C151))</f>
        <v/>
      </c>
      <c r="E151" s="117" t="str">
        <f>IF(B151="","",I150)</f>
        <v/>
      </c>
      <c r="F151" s="117" t="str">
        <f>IF(B151="","",IF(B151="Básico",$C$24,IF(B151="Sucesivo",$C$25,$C$26)))</f>
        <v/>
      </c>
      <c r="G151" s="117" t="str">
        <f>IF(B151="","",IF(B151="Opción de compra",0,(E151-$C$7*F151)*IF(B151="Sucesivo",$C$11,$C$9)))</f>
        <v/>
      </c>
      <c r="H151" s="117" t="str">
        <f>IF(B151="","",F151-G151)</f>
        <v/>
      </c>
      <c r="I151" s="117" t="str">
        <f>IF(B151="","",E151-H151)</f>
        <v/>
      </c>
      <c r="J151" s="117" t="str">
        <f>IF(B151="","",IF(OR(inp_Tipo="Arrendamiento Puro",par_BaseIVAFin="Sobre renta",B151="Opción de compra"),F151,G151)*$C$14)</f>
        <v/>
      </c>
      <c r="K151" s="117" t="str">
        <f>IF(B151="","",F151+J151)</f>
        <v/>
      </c>
      <c r="L151" s="117" t="str">
        <f>IF(B151="","",F151-IF(A151=$C$38,$C$30,0))</f>
        <v/>
      </c>
      <c r="M151" s="131" t="str">
        <f>IF(B151="","",$C$37*(1+$C$13)^(-C151))</f>
        <v/>
      </c>
      <c r="N151" s="117" t="str">
        <f>IF(B151="","",L151*M151)</f>
        <v/>
      </c>
      <c r="O151" s="117" t="str">
        <f>IF(B151="","",IF(B151="Básico",F151,0)-IF(A151=$C$38,$C$30,0))</f>
        <v/>
      </c>
      <c r="P151" s="130">
        <f>IF(B151="",$C$31,D151)</f>
        <v>46301.0</v>
      </c>
      <c r="Q151" s="117">
        <f>IF(B151="",0,L151)</f>
        <v>0</v>
      </c>
      <c r="R151" s="117">
        <f>IF(B151="",0,-F151)</f>
        <v>0</v>
      </c>
      <c r="S151" s="117" t="str">
        <f>IF(B151="","",O151*M151)</f>
        <v/>
      </c>
    </row>
    <row r="152">
      <c r="A152" s="53" t="n">
        <v>93</v>
      </c>
      <c r="B152" s="53" t="str">
        <f>IF(A152&gt;$C$38,"",IF(A152&lt;=$C$5,"Básico",IF($C$6&gt;0,"Sucesivo","Opción de compra")))</f>
        <v/>
      </c>
      <c r="C152" s="53" t="str">
        <f>IF(B152="","",IF(B152="Opción de compra",$C$5,A152-$C$7))</f>
        <v/>
      </c>
      <c r="D152" s="130" t="str">
        <f>IF(B152="","",EDATE($C$33,C152))</f>
        <v/>
      </c>
      <c r="E152" s="117" t="str">
        <f>IF(B152="","",I151)</f>
        <v/>
      </c>
      <c r="F152" s="117" t="str">
        <f>IF(B152="","",IF(B152="Básico",$C$24,IF(B152="Sucesivo",$C$25,$C$26)))</f>
        <v/>
      </c>
      <c r="G152" s="117" t="str">
        <f>IF(B152="","",IF(B152="Opción de compra",0,(E152-$C$7*F152)*IF(B152="Sucesivo",$C$11,$C$9)))</f>
        <v/>
      </c>
      <c r="H152" s="117" t="str">
        <f>IF(B152="","",F152-G152)</f>
        <v/>
      </c>
      <c r="I152" s="117" t="str">
        <f>IF(B152="","",E152-H152)</f>
        <v/>
      </c>
      <c r="J152" s="117" t="str">
        <f>IF(B152="","",IF(OR(inp_Tipo="Arrendamiento Puro",par_BaseIVAFin="Sobre renta",B152="Opción de compra"),F152,G152)*$C$14)</f>
        <v/>
      </c>
      <c r="K152" s="117" t="str">
        <f>IF(B152="","",F152+J152)</f>
        <v/>
      </c>
      <c r="L152" s="117" t="str">
        <f>IF(B152="","",F152-IF(A152=$C$38,$C$30,0))</f>
        <v/>
      </c>
      <c r="M152" s="131" t="str">
        <f>IF(B152="","",$C$37*(1+$C$13)^(-C152))</f>
        <v/>
      </c>
      <c r="N152" s="117" t="str">
        <f>IF(B152="","",L152*M152)</f>
        <v/>
      </c>
      <c r="O152" s="117" t="str">
        <f>IF(B152="","",IF(B152="Básico",F152,0)-IF(A152=$C$38,$C$30,0))</f>
        <v/>
      </c>
      <c r="P152" s="130">
        <f>IF(B152="",$C$31,D152)</f>
        <v>46301.0</v>
      </c>
      <c r="Q152" s="117">
        <f>IF(B152="",0,L152)</f>
        <v>0</v>
      </c>
      <c r="R152" s="117">
        <f>IF(B152="",0,-F152)</f>
        <v>0</v>
      </c>
      <c r="S152" s="117" t="str">
        <f>IF(B152="","",O152*M152)</f>
        <v/>
      </c>
    </row>
    <row r="153">
      <c r="A153" s="53" t="n">
        <v>94</v>
      </c>
      <c r="B153" s="53" t="str">
        <f>IF(A153&gt;$C$38,"",IF(A153&lt;=$C$5,"Básico",IF($C$6&gt;0,"Sucesivo","Opción de compra")))</f>
        <v/>
      </c>
      <c r="C153" s="53" t="str">
        <f>IF(B153="","",IF(B153="Opción de compra",$C$5,A153-$C$7))</f>
        <v/>
      </c>
      <c r="D153" s="130" t="str">
        <f>IF(B153="","",EDATE($C$33,C153))</f>
        <v/>
      </c>
      <c r="E153" s="117" t="str">
        <f>IF(B153="","",I152)</f>
        <v/>
      </c>
      <c r="F153" s="117" t="str">
        <f>IF(B153="","",IF(B153="Básico",$C$24,IF(B153="Sucesivo",$C$25,$C$26)))</f>
        <v/>
      </c>
      <c r="G153" s="117" t="str">
        <f>IF(B153="","",IF(B153="Opción de compra",0,(E153-$C$7*F153)*IF(B153="Sucesivo",$C$11,$C$9)))</f>
        <v/>
      </c>
      <c r="H153" s="117" t="str">
        <f>IF(B153="","",F153-G153)</f>
        <v/>
      </c>
      <c r="I153" s="117" t="str">
        <f>IF(B153="","",E153-H153)</f>
        <v/>
      </c>
      <c r="J153" s="117" t="str">
        <f>IF(B153="","",IF(OR(inp_Tipo="Arrendamiento Puro",par_BaseIVAFin="Sobre renta",B153="Opción de compra"),F153,G153)*$C$14)</f>
        <v/>
      </c>
      <c r="K153" s="117" t="str">
        <f>IF(B153="","",F153+J153)</f>
        <v/>
      </c>
      <c r="L153" s="117" t="str">
        <f>IF(B153="","",F153-IF(A153=$C$38,$C$30,0))</f>
        <v/>
      </c>
      <c r="M153" s="131" t="str">
        <f>IF(B153="","",$C$37*(1+$C$13)^(-C153))</f>
        <v/>
      </c>
      <c r="N153" s="117" t="str">
        <f>IF(B153="","",L153*M153)</f>
        <v/>
      </c>
      <c r="O153" s="117" t="str">
        <f>IF(B153="","",IF(B153="Básico",F153,0)-IF(A153=$C$38,$C$30,0))</f>
        <v/>
      </c>
      <c r="P153" s="130">
        <f>IF(B153="",$C$31,D153)</f>
        <v>46301.0</v>
      </c>
      <c r="Q153" s="117">
        <f>IF(B153="",0,L153)</f>
        <v>0</v>
      </c>
      <c r="R153" s="117">
        <f>IF(B153="",0,-F153)</f>
        <v>0</v>
      </c>
      <c r="S153" s="117" t="str">
        <f>IF(B153="","",O153*M153)</f>
        <v/>
      </c>
    </row>
    <row r="154">
      <c r="A154" s="53" t="n">
        <v>95</v>
      </c>
      <c r="B154" s="53" t="str">
        <f>IF(A154&gt;$C$38,"",IF(A154&lt;=$C$5,"Básico",IF($C$6&gt;0,"Sucesivo","Opción de compra")))</f>
        <v/>
      </c>
      <c r="C154" s="53" t="str">
        <f>IF(B154="","",IF(B154="Opción de compra",$C$5,A154-$C$7))</f>
        <v/>
      </c>
      <c r="D154" s="130" t="str">
        <f>IF(B154="","",EDATE($C$33,C154))</f>
        <v/>
      </c>
      <c r="E154" s="117" t="str">
        <f>IF(B154="","",I153)</f>
        <v/>
      </c>
      <c r="F154" s="117" t="str">
        <f>IF(B154="","",IF(B154="Básico",$C$24,IF(B154="Sucesivo",$C$25,$C$26)))</f>
        <v/>
      </c>
      <c r="G154" s="117" t="str">
        <f>IF(B154="","",IF(B154="Opción de compra",0,(E154-$C$7*F154)*IF(B154="Sucesivo",$C$11,$C$9)))</f>
        <v/>
      </c>
      <c r="H154" s="117" t="str">
        <f>IF(B154="","",F154-G154)</f>
        <v/>
      </c>
      <c r="I154" s="117" t="str">
        <f>IF(B154="","",E154-H154)</f>
        <v/>
      </c>
      <c r="J154" s="117" t="str">
        <f>IF(B154="","",IF(OR(inp_Tipo="Arrendamiento Puro",par_BaseIVAFin="Sobre renta",B154="Opción de compra"),F154,G154)*$C$14)</f>
        <v/>
      </c>
      <c r="K154" s="117" t="str">
        <f>IF(B154="","",F154+J154)</f>
        <v/>
      </c>
      <c r="L154" s="117" t="str">
        <f>IF(B154="","",F154-IF(A154=$C$38,$C$30,0))</f>
        <v/>
      </c>
      <c r="M154" s="131" t="str">
        <f>IF(B154="","",$C$37*(1+$C$13)^(-C154))</f>
        <v/>
      </c>
      <c r="N154" s="117" t="str">
        <f>IF(B154="","",L154*M154)</f>
        <v/>
      </c>
      <c r="O154" s="117" t="str">
        <f>IF(B154="","",IF(B154="Básico",F154,0)-IF(A154=$C$38,$C$30,0))</f>
        <v/>
      </c>
      <c r="P154" s="130">
        <f>IF(B154="",$C$31,D154)</f>
        <v>46301.0</v>
      </c>
      <c r="Q154" s="117">
        <f>IF(B154="",0,L154)</f>
        <v>0</v>
      </c>
      <c r="R154" s="117">
        <f>IF(B154="",0,-F154)</f>
        <v>0</v>
      </c>
      <c r="S154" s="117" t="str">
        <f>IF(B154="","",O154*M154)</f>
        <v/>
      </c>
    </row>
    <row r="155">
      <c r="A155" s="53" t="n">
        <v>96</v>
      </c>
      <c r="B155" s="53" t="str">
        <f>IF(A155&gt;$C$38,"",IF(A155&lt;=$C$5,"Básico",IF($C$6&gt;0,"Sucesivo","Opción de compra")))</f>
        <v/>
      </c>
      <c r="C155" s="53" t="str">
        <f>IF(B155="","",IF(B155="Opción de compra",$C$5,A155-$C$7))</f>
        <v/>
      </c>
      <c r="D155" s="130" t="str">
        <f>IF(B155="","",EDATE($C$33,C155))</f>
        <v/>
      </c>
      <c r="E155" s="117" t="str">
        <f>IF(B155="","",I154)</f>
        <v/>
      </c>
      <c r="F155" s="117" t="str">
        <f>IF(B155="","",IF(B155="Básico",$C$24,IF(B155="Sucesivo",$C$25,$C$26)))</f>
        <v/>
      </c>
      <c r="G155" s="117" t="str">
        <f>IF(B155="","",IF(B155="Opción de compra",0,(E155-$C$7*F155)*IF(B155="Sucesivo",$C$11,$C$9)))</f>
        <v/>
      </c>
      <c r="H155" s="117" t="str">
        <f>IF(B155="","",F155-G155)</f>
        <v/>
      </c>
      <c r="I155" s="117" t="str">
        <f>IF(B155="","",E155-H155)</f>
        <v/>
      </c>
      <c r="J155" s="117" t="str">
        <f>IF(B155="","",IF(OR(inp_Tipo="Arrendamiento Puro",par_BaseIVAFin="Sobre renta",B155="Opción de compra"),F155,G155)*$C$14)</f>
        <v/>
      </c>
      <c r="K155" s="117" t="str">
        <f>IF(B155="","",F155+J155)</f>
        <v/>
      </c>
      <c r="L155" s="117" t="str">
        <f>IF(B155="","",F155-IF(A155=$C$38,$C$30,0))</f>
        <v/>
      </c>
      <c r="M155" s="131" t="str">
        <f>IF(B155="","",$C$37*(1+$C$13)^(-C155))</f>
        <v/>
      </c>
      <c r="N155" s="117" t="str">
        <f>IF(B155="","",L155*M155)</f>
        <v/>
      </c>
      <c r="O155" s="117" t="str">
        <f>IF(B155="","",IF(B155="Básico",F155,0)-IF(A155=$C$38,$C$30,0))</f>
        <v/>
      </c>
      <c r="P155" s="130">
        <f>IF(B155="",$C$31,D155)</f>
        <v>46301.0</v>
      </c>
      <c r="Q155" s="117">
        <f>IF(B155="",0,L155)</f>
        <v>0</v>
      </c>
      <c r="R155" s="117">
        <f>IF(B155="",0,-F155)</f>
        <v>0</v>
      </c>
      <c r="S155" s="117" t="str">
        <f>IF(B155="","",O155*M155)</f>
        <v/>
      </c>
    </row>
    <row r="156">
      <c r="A156" s="53" t="n">
        <v>97</v>
      </c>
      <c r="B156" s="53" t="str">
        <f>IF(A156&gt;$C$38,"",IF(A156&lt;=$C$5,"Básico",IF($C$6&gt;0,"Sucesivo","Opción de compra")))</f>
        <v/>
      </c>
      <c r="C156" s="53" t="str">
        <f>IF(B156="","",IF(B156="Opción de compra",$C$5,A156-$C$7))</f>
        <v/>
      </c>
      <c r="D156" s="130" t="str">
        <f>IF(B156="","",EDATE($C$33,C156))</f>
        <v/>
      </c>
      <c r="E156" s="117" t="str">
        <f>IF(B156="","",I155)</f>
        <v/>
      </c>
      <c r="F156" s="117" t="str">
        <f>IF(B156="","",IF(B156="Básico",$C$24,IF(B156="Sucesivo",$C$25,$C$26)))</f>
        <v/>
      </c>
      <c r="G156" s="117" t="str">
        <f>IF(B156="","",IF(B156="Opción de compra",0,(E156-$C$7*F156)*IF(B156="Sucesivo",$C$11,$C$9)))</f>
        <v/>
      </c>
      <c r="H156" s="117" t="str">
        <f>IF(B156="","",F156-G156)</f>
        <v/>
      </c>
      <c r="I156" s="117" t="str">
        <f>IF(B156="","",E156-H156)</f>
        <v/>
      </c>
      <c r="J156" s="117" t="str">
        <f>IF(B156="","",IF(OR(inp_Tipo="Arrendamiento Puro",par_BaseIVAFin="Sobre renta",B156="Opción de compra"),F156,G156)*$C$14)</f>
        <v/>
      </c>
      <c r="K156" s="117" t="str">
        <f>IF(B156="","",F156+J156)</f>
        <v/>
      </c>
      <c r="L156" s="117" t="str">
        <f>IF(B156="","",F156-IF(A156=$C$38,$C$30,0))</f>
        <v/>
      </c>
      <c r="M156" s="131" t="str">
        <f>IF(B156="","",$C$37*(1+$C$13)^(-C156))</f>
        <v/>
      </c>
      <c r="N156" s="117" t="str">
        <f>IF(B156="","",L156*M156)</f>
        <v/>
      </c>
      <c r="O156" s="117" t="str">
        <f>IF(B156="","",IF(B156="Básico",F156,0)-IF(A156=$C$38,$C$30,0))</f>
        <v/>
      </c>
      <c r="P156" s="130">
        <f>IF(B156="",$C$31,D156)</f>
        <v>46301.0</v>
      </c>
      <c r="Q156" s="117">
        <f>IF(B156="",0,L156)</f>
        <v>0</v>
      </c>
      <c r="R156" s="117">
        <f>IF(B156="",0,-F156)</f>
        <v>0</v>
      </c>
      <c r="S156" s="117" t="str">
        <f>IF(B156="","",O156*M156)</f>
        <v/>
      </c>
    </row>
    <row r="157">
      <c r="A157" s="53" t="n">
        <v>98</v>
      </c>
      <c r="B157" s="53" t="str">
        <f>IF(A157&gt;$C$38,"",IF(A157&lt;=$C$5,"Básico",IF($C$6&gt;0,"Sucesivo","Opción de compra")))</f>
        <v/>
      </c>
      <c r="C157" s="53" t="str">
        <f>IF(B157="","",IF(B157="Opción de compra",$C$5,A157-$C$7))</f>
        <v/>
      </c>
      <c r="D157" s="130" t="str">
        <f>IF(B157="","",EDATE($C$33,C157))</f>
        <v/>
      </c>
      <c r="E157" s="117" t="str">
        <f>IF(B157="","",I156)</f>
        <v/>
      </c>
      <c r="F157" s="117" t="str">
        <f>IF(B157="","",IF(B157="Básico",$C$24,IF(B157="Sucesivo",$C$25,$C$26)))</f>
        <v/>
      </c>
      <c r="G157" s="117" t="str">
        <f>IF(B157="","",IF(B157="Opción de compra",0,(E157-$C$7*F157)*IF(B157="Sucesivo",$C$11,$C$9)))</f>
        <v/>
      </c>
      <c r="H157" s="117" t="str">
        <f>IF(B157="","",F157-G157)</f>
        <v/>
      </c>
      <c r="I157" s="117" t="str">
        <f>IF(B157="","",E157-H157)</f>
        <v/>
      </c>
      <c r="J157" s="117" t="str">
        <f>IF(B157="","",IF(OR(inp_Tipo="Arrendamiento Puro",par_BaseIVAFin="Sobre renta",B157="Opción de compra"),F157,G157)*$C$14)</f>
        <v/>
      </c>
      <c r="K157" s="117" t="str">
        <f>IF(B157="","",F157+J157)</f>
        <v/>
      </c>
      <c r="L157" s="117" t="str">
        <f>IF(B157="","",F157-IF(A157=$C$38,$C$30,0))</f>
        <v/>
      </c>
      <c r="M157" s="131" t="str">
        <f>IF(B157="","",$C$37*(1+$C$13)^(-C157))</f>
        <v/>
      </c>
      <c r="N157" s="117" t="str">
        <f>IF(B157="","",L157*M157)</f>
        <v/>
      </c>
      <c r="O157" s="117" t="str">
        <f>IF(B157="","",IF(B157="Básico",F157,0)-IF(A157=$C$38,$C$30,0))</f>
        <v/>
      </c>
      <c r="P157" s="130">
        <f>IF(B157="",$C$31,D157)</f>
        <v>46301.0</v>
      </c>
      <c r="Q157" s="117">
        <f>IF(B157="",0,L157)</f>
        <v>0</v>
      </c>
      <c r="R157" s="117">
        <f>IF(B157="",0,-F157)</f>
        <v>0</v>
      </c>
      <c r="S157" s="117" t="str">
        <f>IF(B157="","",O157*M157)</f>
        <v/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 password="D3B7"/>
  <mergeCells count="27">
    <mergeCell ref="E26:H26"/>
    <mergeCell ref="E16:H16"/>
    <mergeCell ref="E7:H7"/>
    <mergeCell ref="E25:H25"/>
    <mergeCell ref="E22:H22"/>
    <mergeCell ref="E18:H18"/>
    <mergeCell ref="E12:H12"/>
    <mergeCell ref="E21:H21"/>
    <mergeCell ref="E24:H24"/>
    <mergeCell ref="E5:H5"/>
    <mergeCell ref="E14:H14"/>
    <mergeCell ref="E17:H17"/>
    <mergeCell ref="E23:H23"/>
    <mergeCell ref="E8:H8"/>
    <mergeCell ref="E4:H4"/>
    <mergeCell ref="E20:H20"/>
    <mergeCell ref="E29:H29"/>
    <mergeCell ref="E19:H19"/>
    <mergeCell ref="E10:H10"/>
    <mergeCell ref="E28:H28"/>
    <mergeCell ref="E34:I40"/>
    <mergeCell ref="E13:H13"/>
    <mergeCell ref="E9:H9"/>
    <mergeCell ref="E6:H6"/>
    <mergeCell ref="E15:H15"/>
    <mergeCell ref="E11:H11"/>
    <mergeCell ref="E27:H27"/>
  </mergeCells>
  <conditionalFormatting sqref="A60:S157">
    <cfRule type="expression" priority="1" dxfId="8">
      <formula>$B60="Sucesivo"</formula>
    </cfRule>
    <cfRule type="expression" priority="2" dxfId="8">
      <formula>$B60="Opción de compra"</formula>
    </cfRule>
  </conditionalFormatting>
  <pageMargins left="0.75" right="0.75" top="1" bottom="1" header="0.5" footer="0.5"/>
  <pageSetup orientation="landscape" fitToHeight="0" fitToWidth="1"/>
</worksheet>
</file>

<file path=xl/worksheets/sheet12.xml><?xml version="1.0" encoding="utf-8"?>
<worksheet xmlns="http://schemas.openxmlformats.org/spreadsheetml/2006/main">
  <sheetPr codeName="Hoja12">
    <tabColor rgb="00808080"/>
    <outlinePr summaryBelow="1" summaryRight="1"/>
    <pageSetUpPr fitToPage="1"/>
  </sheetPr>
  <dimension ref="A1:S157"/>
  <sheetViews>
    <sheetView showGridLines="0" workbookViewId="0">
      <pane xSplit="2" ySplit="58" topLeftCell="C5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7" customWidth="1" min="1" max="1"/>
    <col width="44" customWidth="1" min="2" max="2"/>
    <col width="7" customWidth="1" min="3" max="3"/>
    <col width="12" customWidth="1" min="4" max="4"/>
    <col width="16" customWidth="1" min="5" max="5"/>
    <col width="15" customWidth="1" min="6" max="6"/>
    <col width="14" customWidth="1" min="7" max="7"/>
    <col width="15" customWidth="1" min="8" max="8"/>
    <col width="16" customWidth="1" min="9" max="9"/>
    <col width="13" customWidth="1" min="10" max="10"/>
    <col width="16" customWidth="1" min="11" max="11"/>
    <col width="16" customWidth="1" min="12" max="12"/>
    <col width="11" customWidth="1" min="13" max="13"/>
    <col width="16" customWidth="1" min="14" max="14"/>
    <col width="16" customWidth="1" min="15" max="15"/>
    <col width="12" customWidth="1" min="16" max="16"/>
    <col width="16" customWidth="1" min="17" max="17"/>
    <col width="16" customWidth="1" min="18" max="18"/>
    <col width="16" customWidth="1" min="19" max="19"/>
  </cols>
  <sheetData>
    <row r="1">
      <c r="A1" s="108" t="str">
        <f>"CORRIDA FINANCIERA – PLAZO "&amp;$C$5&amp;" MESES (escenario "&amp;$C$3&amp;")"</f>
        <v>CORRIDA FINANCIERA – PLAZO 36 MESES (escenario 3)</v>
      </c>
    </row>
    <row r="2">
      <c r="A2" s="109" t="inlineStr">
        <is>
          <t>Hoja de cálculo interna (protegida). Todos los datos vienen de la hoja Cotizador.</t>
        </is>
      </c>
    </row>
    <row r="3">
      <c r="B3" s="53" t="inlineStr">
        <is>
          <t>Escenario</t>
        </is>
      </c>
      <c r="C3" s="119" t="n">
        <v>3</v>
      </c>
      <c r="E3" s="120" t="inlineStr">
        <is>
          <t>RESULTADOS DEL ESCENARIO</t>
        </is>
      </c>
      <c r="F3" s="120" t="n"/>
      <c r="G3" s="120" t="n"/>
      <c r="H3" s="120" t="n"/>
      <c r="I3" s="120" t="n"/>
    </row>
    <row r="4">
      <c r="B4" s="53" t="inlineStr">
        <is>
          <t>Incluido en la carta</t>
        </is>
      </c>
      <c r="C4" s="30" t="str">
        <f>INDEX(esc_Incluir,$C$3)</f>
        <v>Sí</v>
      </c>
      <c r="E4" s="53" t="inlineStr">
        <is>
          <t>Cash margin C/R ($) = VP al fondeo de todos los flujos</t>
        </is>
      </c>
      <c r="I4" s="91">
        <f>C41+SUM(N60:N157)</f>
        <v>45894.8515162206</v>
      </c>
    </row>
    <row r="5">
      <c r="B5" s="53" t="inlineStr">
        <is>
          <t>Plazo básico (n, meses)</t>
        </is>
      </c>
      <c r="C5" s="121">
        <f>INDEX(esc_Plazo,$C$3)</f>
        <v>36</v>
      </c>
      <c r="E5" s="53" t="inlineStr">
        <is>
          <t>Cash margin C/R (% del monto financiado)</t>
        </is>
      </c>
      <c r="I5" s="92">
        <f>IFERROR(I4/C19,0)</f>
        <v>0.0672348598621759</v>
      </c>
    </row>
    <row r="6">
      <c r="B6" s="53" t="inlineStr">
        <is>
          <t>Plazo sucesivo (m, meses)</t>
        </is>
      </c>
      <c r="C6" s="121">
        <f>INDEX(esc_Sucesivo,$C$3)</f>
        <v>0</v>
      </c>
      <c r="E6" s="53" t="inlineStr">
        <is>
          <t>Cash margin S/R ($) = sin pago final / residual</t>
        </is>
      </c>
      <c r="I6" s="32">
        <f>C41+SUM(S60:S157)</f>
        <v>-15932.8152201646</v>
      </c>
    </row>
    <row r="7">
      <c r="B7" s="53" t="inlineStr">
        <is>
          <t>Tipo de pago (1 = anticipado, 0 = vencido)</t>
        </is>
      </c>
      <c r="C7" s="121">
        <f>IF(inp_Modalidad="Anticipado",1,0)</f>
        <v>0</v>
      </c>
      <c r="E7" s="53" t="inlineStr">
        <is>
          <t>Cash margin S/R (%)</t>
        </is>
      </c>
      <c r="I7" s="122">
        <f>IFERROR(I6/C19,0)</f>
        <v>-0.0233411932525613</v>
      </c>
    </row>
    <row r="8">
      <c r="B8" s="53" t="inlineStr">
        <is>
          <t>Tasa anual plazo básico</t>
        </is>
      </c>
      <c r="C8" s="123">
        <f>IF(inp_ModoTasa="TIIE + margen",inp_TIIE+INDEX(esc_Margen,$C$3),INDEX(esc_Tasa,$C$3))</f>
        <v>0.236</v>
      </c>
      <c r="E8" s="53" t="inlineStr">
        <is>
          <t>TIR anual efectiva del arrendador (XIRR)</t>
        </is>
      </c>
      <c r="I8" s="92">
        <f>IFERROR(XIRR(Q59:Q157,P59:P157),"n/d")</f>
        <v>0.280160008243102</v>
      </c>
    </row>
    <row r="9">
      <c r="B9" s="53" t="inlineStr">
        <is>
          <t>Tasa mensual plazo básico (i)</t>
        </is>
      </c>
      <c r="C9" s="123">
        <f>C8/12</f>
        <v>0.0196666666666667</v>
      </c>
      <c r="E9" s="53" t="inlineStr">
        <is>
          <t>TIR nominal anual (capitalizable mensual)</t>
        </is>
      </c>
      <c r="I9" s="122">
        <f>IFERROR(12*((1+I8)^(1/12)-1),"n/d")</f>
        <v>0.249544339228362</v>
      </c>
    </row>
    <row r="10">
      <c r="B10" s="53" t="inlineStr">
        <is>
          <t>Tasa anual plazo sucesivo</t>
        </is>
      </c>
      <c r="C10" s="123">
        <f>IF(inp_ModoTasa="TIIE + margen",C8,INDEX(esc_TasaSuc,$C$3))</f>
        <v>0.236</v>
      </c>
      <c r="E10" s="53" t="inlineStr">
        <is>
          <t>CAT informativo sin IVA (flujos del cliente)</t>
        </is>
      </c>
      <c r="I10" s="122">
        <f>IFERROR(XIRR(R59:R157,P59:P157),"n/d")</f>
        <v>0.280160008243102</v>
      </c>
    </row>
    <row r="11">
      <c r="B11" s="53" t="inlineStr">
        <is>
          <t>Tasa mensual plazo sucesivo (i2)</t>
        </is>
      </c>
      <c r="C11" s="123">
        <f>C10/12</f>
        <v>0.0196666666666667</v>
      </c>
      <c r="E11" s="53" t="inlineStr">
        <is>
          <t>Σ factores de descuento de rentas básicas</t>
        </is>
      </c>
      <c r="I11" s="124">
        <f>SUMIF(B60:B157,"Básico",M60:M157)</f>
        <v>26.7245081743362</v>
      </c>
    </row>
    <row r="12">
      <c r="B12" s="53" t="inlineStr">
        <is>
          <t>Tasa de fondeo anual</t>
        </is>
      </c>
      <c r="C12" s="123">
        <f>inp_Fondeo</f>
        <v>0.205</v>
      </c>
      <c r="E12" s="53" t="inlineStr">
        <is>
          <t>Factor de descuento del último pago</t>
        </is>
      </c>
      <c r="I12" s="124">
        <f>IFERROR(INDEX(M60:M157,C38),0)</f>
        <v>0.543456318688424</v>
      </c>
    </row>
    <row r="13">
      <c r="B13" s="53" t="inlineStr">
        <is>
          <t>Tasa de fondeo mensual (f)</t>
        </is>
      </c>
      <c r="C13" s="123">
        <f>C12/12</f>
        <v>0.0170833333333333</v>
      </c>
      <c r="E13" s="53" t="inlineStr">
        <is>
          <t>Sensibilidad del CM a la renta (∂CM/∂R)</t>
        </is>
      </c>
      <c r="I13" s="124">
        <f>I11+C29*(1+C14)*(1-I12)+C34/30</f>
        <v>26.7245081743362</v>
      </c>
    </row>
    <row r="14">
      <c r="B14" s="53" t="inlineStr">
        <is>
          <t>Tasa de IVA</t>
        </is>
      </c>
      <c r="C14" s="122">
        <f>par_IVA</f>
        <v>0.16</v>
      </c>
      <c r="E14" s="53" t="inlineStr">
        <is>
          <t>Renta mínima para el CM objetivo (neto de comisión)</t>
        </is>
      </c>
      <c r="I14" s="32">
        <f>IFERROR((C45*C19+C44-(I4-C24*I13))/I13,0)</f>
        <v>24250.4568853385</v>
      </c>
    </row>
    <row r="15">
      <c r="B15" s="53" t="inlineStr">
        <is>
          <t>Valor del equipo sin IVA (V)</t>
        </is>
      </c>
      <c r="C15" s="32">
        <f>inp_Valor</f>
        <v>758450</v>
      </c>
      <c r="E15" s="53" t="inlineStr">
        <is>
          <t>Tasa anual mínima para el CM objetivo</t>
        </is>
      </c>
      <c r="I15" s="122">
        <f>IFERROR(RATE(C5,I14,-C19,C21,C7)*12,"n/d")</f>
        <v>0.231286877046168</v>
      </c>
    </row>
    <row r="16">
      <c r="B16" s="53" t="inlineStr">
        <is>
          <t>Enganche</t>
        </is>
      </c>
      <c r="C16" s="32">
        <f>C15*INDEX(esc_Enganche,$C$3)</f>
        <v>75845</v>
      </c>
      <c r="E16" s="53" t="inlineStr">
        <is>
          <t>Saldo final de la tabla (debe ser 0)</t>
        </is>
      </c>
      <c r="I16" s="32">
        <f>IFERROR(INDEX(I60:I157,C38),0)</f>
        <v>4.07453626394272e-10</v>
      </c>
    </row>
    <row r="17">
      <c r="B17" s="53" t="inlineStr">
        <is>
          <t>Seguro financiado</t>
        </is>
      </c>
      <c r="C17" s="32">
        <f>IF(INDEX(esc_SeguroForma,$C$3)="Financiado",INDEX(esc_Seguro,$C$3),0)</f>
        <v>0</v>
      </c>
      <c r="E17" s="53" t="inlineStr">
        <is>
          <t>Pago inicial: base sin IVA (anticipo+comisión+renta prop.+contado+gastos)</t>
        </is>
      </c>
      <c r="I17" s="32">
        <f>C16+C28+C35+C43+I29</f>
        <v>89497.1</v>
      </c>
    </row>
    <row r="18">
      <c r="B18" s="53" t="inlineStr">
        <is>
          <t>GPS financiado</t>
        </is>
      </c>
      <c r="C18" s="32">
        <f>IF(INDEX(esc_GPSForma,$C$3)="Financiado",INDEX(esc_GPS,$C$3),0)</f>
        <v>0</v>
      </c>
      <c r="E18" s="53" t="inlineStr">
        <is>
          <t>Pago inicial: IVA</t>
        </is>
      </c>
      <c r="I18" s="32">
        <f>I17*C14</f>
        <v>14319.536</v>
      </c>
    </row>
    <row r="19">
      <c r="B19" s="53" t="inlineStr">
        <is>
          <t>Monto a financiar (M = V − anticipo + financiados)</t>
        </is>
      </c>
      <c r="C19" s="91">
        <f>C15-C16+C17+C18+C42</f>
        <v>682605</v>
      </c>
      <c r="E19" s="53" t="inlineStr">
        <is>
          <t>Pago inicial: depósito en garantía</t>
        </is>
      </c>
      <c r="I19" s="32">
        <f>C30</f>
        <v>0</v>
      </c>
    </row>
    <row r="20">
      <c r="B20" s="53" t="inlineStr">
        <is>
          <t>Valor residual (% del valor)</t>
        </is>
      </c>
      <c r="C20" s="122">
        <f>INDEX(esc_Residual,$C$3)</f>
        <v>0.15</v>
      </c>
      <c r="E20" s="53" t="inlineStr">
        <is>
          <t>PAGO INICIAL TOTAL (con IVA)</t>
        </is>
      </c>
      <c r="I20" s="91">
        <f>I17+I18+I19</f>
        <v>103816.636</v>
      </c>
    </row>
    <row r="21">
      <c r="B21" s="53" t="inlineStr">
        <is>
          <t>Valor residual (VR)</t>
        </is>
      </c>
      <c r="C21" s="32">
        <f>C15*C20</f>
        <v>113767.5</v>
      </c>
      <c r="E21" s="53" t="inlineStr">
        <is>
          <t>IVA de la primera renta</t>
        </is>
      </c>
      <c r="I21" s="32">
        <f>IFERROR(J60,0)</f>
        <v>3909.6402778746</v>
      </c>
    </row>
    <row r="22">
      <c r="B22" s="53" t="inlineStr">
        <is>
          <t>Pago final (% del valor)</t>
        </is>
      </c>
      <c r="C22" s="122">
        <f>IF(INDEX(esc_PagoFinal,$C$3)="",C20,INDEX(esc_PagoFinal,$C$3))</f>
        <v>0.15</v>
      </c>
      <c r="E22" s="53" t="inlineStr">
        <is>
          <t>Total de pagos con IVA (rentas + pago final)</t>
        </is>
      </c>
      <c r="I22" s="32">
        <f>SUM(K60:K157)</f>
        <v>1152386.41252527</v>
      </c>
    </row>
    <row r="23">
      <c r="B23" s="53" t="inlineStr">
        <is>
          <t>Pago final ($)</t>
        </is>
      </c>
      <c r="C23" s="32">
        <f>C15*C22</f>
        <v>113767.5</v>
      </c>
      <c r="E23" s="53" t="inlineStr">
        <is>
          <t>Spread (tasa cliente − tasa fondeo)</t>
        </is>
      </c>
      <c r="I23" s="122">
        <f>C8-C12</f>
        <v>0.031</v>
      </c>
    </row>
    <row r="24">
      <c r="B24" s="53" t="inlineStr">
        <is>
          <t>RENTA BÁSICA  R = PMT(i, n, −M, VR, tipo)</t>
        </is>
      </c>
      <c r="C24" s="91">
        <f>PMT(C9,C5,-C19,C21,C7)</f>
        <v>24435.2517367162</v>
      </c>
      <c r="E24" s="53" t="inlineStr">
        <is>
          <t>Tasa anual aplicada</t>
        </is>
      </c>
      <c r="I24" s="122">
        <f>C8</f>
        <v>0.236</v>
      </c>
    </row>
    <row r="25">
      <c r="B25" s="53" t="inlineStr">
        <is>
          <t>Renta plazo sucesivo  Rs = PMT(i2, m, −PF, 0, tipo)</t>
        </is>
      </c>
      <c r="C25" s="32">
        <f>IF(C6&gt;0,PMT(C11,C6,-C23,0,C7),0)</f>
        <v>0</v>
      </c>
      <c r="E25" s="53" t="inlineStr">
        <is>
          <t>Cash margin neto de comisión del promotor ($)</t>
        </is>
      </c>
      <c r="I25" s="32">
        <f>I4-C44</f>
        <v>45894.8515162206</v>
      </c>
    </row>
    <row r="26">
      <c r="B26" s="53" t="inlineStr">
        <is>
          <t>Opción de compra (si m = 0)</t>
        </is>
      </c>
      <c r="C26" s="32">
        <f>IF(C6=0,C23,0)</f>
        <v>113767.5</v>
      </c>
      <c r="E26" s="53" t="inlineStr">
        <is>
          <t>Cash margin neto (% del monto financiado)</t>
        </is>
      </c>
      <c r="I26" s="122">
        <f>IFERROR(I25/C19,0)</f>
        <v>0.0672348598621759</v>
      </c>
    </row>
    <row r="27">
      <c r="B27" s="53" t="inlineStr">
        <is>
          <t>Comisión por apertura (%)</t>
        </is>
      </c>
      <c r="C27" s="122">
        <f>INDEX(esc_Comision,$C$3)</f>
        <v>0.02</v>
      </c>
      <c r="E27" s="53" t="inlineStr">
        <is>
          <t>Dictamen vs. rate card</t>
        </is>
      </c>
      <c r="I27" s="30" t="str">
        <f>IF(AND(I26&gt;=C45,N(I8)&gt;=C46),"CUMPLE",IF(I26&gt;=C45,"CM OK / TIR BAJA","NO CUMPLE"))</f>
        <v>CUMPLE</v>
      </c>
    </row>
    <row r="28">
      <c r="B28" s="53" t="inlineStr">
        <is>
          <t>Comisión por apertura ($, sobre el monto financiado)</t>
        </is>
      </c>
      <c r="C28" s="32">
        <f>C19*C27</f>
        <v>13652.1</v>
      </c>
      <c r="E28" s="53" t="inlineStr">
        <is>
          <t>Margen mínimo sobre TIIE (si la tasa mínima aplica)</t>
        </is>
      </c>
      <c r="I28" s="122">
        <f>IFERROR(I15-inp_TIIE,"n/d")</f>
        <v>0.145286877046168</v>
      </c>
    </row>
    <row r="29">
      <c r="B29" s="53" t="inlineStr">
        <is>
          <t>Depósito en garantía (# rentas con IVA)</t>
        </is>
      </c>
      <c r="C29" s="125">
        <f>INDEX(esc_Deposito,$C$3)</f>
        <v>0</v>
      </c>
      <c r="E29" s="53" t="inlineStr">
        <is>
          <t>Seguro, GPS y otros de contado (sin IVA)</t>
        </is>
      </c>
      <c r="I29" s="32">
        <f>IF(INDEX(esc_SeguroForma,$C$3)="Contado",INDEX(esc_Seguro,$C$3),0)+IF(INDEX(esc_GPSForma,$C$3)="Contado",INDEX(esc_GPS,$C$3),0)+IF(INDEX(esc_OtrosForma,$C$3)="Contado",INDEX(esc_Otros,$C$3),0)</f>
        <v>0</v>
      </c>
    </row>
    <row r="30">
      <c r="B30" s="53" t="inlineStr">
        <is>
          <t>Depósito en garantía ($ = rentas + % del total financiado)</t>
        </is>
      </c>
      <c r="C30" s="32">
        <f>C29*C24*(1+C14)+INDEX(esc_DepPct,$C$3)*C19*(1+C14)</f>
        <v>0</v>
      </c>
    </row>
    <row r="31">
      <c r="B31" s="53" t="inlineStr">
        <is>
          <t>Fecha de firma / desembolso</t>
        </is>
      </c>
      <c r="C31" s="126">
        <f>inp_FechaFirma</f>
        <v>46301.0</v>
      </c>
    </row>
    <row r="32">
      <c r="B32" s="53" t="inlineStr">
        <is>
          <t>Fecha de la primera renta</t>
        </is>
      </c>
      <c r="C32" s="126">
        <f>inp_FechaPrimera</f>
        <v>46332.0</v>
      </c>
    </row>
    <row r="33">
      <c r="B33" s="53" t="inlineStr">
        <is>
          <t>Inicio del plazo (t = 0)</t>
        </is>
      </c>
      <c r="C33" s="126">
        <f>IF(C7=1,C32,EDATE(C32,-1))</f>
        <v>46301.0</v>
      </c>
    </row>
    <row r="34">
      <c r="B34" s="53" t="inlineStr">
        <is>
          <t>Días entre firma e inicio del plazo</t>
        </is>
      </c>
      <c r="C34" s="121">
        <f>MAX(0,C33-C31)</f>
        <v>0</v>
      </c>
      <c r="E34" s="127" t="inlineStr">
        <is>
          <t>Método: CM = flujo en firma + Σ flujo_t × (1+fa/base)^(−días) × (1+f)^(−t). Como el CM es lineal en la renta, la renta mínima se despeja en forma cerrada y la tasa mínima se obtiene con RATE. La tabla usa interés = (saldo − tipo × pago) × i, de modo que el saldo al término del plazo básico es exactamente el valor residual.</t>
        </is>
      </c>
    </row>
    <row r="35">
      <c r="B35" s="53" t="inlineStr">
        <is>
          <t>Renta proporcional (R/30 × días)</t>
        </is>
      </c>
      <c r="C35" s="32">
        <f>C24/30*C34</f>
        <v>0</v>
      </c>
    </row>
    <row r="36">
      <c r="B36" s="53" t="inlineStr">
        <is>
          <t>Comisión banco / alianza</t>
        </is>
      </c>
      <c r="C36" s="32">
        <f>inp_ComBanco</f>
        <v>0</v>
      </c>
    </row>
    <row r="37">
      <c r="B37" s="53" t="inlineStr">
        <is>
          <t>Factor de fondeo por días  (1+fa/base)^(−días)</t>
        </is>
      </c>
      <c r="C37" s="124">
        <f>(1+C12/par_BaseDias)^(-C34)</f>
        <v>1</v>
      </c>
    </row>
    <row r="38">
      <c r="B38" s="53" t="inlineStr">
        <is>
          <t>Número de pagos en la tabla</t>
        </is>
      </c>
      <c r="C38" s="121">
        <f>C5+IF(C6&gt;0,C6,IF(C23&gt;0,1,0))</f>
        <v>37</v>
      </c>
    </row>
    <row r="39">
      <c r="B39" s="53" t="inlineStr">
        <is>
          <t>Desembolso del arrendador en la firma</t>
        </is>
      </c>
      <c r="C39" s="32">
        <f>-(C15-inp_Descuento/(1+inp_IVAEquipo)+C17+C18+C42)</f>
        <v>-758450</v>
      </c>
    </row>
    <row r="40">
      <c r="B40" s="53" t="inlineStr">
        <is>
          <t>Cobros en la firma (anticipo+comisión+renta prop.+depósito+gastos−com. banco)</t>
        </is>
      </c>
      <c r="C40" s="32">
        <f>C16+C28+C35+C30-C36+C43</f>
        <v>89497.1</v>
      </c>
    </row>
    <row r="41">
      <c r="B41" s="53" t="inlineStr">
        <is>
          <t>Flujo neto del arrendador en la firma</t>
        </is>
      </c>
      <c r="C41" s="32">
        <f>C39+C40</f>
        <v>-668952.9</v>
      </c>
    </row>
    <row r="42">
      <c r="B42" s="53" t="inlineStr">
        <is>
          <t>Mantenimiento / garantía / otros financiados</t>
        </is>
      </c>
      <c r="C42" s="32">
        <f>IF(INDEX(esc_OtrosForma,$C$3)="Financiado",INDEX(esc_Otros,$C$3),0)</f>
        <v>0</v>
      </c>
    </row>
    <row r="43">
      <c r="B43" s="53" t="inlineStr">
        <is>
          <t>Gastos de investigación / validación</t>
        </is>
      </c>
      <c r="C43" s="32">
        <f>inp_GastosInv</f>
        <v>0</v>
      </c>
    </row>
    <row r="44">
      <c r="B44" s="53" t="inlineStr">
        <is>
          <t>Comisión del promotor ($)</t>
        </is>
      </c>
      <c r="C44" s="32">
        <f>inp_ComProm*C19</f>
        <v>0</v>
      </c>
    </row>
    <row r="45">
      <c r="B45" s="53" t="inlineStr">
        <is>
          <t>Cash margin objetivo (manual o rate card)</t>
        </is>
      </c>
      <c r="C45" s="122">
        <f>IF(inp_CMobj="",INDEX(rc_CM,IFERROR(MATCH(inp_Tier,rc_Tiers,0),5),IFERROR(MATCH(C5,rc_Plazos,1),1)),inp_CMobj)</f>
        <v>0.06</v>
      </c>
    </row>
    <row r="46">
      <c r="B46" s="53" t="inlineStr">
        <is>
          <t>TIR mínima (rate card)</t>
        </is>
      </c>
      <c r="C46" s="122">
        <f>INDEX(rc_TIR,IFERROR(MATCH(inp_Tier,rc_Tiers,0),5))</f>
        <v>0.24</v>
      </c>
    </row>
    <row r="47">
      <c r="B47" s="53" t="inlineStr">
        <is>
          <t>Residual máximo (rate card)</t>
        </is>
      </c>
      <c r="C47" s="122">
        <f>INDEX(rc_ResMax,1,IFERROR(MATCH(C5,rc_Plazos,1),1))</f>
        <v>0.35</v>
      </c>
    </row>
    <row r="48">
      <c r="B48" s="53" t="inlineStr">
        <is>
          <t>Renta: parte del equipo  PMT(i, n, −(V−anticipo), VR, tipo)</t>
        </is>
      </c>
      <c r="C48" s="32">
        <f>PMT(C9,C5,-(C15-C16),C21,C7)</f>
        <v>24435.2517367162</v>
      </c>
    </row>
    <row r="49">
      <c r="B49" s="53" t="inlineStr">
        <is>
          <t>Renta: parte del seguro financiado</t>
        </is>
      </c>
      <c r="C49" s="32">
        <f>PMT(C9,C5,-C17,0,C7)</f>
        <v>0</v>
      </c>
    </row>
    <row r="50">
      <c r="B50" s="53" t="inlineStr">
        <is>
          <t>Renta: parte de otros gastos financiados</t>
        </is>
      </c>
      <c r="C50" s="32">
        <f>PMT(C9,C5,-C42,0,C7)</f>
        <v>0</v>
      </c>
    </row>
    <row r="51">
      <c r="B51" s="53" t="inlineStr">
        <is>
          <t>Deducibilidad estimada de la renta (ISR)</t>
        </is>
      </c>
      <c r="C51" s="122">
        <f>IF(inp_TipoActivo="Automóvil",MIN(1,par_LimAuto*30/C24),IF(inp_TipoActivo="Automóvil eléctrico / híbrido",MIN(1,par_LimAutoEV*30/C24),1))</f>
        <v>0.349904314149251</v>
      </c>
    </row>
    <row r="52">
      <c r="B52" s="53" t="inlineStr">
        <is>
          <t>Fecha del último pago</t>
        </is>
      </c>
      <c r="C52" s="126">
        <f>IFERROR(INDEX(D60:D157,C38),"")</f>
        <v>47397.0</v>
      </c>
    </row>
    <row r="53">
      <c r="B53" s="53" t="inlineStr">
        <is>
          <t>Renta: parte del GPS financiado</t>
        </is>
      </c>
      <c r="C53" s="32">
        <f>PMT(C9,C5,-C18,0,C7)</f>
        <v>0</v>
      </c>
    </row>
    <row r="58" ht="30" customHeight="1">
      <c r="A58" s="111" t="inlineStr">
        <is>
          <t>#</t>
        </is>
      </c>
      <c r="B58" s="111" t="inlineStr">
        <is>
          <t>Concepto</t>
        </is>
      </c>
      <c r="C58" s="111" t="inlineStr">
        <is>
          <t>t</t>
        </is>
      </c>
      <c r="D58" s="111" t="inlineStr">
        <is>
          <t>Fecha</t>
        </is>
      </c>
      <c r="E58" s="111" t="inlineStr">
        <is>
          <t>Saldo inicial</t>
        </is>
      </c>
      <c r="F58" s="111" t="inlineStr">
        <is>
          <t>Pago s/IVA</t>
        </is>
      </c>
      <c r="G58" s="111" t="inlineStr">
        <is>
          <t>Interés</t>
        </is>
      </c>
      <c r="H58" s="111" t="inlineStr">
        <is>
          <t>Capital</t>
        </is>
      </c>
      <c r="I58" s="111" t="inlineStr">
        <is>
          <t>Saldo final</t>
        </is>
      </c>
      <c r="J58" s="111" t="inlineStr">
        <is>
          <t>IVA</t>
        </is>
      </c>
      <c r="K58" s="111" t="inlineStr">
        <is>
          <t>Total c/IVA</t>
        </is>
      </c>
      <c r="L58" s="111" t="inlineStr">
        <is>
          <t>Flujo arrendador</t>
        </is>
      </c>
      <c r="M58" s="111" t="inlineStr">
        <is>
          <t>Factor desc.</t>
        </is>
      </c>
      <c r="N58" s="111" t="inlineStr">
        <is>
          <t>VP flujo</t>
        </is>
      </c>
      <c r="O58" s="111" t="inlineStr">
        <is>
          <t>Flujo S/R</t>
        </is>
      </c>
      <c r="P58" s="111" t="inlineStr">
        <is>
          <t>Fecha (XIRR)</t>
        </is>
      </c>
      <c r="Q58" s="111" t="inlineStr">
        <is>
          <t>Flujo XIRR</t>
        </is>
      </c>
      <c r="R58" s="111" t="inlineStr">
        <is>
          <t>Flujo cliente (CAT)</t>
        </is>
      </c>
      <c r="S58" s="111" t="inlineStr">
        <is>
          <t>VP flujo S/R</t>
        </is>
      </c>
    </row>
    <row r="59">
      <c r="A59" s="128" t="n">
        <v>0</v>
      </c>
      <c r="B59" s="128" t="inlineStr">
        <is>
          <t>Firma / desembolso</t>
        </is>
      </c>
      <c r="C59" s="128" t="n">
        <v>0</v>
      </c>
      <c r="D59" s="128">
        <f>C31</f>
        <v>46301.0</v>
      </c>
      <c r="E59" s="129" t="n"/>
      <c r="F59" s="129" t="n"/>
      <c r="G59" s="129" t="n"/>
      <c r="H59" s="129" t="n"/>
      <c r="I59" s="129" t="n"/>
      <c r="J59" s="129" t="n"/>
      <c r="K59" s="129" t="n"/>
      <c r="L59" s="128">
        <f>C41</f>
        <v>-668952.9</v>
      </c>
      <c r="M59" s="129" t="n"/>
      <c r="N59" s="129" t="n"/>
      <c r="O59" s="129" t="n"/>
      <c r="P59" s="128">
        <f>C31</f>
        <v>46301.0</v>
      </c>
      <c r="Q59" s="128">
        <f>C41</f>
        <v>-668952.9</v>
      </c>
      <c r="R59" s="128">
        <f>C19-C28-C35-C43</f>
        <v>668952.9</v>
      </c>
      <c r="S59" s="129" t="n"/>
    </row>
    <row r="60">
      <c r="A60" s="53" t="n">
        <v>1</v>
      </c>
      <c r="B60" s="53" t="str">
        <f>IF(A60&gt;$C$38,"",IF(A60&lt;=$C$5,"Básico",IF($C$6&gt;0,"Sucesivo","Opción de compra")))</f>
        <v>Básico</v>
      </c>
      <c r="C60" s="53">
        <f>IF(B60="","",IF(B60="Opción de compra",$C$5,A60-$C$7))</f>
        <v>1</v>
      </c>
      <c r="D60" s="130">
        <f>IF(B60="","",EDATE($C$33,C60))</f>
        <v>46332.0</v>
      </c>
      <c r="E60" s="117">
        <f>IF(B60="","",$C$19)</f>
        <v>682605</v>
      </c>
      <c r="F60" s="117">
        <f>IF(B60="","",IF(B60="Básico",$C$24,IF(B60="Sucesivo",$C$25,$C$26)))</f>
        <v>24435.2517367162</v>
      </c>
      <c r="G60" s="117">
        <f>IF(B60="","",IF(B60="Opción de compra",0,(E60-$C$7*F60)*IF(B60="Sucesivo",$C$11,$C$9)))</f>
        <v>13424.565</v>
      </c>
      <c r="H60" s="117">
        <f>IF(B60="","",F60-G60)</f>
        <v>11010.6867367162</v>
      </c>
      <c r="I60" s="117">
        <f>IF(B60="","",E60-H60)</f>
        <v>671594.313263284</v>
      </c>
      <c r="J60" s="117">
        <f>IF(B60="","",IF(OR(inp_Tipo="Arrendamiento Puro",par_BaseIVAFin="Sobre renta",B60="Opción de compra"),F60,G60)*$C$14)</f>
        <v>3909.6402778746</v>
      </c>
      <c r="K60" s="117">
        <f>IF(B60="","",F60+J60)</f>
        <v>28344.8920145908</v>
      </c>
      <c r="L60" s="117">
        <f>IF(B60="","",F60-IF(A60=$C$38,$C$30,0))</f>
        <v>24435.2517367162</v>
      </c>
      <c r="M60" s="131">
        <f>IF(B60="","",$C$37*(1+$C$13)^(-C60))</f>
        <v>0.983203605079885</v>
      </c>
      <c r="N60" s="117">
        <f>IF(B60="","",L60*M60)</f>
        <v>24024.8275985739</v>
      </c>
      <c r="O60" s="117">
        <f>IF(B60="","",IF(B60="Básico",F60,0)-IF(A60=$C$38,$C$30,0))</f>
        <v>24435.2517367162</v>
      </c>
      <c r="P60" s="130">
        <f>IF(B60="",$C$31,D60)</f>
        <v>46332.0</v>
      </c>
      <c r="Q60" s="117">
        <f>IF(B60="",0,L60)</f>
        <v>24435.2517367162</v>
      </c>
      <c r="R60" s="117">
        <f>IF(B60="",0,-F60)</f>
        <v>-24435.2517367162</v>
      </c>
      <c r="S60" s="117">
        <f>IF(B60="","",O60*M60)</f>
        <v>24024.8275985739</v>
      </c>
    </row>
    <row r="61">
      <c r="A61" s="53" t="n">
        <v>2</v>
      </c>
      <c r="B61" s="53" t="str">
        <f>IF(A61&gt;$C$38,"",IF(A61&lt;=$C$5,"Básico",IF($C$6&gt;0,"Sucesivo","Opción de compra")))</f>
        <v>Básico</v>
      </c>
      <c r="C61" s="53">
        <f>IF(B61="","",IF(B61="Opción de compra",$C$5,A61-$C$7))</f>
        <v>2</v>
      </c>
      <c r="D61" s="130">
        <f>IF(B61="","",EDATE($C$33,C61))</f>
        <v>46362.0</v>
      </c>
      <c r="E61" s="117">
        <f>IF(B61="","",I60)</f>
        <v>671594.313263284</v>
      </c>
      <c r="F61" s="117">
        <f>IF(B61="","",IF(B61="Básico",$C$24,IF(B61="Sucesivo",$C$25,$C$26)))</f>
        <v>24435.2517367162</v>
      </c>
      <c r="G61" s="117">
        <f>IF(B61="","",IF(B61="Opción de compra",0,(E61-$C$7*F61)*IF(B61="Sucesivo",$C$11,$C$9)))</f>
        <v>13208.0214941779</v>
      </c>
      <c r="H61" s="117">
        <f>IF(B61="","",F61-G61)</f>
        <v>11227.2302425383</v>
      </c>
      <c r="I61" s="117">
        <f>IF(B61="","",E61-H61)</f>
        <v>660367.083020745</v>
      </c>
      <c r="J61" s="117">
        <f>IF(B61="","",IF(OR(inp_Tipo="Arrendamiento Puro",par_BaseIVAFin="Sobre renta",B61="Opción de compra"),F61,G61)*$C$14)</f>
        <v>3909.6402778746</v>
      </c>
      <c r="K61" s="117">
        <f>IF(B61="","",F61+J61)</f>
        <v>28344.8920145908</v>
      </c>
      <c r="L61" s="117">
        <f>IF(B61="","",F61-IF(A61=$C$38,$C$30,0))</f>
        <v>24435.2517367162</v>
      </c>
      <c r="M61" s="131">
        <f>IF(B61="","",$C$37*(1+$C$13)^(-C61))</f>
        <v>0.966689329042083</v>
      </c>
      <c r="N61" s="117">
        <f>IF(B61="","",L61*M61)</f>
        <v>23621.2971063406</v>
      </c>
      <c r="O61" s="117">
        <f>IF(B61="","",IF(B61="Básico",F61,0)-IF(A61=$C$38,$C$30,0))</f>
        <v>24435.2517367162</v>
      </c>
      <c r="P61" s="130">
        <f>IF(B61="",$C$31,D61)</f>
        <v>46362.0</v>
      </c>
      <c r="Q61" s="117">
        <f>IF(B61="",0,L61)</f>
        <v>24435.2517367162</v>
      </c>
      <c r="R61" s="117">
        <f>IF(B61="",0,-F61)</f>
        <v>-24435.2517367162</v>
      </c>
      <c r="S61" s="117">
        <f>IF(B61="","",O61*M61)</f>
        <v>23621.2971063406</v>
      </c>
    </row>
    <row r="62">
      <c r="A62" s="53" t="n">
        <v>3</v>
      </c>
      <c r="B62" s="53" t="str">
        <f>IF(A62&gt;$C$38,"",IF(A62&lt;=$C$5,"Básico",IF($C$6&gt;0,"Sucesivo","Opción de compra")))</f>
        <v>Básico</v>
      </c>
      <c r="C62" s="53">
        <f>IF(B62="","",IF(B62="Opción de compra",$C$5,A62-$C$7))</f>
        <v>3</v>
      </c>
      <c r="D62" s="130">
        <f>IF(B62="","",EDATE($C$33,C62))</f>
        <v>46393.0</v>
      </c>
      <c r="E62" s="117">
        <f>IF(B62="","",I61)</f>
        <v>660367.083020745</v>
      </c>
      <c r="F62" s="117">
        <f>IF(B62="","",IF(B62="Básico",$C$24,IF(B62="Sucesivo",$C$25,$C$26)))</f>
        <v>24435.2517367162</v>
      </c>
      <c r="G62" s="117">
        <f>IF(B62="","",IF(B62="Opción de compra",0,(E62-$C$7*F62)*IF(B62="Sucesivo",$C$11,$C$9)))</f>
        <v>12987.219299408</v>
      </c>
      <c r="H62" s="117">
        <f>IF(B62="","",F62-G62)</f>
        <v>11448.0324373083</v>
      </c>
      <c r="I62" s="117">
        <f>IF(B62="","",E62-H62)</f>
        <v>648919.050583437</v>
      </c>
      <c r="J62" s="117">
        <f>IF(B62="","",IF(OR(inp_Tipo="Arrendamiento Puro",par_BaseIVAFin="Sobre renta",B62="Opción de compra"),F62,G62)*$C$14)</f>
        <v>3909.6402778746</v>
      </c>
      <c r="K62" s="117">
        <f>IF(B62="","",F62+J62)</f>
        <v>28344.8920145908</v>
      </c>
      <c r="L62" s="117">
        <f>IF(B62="","",F62-IF(A62=$C$38,$C$30,0))</f>
        <v>24435.2517367162</v>
      </c>
      <c r="M62" s="131">
        <f>IF(B62="","",$C$37*(1+$C$13)^(-C62))</f>
        <v>0.950452433306432</v>
      </c>
      <c r="N62" s="117">
        <f>IF(B62="","",L62*M62)</f>
        <v>23224.5444716172</v>
      </c>
      <c r="O62" s="117">
        <f>IF(B62="","",IF(B62="Básico",F62,0)-IF(A62=$C$38,$C$30,0))</f>
        <v>24435.2517367162</v>
      </c>
      <c r="P62" s="130">
        <f>IF(B62="",$C$31,D62)</f>
        <v>46393.0</v>
      </c>
      <c r="Q62" s="117">
        <f>IF(B62="",0,L62)</f>
        <v>24435.2517367162</v>
      </c>
      <c r="R62" s="117">
        <f>IF(B62="",0,-F62)</f>
        <v>-24435.2517367162</v>
      </c>
      <c r="S62" s="117">
        <f>IF(B62="","",O62*M62)</f>
        <v>23224.5444716172</v>
      </c>
    </row>
    <row r="63">
      <c r="A63" s="53" t="n">
        <v>4</v>
      </c>
      <c r="B63" s="53" t="str">
        <f>IF(A63&gt;$C$38,"",IF(A63&lt;=$C$5,"Básico",IF($C$6&gt;0,"Sucesivo","Opción de compra")))</f>
        <v>Básico</v>
      </c>
      <c r="C63" s="53">
        <f>IF(B63="","",IF(B63="Opción de compra",$C$5,A63-$C$7))</f>
        <v>4</v>
      </c>
      <c r="D63" s="130">
        <f>IF(B63="","",EDATE($C$33,C63))</f>
        <v>46424.0</v>
      </c>
      <c r="E63" s="117">
        <f>IF(B63="","",I62)</f>
        <v>648919.050583437</v>
      </c>
      <c r="F63" s="117">
        <f>IF(B63="","",IF(B63="Básico",$C$24,IF(B63="Sucesivo",$C$25,$C$26)))</f>
        <v>24435.2517367162</v>
      </c>
      <c r="G63" s="117">
        <f>IF(B63="","",IF(B63="Opción de compra",0,(E63-$C$7*F63)*IF(B63="Sucesivo",$C$11,$C$9)))</f>
        <v>12762.0746614743</v>
      </c>
      <c r="H63" s="117">
        <f>IF(B63="","",F63-G63)</f>
        <v>11673.177075242</v>
      </c>
      <c r="I63" s="117">
        <f>IF(B63="","",E63-H63)</f>
        <v>637245.873508195</v>
      </c>
      <c r="J63" s="117">
        <f>IF(B63="","",IF(OR(inp_Tipo="Arrendamiento Puro",par_BaseIVAFin="Sobre renta",B63="Opción de compra"),F63,G63)*$C$14)</f>
        <v>3909.6402778746</v>
      </c>
      <c r="K63" s="117">
        <f>IF(B63="","",F63+J63)</f>
        <v>28344.8920145908</v>
      </c>
      <c r="L63" s="117">
        <f>IF(B63="","",F63-IF(A63=$C$38,$C$30,0))</f>
        <v>24435.2517367162</v>
      </c>
      <c r="M63" s="131">
        <f>IF(B63="","",$C$37*(1+$C$13)^(-C63))</f>
        <v>0.934488258883833</v>
      </c>
      <c r="N63" s="117">
        <f>IF(B63="","",L63*M63)</f>
        <v>22834.4558508321</v>
      </c>
      <c r="O63" s="117">
        <f>IF(B63="","",IF(B63="Básico",F63,0)-IF(A63=$C$38,$C$30,0))</f>
        <v>24435.2517367162</v>
      </c>
      <c r="P63" s="130">
        <f>IF(B63="",$C$31,D63)</f>
        <v>46424.0</v>
      </c>
      <c r="Q63" s="117">
        <f>IF(B63="",0,L63)</f>
        <v>24435.2517367162</v>
      </c>
      <c r="R63" s="117">
        <f>IF(B63="",0,-F63)</f>
        <v>-24435.2517367162</v>
      </c>
      <c r="S63" s="117">
        <f>IF(B63="","",O63*M63)</f>
        <v>22834.4558508321</v>
      </c>
    </row>
    <row r="64">
      <c r="A64" s="53" t="n">
        <v>5</v>
      </c>
      <c r="B64" s="53" t="str">
        <f>IF(A64&gt;$C$38,"",IF(A64&lt;=$C$5,"Básico",IF($C$6&gt;0,"Sucesivo","Opción de compra")))</f>
        <v>Básico</v>
      </c>
      <c r="C64" s="53">
        <f>IF(B64="","",IF(B64="Opción de compra",$C$5,A64-$C$7))</f>
        <v>5</v>
      </c>
      <c r="D64" s="130">
        <f>IF(B64="","",EDATE($C$33,C64))</f>
        <v>46452.0</v>
      </c>
      <c r="E64" s="117">
        <f>IF(B64="","",I63)</f>
        <v>637245.873508195</v>
      </c>
      <c r="F64" s="117">
        <f>IF(B64="","",IF(B64="Básico",$C$24,IF(B64="Sucesivo",$C$25,$C$26)))</f>
        <v>24435.2517367162</v>
      </c>
      <c r="G64" s="117">
        <f>IF(B64="","",IF(B64="Opción de compra",0,(E64-$C$7*F64)*IF(B64="Sucesivo",$C$11,$C$9)))</f>
        <v>12532.5021789945</v>
      </c>
      <c r="H64" s="117">
        <f>IF(B64="","",F64-G64)</f>
        <v>11902.7495577217</v>
      </c>
      <c r="I64" s="117">
        <f>IF(B64="","",E64-H64)</f>
        <v>625343.123950474</v>
      </c>
      <c r="J64" s="117">
        <f>IF(B64="","",IF(OR(inp_Tipo="Arrendamiento Puro",par_BaseIVAFin="Sobre renta",B64="Opción de compra"),F64,G64)*$C$14)</f>
        <v>3909.6402778746</v>
      </c>
      <c r="K64" s="117">
        <f>IF(B64="","",F64+J64)</f>
        <v>28344.8920145908</v>
      </c>
      <c r="L64" s="117">
        <f>IF(B64="","",F64-IF(A64=$C$38,$C$30,0))</f>
        <v>24435.2517367162</v>
      </c>
      <c r="M64" s="131">
        <f>IF(B64="","",$C$37*(1+$C$13)^(-C64))</f>
        <v>0.918792225039409</v>
      </c>
      <c r="N64" s="117">
        <f>IF(B64="","",L64*M64)</f>
        <v>22450.9193125756</v>
      </c>
      <c r="O64" s="117">
        <f>IF(B64="","",IF(B64="Básico",F64,0)-IF(A64=$C$38,$C$30,0))</f>
        <v>24435.2517367162</v>
      </c>
      <c r="P64" s="130">
        <f>IF(B64="",$C$31,D64)</f>
        <v>46452.0</v>
      </c>
      <c r="Q64" s="117">
        <f>IF(B64="",0,L64)</f>
        <v>24435.2517367162</v>
      </c>
      <c r="R64" s="117">
        <f>IF(B64="",0,-F64)</f>
        <v>-24435.2517367162</v>
      </c>
      <c r="S64" s="117">
        <f>IF(B64="","",O64*M64)</f>
        <v>22450.9193125756</v>
      </c>
    </row>
    <row r="65">
      <c r="A65" s="53" t="n">
        <v>6</v>
      </c>
      <c r="B65" s="53" t="str">
        <f>IF(A65&gt;$C$38,"",IF(A65&lt;=$C$5,"Básico",IF($C$6&gt;0,"Sucesivo","Opción de compra")))</f>
        <v>Básico</v>
      </c>
      <c r="C65" s="53">
        <f>IF(B65="","",IF(B65="Opción de compra",$C$5,A65-$C$7))</f>
        <v>6</v>
      </c>
      <c r="D65" s="130">
        <f>IF(B65="","",EDATE($C$33,C65))</f>
        <v>46483.0</v>
      </c>
      <c r="E65" s="117">
        <f>IF(B65="","",I64)</f>
        <v>625343.123950474</v>
      </c>
      <c r="F65" s="117">
        <f>IF(B65="","",IF(B65="Básico",$C$24,IF(B65="Sucesivo",$C$25,$C$26)))</f>
        <v>24435.2517367162</v>
      </c>
      <c r="G65" s="117">
        <f>IF(B65="","",IF(B65="Opción de compra",0,(E65-$C$7*F65)*IF(B65="Sucesivo",$C$11,$C$9)))</f>
        <v>12298.414771026</v>
      </c>
      <c r="H65" s="117">
        <f>IF(B65="","",F65-G65)</f>
        <v>12136.8369656903</v>
      </c>
      <c r="I65" s="117">
        <f>IF(B65="","",E65-H65)</f>
        <v>613206.286984783</v>
      </c>
      <c r="J65" s="117">
        <f>IF(B65="","",IF(OR(inp_Tipo="Arrendamiento Puro",par_BaseIVAFin="Sobre renta",B65="Opción de compra"),F65,G65)*$C$14)</f>
        <v>3909.6402778746</v>
      </c>
      <c r="K65" s="117">
        <f>IF(B65="","",F65+J65)</f>
        <v>28344.8920145908</v>
      </c>
      <c r="L65" s="117">
        <f>IF(B65="","",F65-IF(A65=$C$38,$C$30,0))</f>
        <v>24435.2517367162</v>
      </c>
      <c r="M65" s="131">
        <f>IF(B65="","",$C$37*(1+$C$13)^(-C65))</f>
        <v>0.903359827978117</v>
      </c>
      <c r="N65" s="117">
        <f>IF(B65="","",L65*M65)</f>
        <v>22073.824805482</v>
      </c>
      <c r="O65" s="117">
        <f>IF(B65="","",IF(B65="Básico",F65,0)-IF(A65=$C$38,$C$30,0))</f>
        <v>24435.2517367162</v>
      </c>
      <c r="P65" s="130">
        <f>IF(B65="",$C$31,D65)</f>
        <v>46483.0</v>
      </c>
      <c r="Q65" s="117">
        <f>IF(B65="",0,L65)</f>
        <v>24435.2517367162</v>
      </c>
      <c r="R65" s="117">
        <f>IF(B65="",0,-F65)</f>
        <v>-24435.2517367162</v>
      </c>
      <c r="S65" s="117">
        <f>IF(B65="","",O65*M65)</f>
        <v>22073.824805482</v>
      </c>
    </row>
    <row r="66">
      <c r="A66" s="53" t="n">
        <v>7</v>
      </c>
      <c r="B66" s="53" t="str">
        <f>IF(A66&gt;$C$38,"",IF(A66&lt;=$C$5,"Básico",IF($C$6&gt;0,"Sucesivo","Opción de compra")))</f>
        <v>Básico</v>
      </c>
      <c r="C66" s="53">
        <f>IF(B66="","",IF(B66="Opción de compra",$C$5,A66-$C$7))</f>
        <v>7</v>
      </c>
      <c r="D66" s="130">
        <f>IF(B66="","",EDATE($C$33,C66))</f>
        <v>46513.0</v>
      </c>
      <c r="E66" s="117">
        <f>IF(B66="","",I65)</f>
        <v>613206.286984783</v>
      </c>
      <c r="F66" s="117">
        <f>IF(B66="","",IF(B66="Básico",$C$24,IF(B66="Sucesivo",$C$25,$C$26)))</f>
        <v>24435.2517367162</v>
      </c>
      <c r="G66" s="117">
        <f>IF(B66="","",IF(B66="Opción de compra",0,(E66-$C$7*F66)*IF(B66="Sucesivo",$C$11,$C$9)))</f>
        <v>12059.7236440341</v>
      </c>
      <c r="H66" s="117">
        <f>IF(B66="","",F66-G66)</f>
        <v>12375.5280926822</v>
      </c>
      <c r="I66" s="117">
        <f>IF(B66="","",E66-H66)</f>
        <v>600830.758892101</v>
      </c>
      <c r="J66" s="117">
        <f>IF(B66="","",IF(OR(inp_Tipo="Arrendamiento Puro",par_BaseIVAFin="Sobre renta",B66="Opción de compra"),F66,G66)*$C$14)</f>
        <v>3909.6402778746</v>
      </c>
      <c r="K66" s="117">
        <f>IF(B66="","",F66+J66)</f>
        <v>28344.8920145908</v>
      </c>
      <c r="L66" s="117">
        <f>IF(B66="","",F66-IF(A66=$C$38,$C$30,0))</f>
        <v>24435.2517367162</v>
      </c>
      <c r="M66" s="131">
        <f>IF(B66="","",$C$37*(1+$C$13)^(-C66))</f>
        <v>0.888186639552429</v>
      </c>
      <c r="N66" s="117">
        <f>IF(B66="","",L66*M66)</f>
        <v>21703.0641266517</v>
      </c>
      <c r="O66" s="117">
        <f>IF(B66="","",IF(B66="Básico",F66,0)-IF(A66=$C$38,$C$30,0))</f>
        <v>24435.2517367162</v>
      </c>
      <c r="P66" s="130">
        <f>IF(B66="",$C$31,D66)</f>
        <v>46513.0</v>
      </c>
      <c r="Q66" s="117">
        <f>IF(B66="",0,L66)</f>
        <v>24435.2517367162</v>
      </c>
      <c r="R66" s="117">
        <f>IF(B66="",0,-F66)</f>
        <v>-24435.2517367162</v>
      </c>
      <c r="S66" s="117">
        <f>IF(B66="","",O66*M66)</f>
        <v>21703.0641266517</v>
      </c>
    </row>
    <row r="67">
      <c r="A67" s="53" t="n">
        <v>8</v>
      </c>
      <c r="B67" s="53" t="str">
        <f>IF(A67&gt;$C$38,"",IF(A67&lt;=$C$5,"Básico",IF($C$6&gt;0,"Sucesivo","Opción de compra")))</f>
        <v>Básico</v>
      </c>
      <c r="C67" s="53">
        <f>IF(B67="","",IF(B67="Opción de compra",$C$5,A67-$C$7))</f>
        <v>8</v>
      </c>
      <c r="D67" s="130">
        <f>IF(B67="","",EDATE($C$33,C67))</f>
        <v>46544.0</v>
      </c>
      <c r="E67" s="117">
        <f>IF(B67="","",I66)</f>
        <v>600830.758892101</v>
      </c>
      <c r="F67" s="117">
        <f>IF(B67="","",IF(B67="Básico",$C$24,IF(B67="Sucesivo",$C$25,$C$26)))</f>
        <v>24435.2517367162</v>
      </c>
      <c r="G67" s="117">
        <f>IF(B67="","",IF(B67="Opción de compra",0,(E67-$C$7*F67)*IF(B67="Sucesivo",$C$11,$C$9)))</f>
        <v>11816.3382582113</v>
      </c>
      <c r="H67" s="117">
        <f>IF(B67="","",F67-G67)</f>
        <v>12618.9134785049</v>
      </c>
      <c r="I67" s="117">
        <f>IF(B67="","",E67-H67)</f>
        <v>588211.845413596</v>
      </c>
      <c r="J67" s="117">
        <f>IF(B67="","",IF(OR(inp_Tipo="Arrendamiento Puro",par_BaseIVAFin="Sobre renta",B67="Opción de compra"),F67,G67)*$C$14)</f>
        <v>3909.6402778746</v>
      </c>
      <c r="K67" s="117">
        <f>IF(B67="","",F67+J67)</f>
        <v>28344.8920145908</v>
      </c>
      <c r="L67" s="117">
        <f>IF(B67="","",F67-IF(A67=$C$38,$C$30,0))</f>
        <v>24435.2517367162</v>
      </c>
      <c r="M67" s="131">
        <f>IF(B67="","",$C$37*(1+$C$13)^(-C67))</f>
        <v>0.873268305991737</v>
      </c>
      <c r="N67" s="117">
        <f>IF(B67="","",L67*M67)</f>
        <v>21338.5308906038</v>
      </c>
      <c r="O67" s="117">
        <f>IF(B67="","",IF(B67="Básico",F67,0)-IF(A67=$C$38,$C$30,0))</f>
        <v>24435.2517367162</v>
      </c>
      <c r="P67" s="130">
        <f>IF(B67="",$C$31,D67)</f>
        <v>46544.0</v>
      </c>
      <c r="Q67" s="117">
        <f>IF(B67="",0,L67)</f>
        <v>24435.2517367162</v>
      </c>
      <c r="R67" s="117">
        <f>IF(B67="",0,-F67)</f>
        <v>-24435.2517367162</v>
      </c>
      <c r="S67" s="117">
        <f>IF(B67="","",O67*M67)</f>
        <v>21338.5308906038</v>
      </c>
    </row>
    <row r="68">
      <c r="A68" s="53" t="n">
        <v>9</v>
      </c>
      <c r="B68" s="53" t="str">
        <f>IF(A68&gt;$C$38,"",IF(A68&lt;=$C$5,"Básico",IF($C$6&gt;0,"Sucesivo","Opción de compra")))</f>
        <v>Básico</v>
      </c>
      <c r="C68" s="53">
        <f>IF(B68="","",IF(B68="Opción de compra",$C$5,A68-$C$7))</f>
        <v>9</v>
      </c>
      <c r="D68" s="130">
        <f>IF(B68="","",EDATE($C$33,C68))</f>
        <v>46574.0</v>
      </c>
      <c r="E68" s="117">
        <f>IF(B68="","",I67)</f>
        <v>588211.845413596</v>
      </c>
      <c r="F68" s="117">
        <f>IF(B68="","",IF(B68="Básico",$C$24,IF(B68="Sucesivo",$C$25,$C$26)))</f>
        <v>24435.2517367162</v>
      </c>
      <c r="G68" s="117">
        <f>IF(B68="","",IF(B68="Opción de compra",0,(E68-$C$7*F68)*IF(B68="Sucesivo",$C$11,$C$9)))</f>
        <v>11568.1662931341</v>
      </c>
      <c r="H68" s="117">
        <f>IF(B68="","",F68-G68)</f>
        <v>12867.0854435822</v>
      </c>
      <c r="I68" s="117">
        <f>IF(B68="","",E68-H68)</f>
        <v>575344.759970014</v>
      </c>
      <c r="J68" s="117">
        <f>IF(B68="","",IF(OR(inp_Tipo="Arrendamiento Puro",par_BaseIVAFin="Sobre renta",B68="Opción de compra"),F68,G68)*$C$14)</f>
        <v>3909.6402778746</v>
      </c>
      <c r="K68" s="117">
        <f>IF(B68="","",F68+J68)</f>
        <v>28344.8920145908</v>
      </c>
      <c r="L68" s="117">
        <f>IF(B68="","",F68-IF(A68=$C$38,$C$30,0))</f>
        <v>24435.2517367162</v>
      </c>
      <c r="M68" s="131">
        <f>IF(B68="","",$C$37*(1+$C$13)^(-C68))</f>
        <v>0.85860054665308</v>
      </c>
      <c r="N68" s="117">
        <f>IF(B68="","",L68*M68)</f>
        <v>20980.1204987502</v>
      </c>
      <c r="O68" s="117">
        <f>IF(B68="","",IF(B68="Básico",F68,0)-IF(A68=$C$38,$C$30,0))</f>
        <v>24435.2517367162</v>
      </c>
      <c r="P68" s="130">
        <f>IF(B68="",$C$31,D68)</f>
        <v>46574.0</v>
      </c>
      <c r="Q68" s="117">
        <f>IF(B68="",0,L68)</f>
        <v>24435.2517367162</v>
      </c>
      <c r="R68" s="117">
        <f>IF(B68="",0,-F68)</f>
        <v>-24435.2517367162</v>
      </c>
      <c r="S68" s="117">
        <f>IF(B68="","",O68*M68)</f>
        <v>20980.1204987502</v>
      </c>
    </row>
    <row r="69">
      <c r="A69" s="53" t="n">
        <v>10</v>
      </c>
      <c r="B69" s="53" t="str">
        <f>IF(A69&gt;$C$38,"",IF(A69&lt;=$C$5,"Básico",IF($C$6&gt;0,"Sucesivo","Opción de compra")))</f>
        <v>Básico</v>
      </c>
      <c r="C69" s="53">
        <f>IF(B69="","",IF(B69="Opción de compra",$C$5,A69-$C$7))</f>
        <v>10</v>
      </c>
      <c r="D69" s="130">
        <f>IF(B69="","",EDATE($C$33,C69))</f>
        <v>46605.0</v>
      </c>
      <c r="E69" s="117">
        <f>IF(B69="","",I68)</f>
        <v>575344.759970014</v>
      </c>
      <c r="F69" s="117">
        <f>IF(B69="","",IF(B69="Básico",$C$24,IF(B69="Sucesivo",$C$25,$C$26)))</f>
        <v>24435.2517367162</v>
      </c>
      <c r="G69" s="117">
        <f>IF(B69="","",IF(B69="Opción de compra",0,(E69-$C$7*F69)*IF(B69="Sucesivo",$C$11,$C$9)))</f>
        <v>11315.1136127436</v>
      </c>
      <c r="H69" s="117">
        <f>IF(B69="","",F69-G69)</f>
        <v>13120.1381239726</v>
      </c>
      <c r="I69" s="117">
        <f>IF(B69="","",E69-H69)</f>
        <v>562224.621846041</v>
      </c>
      <c r="J69" s="117">
        <f>IF(B69="","",IF(OR(inp_Tipo="Arrendamiento Puro",par_BaseIVAFin="Sobre renta",B69="Opción de compra"),F69,G69)*$C$14)</f>
        <v>3909.6402778746</v>
      </c>
      <c r="K69" s="117">
        <f>IF(B69="","",F69+J69)</f>
        <v>28344.8920145908</v>
      </c>
      <c r="L69" s="117">
        <f>IF(B69="","",F69-IF(A69=$C$38,$C$30,0))</f>
        <v>24435.2517367162</v>
      </c>
      <c r="M69" s="131">
        <f>IF(B69="","",$C$37*(1+$C$13)^(-C69))</f>
        <v>0.844179152792869</v>
      </c>
      <c r="N69" s="117">
        <f>IF(B69="","",L69*M69)</f>
        <v>20627.7301093816</v>
      </c>
      <c r="O69" s="117">
        <f>IF(B69="","",IF(B69="Básico",F69,0)-IF(A69=$C$38,$C$30,0))</f>
        <v>24435.2517367162</v>
      </c>
      <c r="P69" s="130">
        <f>IF(B69="",$C$31,D69)</f>
        <v>46605.0</v>
      </c>
      <c r="Q69" s="117">
        <f>IF(B69="",0,L69)</f>
        <v>24435.2517367162</v>
      </c>
      <c r="R69" s="117">
        <f>IF(B69="",0,-F69)</f>
        <v>-24435.2517367162</v>
      </c>
      <c r="S69" s="117">
        <f>IF(B69="","",O69*M69)</f>
        <v>20627.7301093816</v>
      </c>
    </row>
    <row r="70">
      <c r="A70" s="53" t="n">
        <v>11</v>
      </c>
      <c r="B70" s="53" t="str">
        <f>IF(A70&gt;$C$38,"",IF(A70&lt;=$C$5,"Básico",IF($C$6&gt;0,"Sucesivo","Opción de compra")))</f>
        <v>Básico</v>
      </c>
      <c r="C70" s="53">
        <f>IF(B70="","",IF(B70="Opción de compra",$C$5,A70-$C$7))</f>
        <v>11</v>
      </c>
      <c r="D70" s="130">
        <f>IF(B70="","",EDATE($C$33,C70))</f>
        <v>46636.0</v>
      </c>
      <c r="E70" s="117">
        <f>IF(B70="","",I69)</f>
        <v>562224.621846041</v>
      </c>
      <c r="F70" s="117">
        <f>IF(B70="","",IF(B70="Básico",$C$24,IF(B70="Sucesivo",$C$25,$C$26)))</f>
        <v>24435.2517367162</v>
      </c>
      <c r="G70" s="117">
        <f>IF(B70="","",IF(B70="Opción de compra",0,(E70-$C$7*F70)*IF(B70="Sucesivo",$C$11,$C$9)))</f>
        <v>11057.0842296388</v>
      </c>
      <c r="H70" s="117">
        <f>IF(B70="","",F70-G70)</f>
        <v>13378.1675070774</v>
      </c>
      <c r="I70" s="117">
        <f>IF(B70="","",E70-H70)</f>
        <v>548846.454338964</v>
      </c>
      <c r="J70" s="117">
        <f>IF(B70="","",IF(OR(inp_Tipo="Arrendamiento Puro",par_BaseIVAFin="Sobre renta",B70="Opción de compra"),F70,G70)*$C$14)</f>
        <v>3909.6402778746</v>
      </c>
      <c r="K70" s="117">
        <f>IF(B70="","",F70+J70)</f>
        <v>28344.8920145908</v>
      </c>
      <c r="L70" s="117">
        <f>IF(B70="","",F70-IF(A70=$C$38,$C$30,0))</f>
        <v>24435.2517367162</v>
      </c>
      <c r="M70" s="131">
        <f>IF(B70="","",$C$37*(1+$C$13)^(-C70))</f>
        <v>0.829999986359232</v>
      </c>
      <c r="N70" s="117">
        <f>IF(B70="","",L70*M70)</f>
        <v>20281.2586081589</v>
      </c>
      <c r="O70" s="117">
        <f>IF(B70="","",IF(B70="Básico",F70,0)-IF(A70=$C$38,$C$30,0))</f>
        <v>24435.2517367162</v>
      </c>
      <c r="P70" s="130">
        <f>IF(B70="",$C$31,D70)</f>
        <v>46636.0</v>
      </c>
      <c r="Q70" s="117">
        <f>IF(B70="",0,L70)</f>
        <v>24435.2517367162</v>
      </c>
      <c r="R70" s="117">
        <f>IF(B70="",0,-F70)</f>
        <v>-24435.2517367162</v>
      </c>
      <c r="S70" s="117">
        <f>IF(B70="","",O70*M70)</f>
        <v>20281.2586081589</v>
      </c>
    </row>
    <row r="71">
      <c r="A71" s="53" t="n">
        <v>12</v>
      </c>
      <c r="B71" s="53" t="str">
        <f>IF(A71&gt;$C$38,"",IF(A71&lt;=$C$5,"Básico",IF($C$6&gt;0,"Sucesivo","Opción de compra")))</f>
        <v>Básico</v>
      </c>
      <c r="C71" s="53">
        <f>IF(B71="","",IF(B71="Opción de compra",$C$5,A71-$C$7))</f>
        <v>12</v>
      </c>
      <c r="D71" s="130">
        <f>IF(B71="","",EDATE($C$33,C71))</f>
        <v>46666.0</v>
      </c>
      <c r="E71" s="117">
        <f>IF(B71="","",I70)</f>
        <v>548846.454338964</v>
      </c>
      <c r="F71" s="117">
        <f>IF(B71="","",IF(B71="Básico",$C$24,IF(B71="Sucesivo",$C$25,$C$26)))</f>
        <v>24435.2517367162</v>
      </c>
      <c r="G71" s="117">
        <f>IF(B71="","",IF(B71="Opción de compra",0,(E71-$C$7*F71)*IF(B71="Sucesivo",$C$11,$C$9)))</f>
        <v>10793.9802686663</v>
      </c>
      <c r="H71" s="117">
        <f>IF(B71="","",F71-G71)</f>
        <v>13641.27146805</v>
      </c>
      <c r="I71" s="117">
        <f>IF(B71="","",E71-H71)</f>
        <v>535205.182870914</v>
      </c>
      <c r="J71" s="117">
        <f>IF(B71="","",IF(OR(inp_Tipo="Arrendamiento Puro",par_BaseIVAFin="Sobre renta",B71="Opción de compra"),F71,G71)*$C$14)</f>
        <v>3909.6402778746</v>
      </c>
      <c r="K71" s="117">
        <f>IF(B71="","",F71+J71)</f>
        <v>28344.8920145908</v>
      </c>
      <c r="L71" s="117">
        <f>IF(B71="","",F71-IF(A71=$C$38,$C$30,0))</f>
        <v>24435.2517367162</v>
      </c>
      <c r="M71" s="131">
        <f>IF(B71="","",$C$37*(1+$C$13)^(-C71))</f>
        <v>0.816058978804652</v>
      </c>
      <c r="N71" s="117">
        <f>IF(B71="","",L71*M71)</f>
        <v>19940.6065790993</v>
      </c>
      <c r="O71" s="117">
        <f>IF(B71="","",IF(B71="Básico",F71,0)-IF(A71=$C$38,$C$30,0))</f>
        <v>24435.2517367162</v>
      </c>
      <c r="P71" s="130">
        <f>IF(B71="",$C$31,D71)</f>
        <v>46666.0</v>
      </c>
      <c r="Q71" s="117">
        <f>IF(B71="",0,L71)</f>
        <v>24435.2517367162</v>
      </c>
      <c r="R71" s="117">
        <f>IF(B71="",0,-F71)</f>
        <v>-24435.2517367162</v>
      </c>
      <c r="S71" s="117">
        <f>IF(B71="","",O71*M71)</f>
        <v>19940.6065790993</v>
      </c>
    </row>
    <row r="72">
      <c r="A72" s="53" t="n">
        <v>13</v>
      </c>
      <c r="B72" s="53" t="str">
        <f>IF(A72&gt;$C$38,"",IF(A72&lt;=$C$5,"Básico",IF($C$6&gt;0,"Sucesivo","Opción de compra")))</f>
        <v>Básico</v>
      </c>
      <c r="C72" s="53">
        <f>IF(B72="","",IF(B72="Opción de compra",$C$5,A72-$C$7))</f>
        <v>13</v>
      </c>
      <c r="D72" s="130">
        <f>IF(B72="","",EDATE($C$33,C72))</f>
        <v>46697.0</v>
      </c>
      <c r="E72" s="117">
        <f>IF(B72="","",I71)</f>
        <v>535205.182870914</v>
      </c>
      <c r="F72" s="117">
        <f>IF(B72="","",IF(B72="Básico",$C$24,IF(B72="Sucesivo",$C$25,$C$26)))</f>
        <v>24435.2517367162</v>
      </c>
      <c r="G72" s="117">
        <f>IF(B72="","",IF(B72="Opción de compra",0,(E72-$C$7*F72)*IF(B72="Sucesivo",$C$11,$C$9)))</f>
        <v>10525.7019297946</v>
      </c>
      <c r="H72" s="117">
        <f>IF(B72="","",F72-G72)</f>
        <v>13909.5498069216</v>
      </c>
      <c r="I72" s="117">
        <f>IF(B72="","",E72-H72)</f>
        <v>521295.633063992</v>
      </c>
      <c r="J72" s="117">
        <f>IF(B72="","",IF(OR(inp_Tipo="Arrendamiento Puro",par_BaseIVAFin="Sobre renta",B72="Opción de compra"),F72,G72)*$C$14)</f>
        <v>3909.6402778746</v>
      </c>
      <c r="K72" s="117">
        <f>IF(B72="","",F72+J72)</f>
        <v>28344.8920145908</v>
      </c>
      <c r="L72" s="117">
        <f>IF(B72="","",F72-IF(A72=$C$38,$C$30,0))</f>
        <v>24435.2517367162</v>
      </c>
      <c r="M72" s="131">
        <f>IF(B72="","",$C$37*(1+$C$13)^(-C72))</f>
        <v>0.802352129918544</v>
      </c>
      <c r="N72" s="117">
        <f>IF(B72="","",L72*M72)</f>
        <v>19605.6762760501</v>
      </c>
      <c r="O72" s="117">
        <f>IF(B72="","",IF(B72="Básico",F72,0)-IF(A72=$C$38,$C$30,0))</f>
        <v>24435.2517367162</v>
      </c>
      <c r="P72" s="130">
        <f>IF(B72="",$C$31,D72)</f>
        <v>46697.0</v>
      </c>
      <c r="Q72" s="117">
        <f>IF(B72="",0,L72)</f>
        <v>24435.2517367162</v>
      </c>
      <c r="R72" s="117">
        <f>IF(B72="",0,-F72)</f>
        <v>-24435.2517367162</v>
      </c>
      <c r="S72" s="117">
        <f>IF(B72="","",O72*M72)</f>
        <v>19605.6762760501</v>
      </c>
    </row>
    <row r="73">
      <c r="A73" s="53" t="n">
        <v>14</v>
      </c>
      <c r="B73" s="53" t="str">
        <f>IF(A73&gt;$C$38,"",IF(A73&lt;=$C$5,"Básico",IF($C$6&gt;0,"Sucesivo","Opción de compra")))</f>
        <v>Básico</v>
      </c>
      <c r="C73" s="53">
        <f>IF(B73="","",IF(B73="Opción de compra",$C$5,A73-$C$7))</f>
        <v>14</v>
      </c>
      <c r="D73" s="130">
        <f>IF(B73="","",EDATE($C$33,C73))</f>
        <v>46727.0</v>
      </c>
      <c r="E73" s="117">
        <f>IF(B73="","",I72)</f>
        <v>521295.633063992</v>
      </c>
      <c r="F73" s="117">
        <f>IF(B73="","",IF(B73="Básico",$C$24,IF(B73="Sucesivo",$C$25,$C$26)))</f>
        <v>24435.2517367162</v>
      </c>
      <c r="G73" s="117">
        <f>IF(B73="","",IF(B73="Opción de compra",0,(E73-$C$7*F73)*IF(B73="Sucesivo",$C$11,$C$9)))</f>
        <v>10252.1474502585</v>
      </c>
      <c r="H73" s="117">
        <f>IF(B73="","",F73-G73)</f>
        <v>14183.1042864577</v>
      </c>
      <c r="I73" s="117">
        <f>IF(B73="","",E73-H73)</f>
        <v>507112.528777535</v>
      </c>
      <c r="J73" s="117">
        <f>IF(B73="","",IF(OR(inp_Tipo="Arrendamiento Puro",par_BaseIVAFin="Sobre renta",B73="Opción de compra"),F73,G73)*$C$14)</f>
        <v>3909.6402778746</v>
      </c>
      <c r="K73" s="117">
        <f>IF(B73="","",F73+J73)</f>
        <v>28344.8920145908</v>
      </c>
      <c r="L73" s="117">
        <f>IF(B73="","",F73-IF(A73=$C$38,$C$30,0))</f>
        <v>24435.2517367162</v>
      </c>
      <c r="M73" s="131">
        <f>IF(B73="","",$C$37*(1+$C$13)^(-C73))</f>
        <v>0.788875506679437</v>
      </c>
      <c r="N73" s="117">
        <f>IF(B73="","",L73*M73)</f>
        <v>19276.3715946416</v>
      </c>
      <c r="O73" s="117">
        <f>IF(B73="","",IF(B73="Básico",F73,0)-IF(A73=$C$38,$C$30,0))</f>
        <v>24435.2517367162</v>
      </c>
      <c r="P73" s="130">
        <f>IF(B73="",$C$31,D73)</f>
        <v>46727.0</v>
      </c>
      <c r="Q73" s="117">
        <f>IF(B73="",0,L73)</f>
        <v>24435.2517367162</v>
      </c>
      <c r="R73" s="117">
        <f>IF(B73="",0,-F73)</f>
        <v>-24435.2517367162</v>
      </c>
      <c r="S73" s="117">
        <f>IF(B73="","",O73*M73)</f>
        <v>19276.3715946416</v>
      </c>
    </row>
    <row r="74">
      <c r="A74" s="53" t="n">
        <v>15</v>
      </c>
      <c r="B74" s="53" t="str">
        <f>IF(A74&gt;$C$38,"",IF(A74&lt;=$C$5,"Básico",IF($C$6&gt;0,"Sucesivo","Opción de compra")))</f>
        <v>Básico</v>
      </c>
      <c r="C74" s="53">
        <f>IF(B74="","",IF(B74="Opción de compra",$C$5,A74-$C$7))</f>
        <v>15</v>
      </c>
      <c r="D74" s="130">
        <f>IF(B74="","",EDATE($C$33,C74))</f>
        <v>46758.0</v>
      </c>
      <c r="E74" s="117">
        <f>IF(B74="","",I73)</f>
        <v>507112.528777535</v>
      </c>
      <c r="F74" s="117">
        <f>IF(B74="","",IF(B74="Básico",$C$24,IF(B74="Sucesivo",$C$25,$C$26)))</f>
        <v>24435.2517367162</v>
      </c>
      <c r="G74" s="117">
        <f>IF(B74="","",IF(B74="Opción de compra",0,(E74-$C$7*F74)*IF(B74="Sucesivo",$C$11,$C$9)))</f>
        <v>9973.21306595818</v>
      </c>
      <c r="H74" s="117">
        <f>IF(B74="","",F74-G74)</f>
        <v>14462.0386707581</v>
      </c>
      <c r="I74" s="117">
        <f>IF(B74="","",E74-H74)</f>
        <v>492650.490106777</v>
      </c>
      <c r="J74" s="117">
        <f>IF(B74="","",IF(OR(inp_Tipo="Arrendamiento Puro",par_BaseIVAFin="Sobre renta",B74="Opción de compra"),F74,G74)*$C$14)</f>
        <v>3909.6402778746</v>
      </c>
      <c r="K74" s="117">
        <f>IF(B74="","",F74+J74)</f>
        <v>28344.8920145908</v>
      </c>
      <c r="L74" s="117">
        <f>IF(B74="","",F74-IF(A74=$C$38,$C$30,0))</f>
        <v>24435.2517367162</v>
      </c>
      <c r="M74" s="131">
        <f>IF(B74="","",$C$37*(1+$C$13)^(-C74))</f>
        <v>0.775625242126444</v>
      </c>
      <c r="N74" s="117">
        <f>IF(B74="","",L74*M74)</f>
        <v>18952.5980447111</v>
      </c>
      <c r="O74" s="117">
        <f>IF(B74="","",IF(B74="Básico",F74,0)-IF(A74=$C$38,$C$30,0))</f>
        <v>24435.2517367162</v>
      </c>
      <c r="P74" s="130">
        <f>IF(B74="",$C$31,D74)</f>
        <v>46758.0</v>
      </c>
      <c r="Q74" s="117">
        <f>IF(B74="",0,L74)</f>
        <v>24435.2517367162</v>
      </c>
      <c r="R74" s="117">
        <f>IF(B74="",0,-F74)</f>
        <v>-24435.2517367162</v>
      </c>
      <c r="S74" s="117">
        <f>IF(B74="","",O74*M74)</f>
        <v>18952.5980447111</v>
      </c>
    </row>
    <row r="75">
      <c r="A75" s="53" t="n">
        <v>16</v>
      </c>
      <c r="B75" s="53" t="str">
        <f>IF(A75&gt;$C$38,"",IF(A75&lt;=$C$5,"Básico",IF($C$6&gt;0,"Sucesivo","Opción de compra")))</f>
        <v>Básico</v>
      </c>
      <c r="C75" s="53">
        <f>IF(B75="","",IF(B75="Opción de compra",$C$5,A75-$C$7))</f>
        <v>16</v>
      </c>
      <c r="D75" s="130">
        <f>IF(B75="","",EDATE($C$33,C75))</f>
        <v>46789.0</v>
      </c>
      <c r="E75" s="117">
        <f>IF(B75="","",I74)</f>
        <v>492650.490106777</v>
      </c>
      <c r="F75" s="117">
        <f>IF(B75="","",IF(B75="Básico",$C$24,IF(B75="Sucesivo",$C$25,$C$26)))</f>
        <v>24435.2517367162</v>
      </c>
      <c r="G75" s="117">
        <f>IF(B75="","",IF(B75="Opción de compra",0,(E75-$C$7*F75)*IF(B75="Sucesivo",$C$11,$C$9)))</f>
        <v>9688.79297209994</v>
      </c>
      <c r="H75" s="117">
        <f>IF(B75="","",F75-G75)</f>
        <v>14746.4587646163</v>
      </c>
      <c r="I75" s="117">
        <f>IF(B75="","",E75-H75)</f>
        <v>477904.03134216</v>
      </c>
      <c r="J75" s="117">
        <f>IF(B75="","",IF(OR(inp_Tipo="Arrendamiento Puro",par_BaseIVAFin="Sobre renta",B75="Opción de compra"),F75,G75)*$C$14)</f>
        <v>3909.6402778746</v>
      </c>
      <c r="K75" s="117">
        <f>IF(B75="","",F75+J75)</f>
        <v>28344.8920145908</v>
      </c>
      <c r="L75" s="117">
        <f>IF(B75="","",F75-IF(A75=$C$38,$C$30,0))</f>
        <v>24435.2517367162</v>
      </c>
      <c r="M75" s="131">
        <f>IF(B75="","",$C$37*(1+$C$13)^(-C75))</f>
        <v>0.762597534249678</v>
      </c>
      <c r="N75" s="117">
        <f>IF(B75="","",L75*M75)</f>
        <v>18634.26272319</v>
      </c>
      <c r="O75" s="117">
        <f>IF(B75="","",IF(B75="Básico",F75,0)-IF(A75=$C$38,$C$30,0))</f>
        <v>24435.2517367162</v>
      </c>
      <c r="P75" s="130">
        <f>IF(B75="",$C$31,D75)</f>
        <v>46789.0</v>
      </c>
      <c r="Q75" s="117">
        <f>IF(B75="",0,L75)</f>
        <v>24435.2517367162</v>
      </c>
      <c r="R75" s="117">
        <f>IF(B75="",0,-F75)</f>
        <v>-24435.2517367162</v>
      </c>
      <c r="S75" s="117">
        <f>IF(B75="","",O75*M75)</f>
        <v>18634.26272319</v>
      </c>
    </row>
    <row r="76">
      <c r="A76" s="53" t="n">
        <v>17</v>
      </c>
      <c r="B76" s="53" t="str">
        <f>IF(A76&gt;$C$38,"",IF(A76&lt;=$C$5,"Básico",IF($C$6&gt;0,"Sucesivo","Opción de compra")))</f>
        <v>Básico</v>
      </c>
      <c r="C76" s="53">
        <f>IF(B76="","",IF(B76="Opción de compra",$C$5,A76-$C$7))</f>
        <v>17</v>
      </c>
      <c r="D76" s="130">
        <f>IF(B76="","",EDATE($C$33,C76))</f>
        <v>46818.0</v>
      </c>
      <c r="E76" s="117">
        <f>IF(B76="","",I75)</f>
        <v>477904.03134216</v>
      </c>
      <c r="F76" s="117">
        <f>IF(B76="","",IF(B76="Básico",$C$24,IF(B76="Sucesivo",$C$25,$C$26)))</f>
        <v>24435.2517367162</v>
      </c>
      <c r="G76" s="117">
        <f>IF(B76="","",IF(B76="Opción de compra",0,(E76-$C$7*F76)*IF(B76="Sucesivo",$C$11,$C$9)))</f>
        <v>9398.77928306249</v>
      </c>
      <c r="H76" s="117">
        <f>IF(B76="","",F76-G76)</f>
        <v>15036.4724536538</v>
      </c>
      <c r="I76" s="117">
        <f>IF(B76="","",E76-H76)</f>
        <v>462867.558888507</v>
      </c>
      <c r="J76" s="117">
        <f>IF(B76="","",IF(OR(inp_Tipo="Arrendamiento Puro",par_BaseIVAFin="Sobre renta",B76="Opción de compra"),F76,G76)*$C$14)</f>
        <v>3909.6402778746</v>
      </c>
      <c r="K76" s="117">
        <f>IF(B76="","",F76+J76)</f>
        <v>28344.8920145908</v>
      </c>
      <c r="L76" s="117">
        <f>IF(B76="","",F76-IF(A76=$C$38,$C$30,0))</f>
        <v>24435.2517367162</v>
      </c>
      <c r="M76" s="131">
        <f>IF(B76="","",$C$37*(1+$C$13)^(-C76))</f>
        <v>0.749788644899315</v>
      </c>
      <c r="N76" s="117">
        <f>IF(B76="","",L76*M76)</f>
        <v>18321.2742874461</v>
      </c>
      <c r="O76" s="117">
        <f>IF(B76="","",IF(B76="Básico",F76,0)-IF(A76=$C$38,$C$30,0))</f>
        <v>24435.2517367162</v>
      </c>
      <c r="P76" s="130">
        <f>IF(B76="",$C$31,D76)</f>
        <v>46818.0</v>
      </c>
      <c r="Q76" s="117">
        <f>IF(B76="",0,L76)</f>
        <v>24435.2517367162</v>
      </c>
      <c r="R76" s="117">
        <f>IF(B76="",0,-F76)</f>
        <v>-24435.2517367162</v>
      </c>
      <c r="S76" s="117">
        <f>IF(B76="","",O76*M76)</f>
        <v>18321.2742874461</v>
      </c>
    </row>
    <row r="77">
      <c r="A77" s="53" t="n">
        <v>18</v>
      </c>
      <c r="B77" s="53" t="str">
        <f>IF(A77&gt;$C$38,"",IF(A77&lt;=$C$5,"Básico",IF($C$6&gt;0,"Sucesivo","Opción de compra")))</f>
        <v>Básico</v>
      </c>
      <c r="C77" s="53">
        <f>IF(B77="","",IF(B77="Opción de compra",$C$5,A77-$C$7))</f>
        <v>18</v>
      </c>
      <c r="D77" s="130">
        <f>IF(B77="","",EDATE($C$33,C77))</f>
        <v>46849.0</v>
      </c>
      <c r="E77" s="117">
        <f>IF(B77="","",I76)</f>
        <v>462867.558888507</v>
      </c>
      <c r="F77" s="117">
        <f>IF(B77="","",IF(B77="Básico",$C$24,IF(B77="Sucesivo",$C$25,$C$26)))</f>
        <v>24435.2517367162</v>
      </c>
      <c r="G77" s="117">
        <f>IF(B77="","",IF(B77="Opción de compra",0,(E77-$C$7*F77)*IF(B77="Sucesivo",$C$11,$C$9)))</f>
        <v>9103.06199147396</v>
      </c>
      <c r="H77" s="117">
        <f>IF(B77="","",F77-G77)</f>
        <v>15332.1897452423</v>
      </c>
      <c r="I77" s="117">
        <f>IF(B77="","",E77-H77)</f>
        <v>447535.369143264</v>
      </c>
      <c r="J77" s="117">
        <f>IF(B77="","",IF(OR(inp_Tipo="Arrendamiento Puro",par_BaseIVAFin="Sobre renta",B77="Opción de compra"),F77,G77)*$C$14)</f>
        <v>3909.6402778746</v>
      </c>
      <c r="K77" s="117">
        <f>IF(B77="","",F77+J77)</f>
        <v>28344.8920145908</v>
      </c>
      <c r="L77" s="117">
        <f>IF(B77="","",F77-IF(A77=$C$38,$C$30,0))</f>
        <v>24435.2517367162</v>
      </c>
      <c r="M77" s="131">
        <f>IF(B77="","",$C$37*(1+$C$13)^(-C77))</f>
        <v>0.737194898712968</v>
      </c>
      <c r="N77" s="117">
        <f>IF(B77="","",L77*M77)</f>
        <v>18013.5429290744</v>
      </c>
      <c r="O77" s="117">
        <f>IF(B77="","",IF(B77="Básico",F77,0)-IF(A77=$C$38,$C$30,0))</f>
        <v>24435.2517367162</v>
      </c>
      <c r="P77" s="130">
        <f>IF(B77="",$C$31,D77)</f>
        <v>46849.0</v>
      </c>
      <c r="Q77" s="117">
        <f>IF(B77="",0,L77)</f>
        <v>24435.2517367162</v>
      </c>
      <c r="R77" s="117">
        <f>IF(B77="",0,-F77)</f>
        <v>-24435.2517367162</v>
      </c>
      <c r="S77" s="117">
        <f>IF(B77="","",O77*M77)</f>
        <v>18013.5429290744</v>
      </c>
    </row>
    <row r="78">
      <c r="A78" s="53" t="n">
        <v>19</v>
      </c>
      <c r="B78" s="53" t="str">
        <f>IF(A78&gt;$C$38,"",IF(A78&lt;=$C$5,"Básico",IF($C$6&gt;0,"Sucesivo","Opción de compra")))</f>
        <v>Básico</v>
      </c>
      <c r="C78" s="53">
        <f>IF(B78="","",IF(B78="Opción de compra",$C$5,A78-$C$7))</f>
        <v>19</v>
      </c>
      <c r="D78" s="130">
        <f>IF(B78="","",EDATE($C$33,C78))</f>
        <v>46879.0</v>
      </c>
      <c r="E78" s="117">
        <f>IF(B78="","",I77)</f>
        <v>447535.369143264</v>
      </c>
      <c r="F78" s="117">
        <f>IF(B78="","",IF(B78="Básico",$C$24,IF(B78="Sucesivo",$C$25,$C$26)))</f>
        <v>24435.2517367162</v>
      </c>
      <c r="G78" s="117">
        <f>IF(B78="","",IF(B78="Opción de compra",0,(E78-$C$7*F78)*IF(B78="Sucesivo",$C$11,$C$9)))</f>
        <v>8801.5289264842</v>
      </c>
      <c r="H78" s="117">
        <f>IF(B78="","",F78-G78)</f>
        <v>15633.722810232</v>
      </c>
      <c r="I78" s="117">
        <f>IF(B78="","",E78-H78)</f>
        <v>431901.646333032</v>
      </c>
      <c r="J78" s="117">
        <f>IF(B78="","",IF(OR(inp_Tipo="Arrendamiento Puro",par_BaseIVAFin="Sobre renta",B78="Opción de compra"),F78,G78)*$C$14)</f>
        <v>3909.6402778746</v>
      </c>
      <c r="K78" s="117">
        <f>IF(B78="","",F78+J78)</f>
        <v>28344.8920145908</v>
      </c>
      <c r="L78" s="117">
        <f>IF(B78="","",F78-IF(A78=$C$38,$C$30,0))</f>
        <v>24435.2517367162</v>
      </c>
      <c r="M78" s="131">
        <f>IF(B78="","",$C$37*(1+$C$13)^(-C78))</f>
        <v>0.724812682061091</v>
      </c>
      <c r="N78" s="117">
        <f>IF(B78="","",L78*M78)</f>
        <v>17710.9803481272</v>
      </c>
      <c r="O78" s="117">
        <f>IF(B78="","",IF(B78="Básico",F78,0)-IF(A78=$C$38,$C$30,0))</f>
        <v>24435.2517367162</v>
      </c>
      <c r="P78" s="130">
        <f>IF(B78="",$C$31,D78)</f>
        <v>46879.0</v>
      </c>
      <c r="Q78" s="117">
        <f>IF(B78="",0,L78)</f>
        <v>24435.2517367162</v>
      </c>
      <c r="R78" s="117">
        <f>IF(B78="",0,-F78)</f>
        <v>-24435.2517367162</v>
      </c>
      <c r="S78" s="117">
        <f>IF(B78="","",O78*M78)</f>
        <v>17710.9803481272</v>
      </c>
    </row>
    <row r="79">
      <c r="A79" s="53" t="n">
        <v>20</v>
      </c>
      <c r="B79" s="53" t="str">
        <f>IF(A79&gt;$C$38,"",IF(A79&lt;=$C$5,"Básico",IF($C$6&gt;0,"Sucesivo","Opción de compra")))</f>
        <v>Básico</v>
      </c>
      <c r="C79" s="53">
        <f>IF(B79="","",IF(B79="Opción de compra",$C$5,A79-$C$7))</f>
        <v>20</v>
      </c>
      <c r="D79" s="130">
        <f>IF(B79="","",EDATE($C$33,C79))</f>
        <v>46910.0</v>
      </c>
      <c r="E79" s="117">
        <f>IF(B79="","",I78)</f>
        <v>431901.646333032</v>
      </c>
      <c r="F79" s="117">
        <f>IF(B79="","",IF(B79="Básico",$C$24,IF(B79="Sucesivo",$C$25,$C$26)))</f>
        <v>24435.2517367162</v>
      </c>
      <c r="G79" s="117">
        <f>IF(B79="","",IF(B79="Opción de compra",0,(E79-$C$7*F79)*IF(B79="Sucesivo",$C$11,$C$9)))</f>
        <v>8494.0657112163</v>
      </c>
      <c r="H79" s="117">
        <f>IF(B79="","",F79-G79)</f>
        <v>15941.1860254999</v>
      </c>
      <c r="I79" s="117">
        <f>IF(B79="","",E79-H79)</f>
        <v>415960.460307532</v>
      </c>
      <c r="J79" s="117">
        <f>IF(B79="","",IF(OR(inp_Tipo="Arrendamiento Puro",par_BaseIVAFin="Sobre renta",B79="Opción de compra"),F79,G79)*$C$14)</f>
        <v>3909.6402778746</v>
      </c>
      <c r="K79" s="117">
        <f>IF(B79="","",F79+J79)</f>
        <v>28344.8920145908</v>
      </c>
      <c r="L79" s="117">
        <f>IF(B79="","",F79-IF(A79=$C$38,$C$30,0))</f>
        <v>24435.2517367162</v>
      </c>
      <c r="M79" s="131">
        <f>IF(B79="","",$C$37*(1+$C$13)^(-C79))</f>
        <v>0.712638442010086</v>
      </c>
      <c r="N79" s="117">
        <f>IF(B79="","",L79*M79)</f>
        <v>17413.4997277777</v>
      </c>
      <c r="O79" s="117">
        <f>IF(B79="","",IF(B79="Básico",F79,0)-IF(A79=$C$38,$C$30,0))</f>
        <v>24435.2517367162</v>
      </c>
      <c r="P79" s="130">
        <f>IF(B79="",$C$31,D79)</f>
        <v>46910.0</v>
      </c>
      <c r="Q79" s="117">
        <f>IF(B79="",0,L79)</f>
        <v>24435.2517367162</v>
      </c>
      <c r="R79" s="117">
        <f>IF(B79="",0,-F79)</f>
        <v>-24435.2517367162</v>
      </c>
      <c r="S79" s="117">
        <f>IF(B79="","",O79*M79)</f>
        <v>17413.4997277777</v>
      </c>
    </row>
    <row r="80">
      <c r="A80" s="53" t="n">
        <v>21</v>
      </c>
      <c r="B80" s="53" t="str">
        <f>IF(A80&gt;$C$38,"",IF(A80&lt;=$C$5,"Básico",IF($C$6&gt;0,"Sucesivo","Opción de compra")))</f>
        <v>Básico</v>
      </c>
      <c r="C80" s="53">
        <f>IF(B80="","",IF(B80="Opción de compra",$C$5,A80-$C$7))</f>
        <v>21</v>
      </c>
      <c r="D80" s="130">
        <f>IF(B80="","",EDATE($C$33,C80))</f>
        <v>46940.0</v>
      </c>
      <c r="E80" s="117">
        <f>IF(B80="","",I79)</f>
        <v>415960.460307532</v>
      </c>
      <c r="F80" s="117">
        <f>IF(B80="","",IF(B80="Básico",$C$24,IF(B80="Sucesivo",$C$25,$C$26)))</f>
        <v>24435.2517367162</v>
      </c>
      <c r="G80" s="117">
        <f>IF(B80="","",IF(B80="Opción de compra",0,(E80-$C$7*F80)*IF(B80="Sucesivo",$C$11,$C$9)))</f>
        <v>8180.55571938147</v>
      </c>
      <c r="H80" s="117">
        <f>IF(B80="","",F80-G80)</f>
        <v>16254.6960173348</v>
      </c>
      <c r="I80" s="117">
        <f>IF(B80="","",E80-H80)</f>
        <v>399705.764290198</v>
      </c>
      <c r="J80" s="117">
        <f>IF(B80="","",IF(OR(inp_Tipo="Arrendamiento Puro",par_BaseIVAFin="Sobre renta",B80="Opción de compra"),F80,G80)*$C$14)</f>
        <v>3909.6402778746</v>
      </c>
      <c r="K80" s="117">
        <f>IF(B80="","",F80+J80)</f>
        <v>28344.8920145908</v>
      </c>
      <c r="L80" s="117">
        <f>IF(B80="","",F80-IF(A80=$C$38,$C$30,0))</f>
        <v>24435.2517367162</v>
      </c>
      <c r="M80" s="131">
        <f>IF(B80="","",$C$37*(1+$C$13)^(-C80))</f>
        <v>0.700668685302829</v>
      </c>
      <c r="N80" s="117">
        <f>IF(B80="","",L80*M80)</f>
        <v>17121.0157094086</v>
      </c>
      <c r="O80" s="117">
        <f>IF(B80="","",IF(B80="Básico",F80,0)-IF(A80=$C$38,$C$30,0))</f>
        <v>24435.2517367162</v>
      </c>
      <c r="P80" s="130">
        <f>IF(B80="",$C$31,D80)</f>
        <v>46940.0</v>
      </c>
      <c r="Q80" s="117">
        <f>IF(B80="",0,L80)</f>
        <v>24435.2517367162</v>
      </c>
      <c r="R80" s="117">
        <f>IF(B80="",0,-F80)</f>
        <v>-24435.2517367162</v>
      </c>
      <c r="S80" s="117">
        <f>IF(B80="","",O80*M80)</f>
        <v>17121.0157094086</v>
      </c>
    </row>
    <row r="81">
      <c r="A81" s="53" t="n">
        <v>22</v>
      </c>
      <c r="B81" s="53" t="str">
        <f>IF(A81&gt;$C$38,"",IF(A81&lt;=$C$5,"Básico",IF($C$6&gt;0,"Sucesivo","Opción de compra")))</f>
        <v>Básico</v>
      </c>
      <c r="C81" s="53">
        <f>IF(B81="","",IF(B81="Opción de compra",$C$5,A81-$C$7))</f>
        <v>22</v>
      </c>
      <c r="D81" s="130">
        <f>IF(B81="","",EDATE($C$33,C81))</f>
        <v>46971.0</v>
      </c>
      <c r="E81" s="117">
        <f>IF(B81="","",I80)</f>
        <v>399705.764290198</v>
      </c>
      <c r="F81" s="117">
        <f>IF(B81="","",IF(B81="Básico",$C$24,IF(B81="Sucesivo",$C$25,$C$26)))</f>
        <v>24435.2517367162</v>
      </c>
      <c r="G81" s="117">
        <f>IF(B81="","",IF(B81="Opción de compra",0,(E81-$C$7*F81)*IF(B81="Sucesivo",$C$11,$C$9)))</f>
        <v>7860.88003104055</v>
      </c>
      <c r="H81" s="117">
        <f>IF(B81="","",F81-G81)</f>
        <v>16574.3717056757</v>
      </c>
      <c r="I81" s="117">
        <f>IF(B81="","",E81-H81)</f>
        <v>383131.392584522</v>
      </c>
      <c r="J81" s="117">
        <f>IF(B81="","",IF(OR(inp_Tipo="Arrendamiento Puro",par_BaseIVAFin="Sobre renta",B81="Opción de compra"),F81,G81)*$C$14)</f>
        <v>3909.6402778746</v>
      </c>
      <c r="K81" s="117">
        <f>IF(B81="","",F81+J81)</f>
        <v>28344.8920145908</v>
      </c>
      <c r="L81" s="117">
        <f>IF(B81="","",F81-IF(A81=$C$38,$C$30,0))</f>
        <v>24435.2517367162</v>
      </c>
      <c r="M81" s="131">
        <f>IF(B81="","",$C$37*(1+$C$13)^(-C81))</f>
        <v>0.688899977356325</v>
      </c>
      <c r="N81" s="117">
        <f>IF(B81="","",L81*M81)</f>
        <v>16833.4443681199</v>
      </c>
      <c r="O81" s="117">
        <f>IF(B81="","",IF(B81="Básico",F81,0)-IF(A81=$C$38,$C$30,0))</f>
        <v>24435.2517367162</v>
      </c>
      <c r="P81" s="130">
        <f>IF(B81="",$C$31,D81)</f>
        <v>46971.0</v>
      </c>
      <c r="Q81" s="117">
        <f>IF(B81="",0,L81)</f>
        <v>24435.2517367162</v>
      </c>
      <c r="R81" s="117">
        <f>IF(B81="",0,-F81)</f>
        <v>-24435.2517367162</v>
      </c>
      <c r="S81" s="117">
        <f>IF(B81="","",O81*M81)</f>
        <v>16833.4443681199</v>
      </c>
    </row>
    <row r="82">
      <c r="A82" s="53" t="n">
        <v>23</v>
      </c>
      <c r="B82" s="53" t="str">
        <f>IF(A82&gt;$C$38,"",IF(A82&lt;=$C$5,"Básico",IF($C$6&gt;0,"Sucesivo","Opción de compra")))</f>
        <v>Básico</v>
      </c>
      <c r="C82" s="53">
        <f>IF(B82="","",IF(B82="Opción de compra",$C$5,A82-$C$7))</f>
        <v>23</v>
      </c>
      <c r="D82" s="130">
        <f>IF(B82="","",EDATE($C$33,C82))</f>
        <v>47002.0</v>
      </c>
      <c r="E82" s="117">
        <f>IF(B82="","",I81)</f>
        <v>383131.392584522</v>
      </c>
      <c r="F82" s="117">
        <f>IF(B82="","",IF(B82="Básico",$C$24,IF(B82="Sucesivo",$C$25,$C$26)))</f>
        <v>24435.2517367162</v>
      </c>
      <c r="G82" s="117">
        <f>IF(B82="","",IF(B82="Opción de compra",0,(E82-$C$7*F82)*IF(B82="Sucesivo",$C$11,$C$9)))</f>
        <v>7534.9173874956</v>
      </c>
      <c r="H82" s="117">
        <f>IF(B82="","",F82-G82)</f>
        <v>16900.3343492206</v>
      </c>
      <c r="I82" s="117">
        <f>IF(B82="","",E82-H82)</f>
        <v>366231.058235301</v>
      </c>
      <c r="J82" s="117">
        <f>IF(B82="","",IF(OR(inp_Tipo="Arrendamiento Puro",par_BaseIVAFin="Sobre renta",B82="Opción de compra"),F82,G82)*$C$14)</f>
        <v>3909.6402778746</v>
      </c>
      <c r="K82" s="117">
        <f>IF(B82="","",F82+J82)</f>
        <v>28344.8920145908</v>
      </c>
      <c r="L82" s="117">
        <f>IF(B82="","",F82-IF(A82=$C$38,$C$30,0))</f>
        <v>24435.2517367162</v>
      </c>
      <c r="M82" s="131">
        <f>IF(B82="","",$C$37*(1+$C$13)^(-C82))</f>
        <v>0.67732894127619</v>
      </c>
      <c r="N82" s="117">
        <f>IF(B82="","",L82*M82)</f>
        <v>16550.7031886472</v>
      </c>
      <c r="O82" s="117">
        <f>IF(B82="","",IF(B82="Básico",F82,0)-IF(A82=$C$38,$C$30,0))</f>
        <v>24435.2517367162</v>
      </c>
      <c r="P82" s="130">
        <f>IF(B82="",$C$31,D82)</f>
        <v>47002.0</v>
      </c>
      <c r="Q82" s="117">
        <f>IF(B82="",0,L82)</f>
        <v>24435.2517367162</v>
      </c>
      <c r="R82" s="117">
        <f>IF(B82="",0,-F82)</f>
        <v>-24435.2517367162</v>
      </c>
      <c r="S82" s="117">
        <f>IF(B82="","",O82*M82)</f>
        <v>16550.7031886472</v>
      </c>
    </row>
    <row r="83">
      <c r="A83" s="53" t="n">
        <v>24</v>
      </c>
      <c r="B83" s="53" t="str">
        <f>IF(A83&gt;$C$38,"",IF(A83&lt;=$C$5,"Básico",IF($C$6&gt;0,"Sucesivo","Opción de compra")))</f>
        <v>Básico</v>
      </c>
      <c r="C83" s="53">
        <f>IF(B83="","",IF(B83="Opción de compra",$C$5,A83-$C$7))</f>
        <v>24</v>
      </c>
      <c r="D83" s="130">
        <f>IF(B83="","",EDATE($C$33,C83))</f>
        <v>47032.0</v>
      </c>
      <c r="E83" s="117">
        <f>IF(B83="","",I82)</f>
        <v>366231.058235301</v>
      </c>
      <c r="F83" s="117">
        <f>IF(B83="","",IF(B83="Básico",$C$24,IF(B83="Sucesivo",$C$25,$C$26)))</f>
        <v>24435.2517367162</v>
      </c>
      <c r="G83" s="117">
        <f>IF(B83="","",IF(B83="Opción de compra",0,(E83-$C$7*F83)*IF(B83="Sucesivo",$C$11,$C$9)))</f>
        <v>7202.54414529426</v>
      </c>
      <c r="H83" s="117">
        <f>IF(B83="","",F83-G83)</f>
        <v>17232.707591422</v>
      </c>
      <c r="I83" s="117">
        <f>IF(B83="","",E83-H83)</f>
        <v>348998.350643879</v>
      </c>
      <c r="J83" s="117">
        <f>IF(B83="","",IF(OR(inp_Tipo="Arrendamiento Puro",par_BaseIVAFin="Sobre renta",B83="Opción de compra"),F83,G83)*$C$14)</f>
        <v>3909.6402778746</v>
      </c>
      <c r="K83" s="117">
        <f>IF(B83="","",F83+J83)</f>
        <v>28344.8920145908</v>
      </c>
      <c r="L83" s="117">
        <f>IF(B83="","",F83-IF(A83=$C$38,$C$30,0))</f>
        <v>24435.2517367162</v>
      </c>
      <c r="M83" s="131">
        <f>IF(B83="","",$C$37*(1+$C$13)^(-C83))</f>
        <v>0.665952256887692</v>
      </c>
      <c r="N83" s="117">
        <f>IF(B83="","",L83*M83)</f>
        <v>16272.7110416851</v>
      </c>
      <c r="O83" s="117">
        <f>IF(B83="","",IF(B83="Básico",F83,0)-IF(A83=$C$38,$C$30,0))</f>
        <v>24435.2517367162</v>
      </c>
      <c r="P83" s="130">
        <f>IF(B83="",$C$31,D83)</f>
        <v>47032.0</v>
      </c>
      <c r="Q83" s="117">
        <f>IF(B83="",0,L83)</f>
        <v>24435.2517367162</v>
      </c>
      <c r="R83" s="117">
        <f>IF(B83="",0,-F83)</f>
        <v>-24435.2517367162</v>
      </c>
      <c r="S83" s="117">
        <f>IF(B83="","",O83*M83)</f>
        <v>16272.7110416851</v>
      </c>
    </row>
    <row r="84">
      <c r="A84" s="53" t="n">
        <v>25</v>
      </c>
      <c r="B84" s="53" t="str">
        <f>IF(A84&gt;$C$38,"",IF(A84&lt;=$C$5,"Básico",IF($C$6&gt;0,"Sucesivo","Opción de compra")))</f>
        <v>Básico</v>
      </c>
      <c r="C84" s="53">
        <f>IF(B84="","",IF(B84="Opción de compra",$C$5,A84-$C$7))</f>
        <v>25</v>
      </c>
      <c r="D84" s="130">
        <f>IF(B84="","",EDATE($C$33,C84))</f>
        <v>47063.0</v>
      </c>
      <c r="E84" s="117">
        <f>IF(B84="","",I83)</f>
        <v>348998.350643879</v>
      </c>
      <c r="F84" s="117">
        <f>IF(B84="","",IF(B84="Básico",$C$24,IF(B84="Sucesivo",$C$25,$C$26)))</f>
        <v>24435.2517367162</v>
      </c>
      <c r="G84" s="117">
        <f>IF(B84="","",IF(B84="Opción de compra",0,(E84-$C$7*F84)*IF(B84="Sucesivo",$C$11,$C$9)))</f>
        <v>6863.63422932962</v>
      </c>
      <c r="H84" s="117">
        <f>IF(B84="","",F84-G84)</f>
        <v>17571.6175073866</v>
      </c>
      <c r="I84" s="117">
        <f>IF(B84="","",E84-H84)</f>
        <v>331426.733136493</v>
      </c>
      <c r="J84" s="117">
        <f>IF(B84="","",IF(OR(inp_Tipo="Arrendamiento Puro",par_BaseIVAFin="Sobre renta",B84="Opción de compra"),F84,G84)*$C$14)</f>
        <v>3909.6402778746</v>
      </c>
      <c r="K84" s="117">
        <f>IF(B84="","",F84+J84)</f>
        <v>28344.8920145908</v>
      </c>
      <c r="L84" s="117">
        <f>IF(B84="","",F84-IF(A84=$C$38,$C$30,0))</f>
        <v>24435.2517367162</v>
      </c>
      <c r="M84" s="131">
        <f>IF(B84="","",$C$37*(1+$C$13)^(-C84))</f>
        <v>0.654766659783065</v>
      </c>
      <c r="N84" s="117">
        <f>IF(B84="","",L84*M84)</f>
        <v>15999.388160608</v>
      </c>
      <c r="O84" s="117">
        <f>IF(B84="","",IF(B84="Básico",F84,0)-IF(A84=$C$38,$C$30,0))</f>
        <v>24435.2517367162</v>
      </c>
      <c r="P84" s="130">
        <f>IF(B84="",$C$31,D84)</f>
        <v>47063.0</v>
      </c>
      <c r="Q84" s="117">
        <f>IF(B84="",0,L84)</f>
        <v>24435.2517367162</v>
      </c>
      <c r="R84" s="117">
        <f>IF(B84="",0,-F84)</f>
        <v>-24435.2517367162</v>
      </c>
      <c r="S84" s="117">
        <f>IF(B84="","",O84*M84)</f>
        <v>15999.388160608</v>
      </c>
    </row>
    <row r="85">
      <c r="A85" s="53" t="n">
        <v>26</v>
      </c>
      <c r="B85" s="53" t="str">
        <f>IF(A85&gt;$C$38,"",IF(A85&lt;=$C$5,"Básico",IF($C$6&gt;0,"Sucesivo","Opción de compra")))</f>
        <v>Básico</v>
      </c>
      <c r="C85" s="53">
        <f>IF(B85="","",IF(B85="Opción de compra",$C$5,A85-$C$7))</f>
        <v>26</v>
      </c>
      <c r="D85" s="130">
        <f>IF(B85="","",EDATE($C$33,C85))</f>
        <v>47093.0</v>
      </c>
      <c r="E85" s="117">
        <f>IF(B85="","",I84)</f>
        <v>331426.733136493</v>
      </c>
      <c r="F85" s="117">
        <f>IF(B85="","",IF(B85="Básico",$C$24,IF(B85="Sucesivo",$C$25,$C$26)))</f>
        <v>24435.2517367162</v>
      </c>
      <c r="G85" s="117">
        <f>IF(B85="","",IF(B85="Opción de compra",0,(E85-$C$7*F85)*IF(B85="Sucesivo",$C$11,$C$9)))</f>
        <v>6518.05908501769</v>
      </c>
      <c r="H85" s="117">
        <f>IF(B85="","",F85-G85)</f>
        <v>17917.1926516986</v>
      </c>
      <c r="I85" s="117">
        <f>IF(B85="","",E85-H85)</f>
        <v>313509.540484794</v>
      </c>
      <c r="J85" s="117">
        <f>IF(B85="","",IF(OR(inp_Tipo="Arrendamiento Puro",par_BaseIVAFin="Sobre renta",B85="Opción de compra"),F85,G85)*$C$14)</f>
        <v>3909.6402778746</v>
      </c>
      <c r="K85" s="117">
        <f>IF(B85="","",F85+J85)</f>
        <v>28344.8920145908</v>
      </c>
      <c r="L85" s="117">
        <f>IF(B85="","",F85-IF(A85=$C$38,$C$30,0))</f>
        <v>24435.2517367162</v>
      </c>
      <c r="M85" s="131">
        <f>IF(B85="","",$C$37*(1+$C$13)^(-C85))</f>
        <v>0.643768940384824</v>
      </c>
      <c r="N85" s="117">
        <f>IF(B85="","",L85*M85)</f>
        <v>15730.6561185822</v>
      </c>
      <c r="O85" s="117">
        <f>IF(B85="","",IF(B85="Básico",F85,0)-IF(A85=$C$38,$C$30,0))</f>
        <v>24435.2517367162</v>
      </c>
      <c r="P85" s="130">
        <f>IF(B85="",$C$31,D85)</f>
        <v>47093.0</v>
      </c>
      <c r="Q85" s="117">
        <f>IF(B85="",0,L85)</f>
        <v>24435.2517367162</v>
      </c>
      <c r="R85" s="117">
        <f>IF(B85="",0,-F85)</f>
        <v>-24435.2517367162</v>
      </c>
      <c r="S85" s="117">
        <f>IF(B85="","",O85*M85)</f>
        <v>15730.6561185822</v>
      </c>
    </row>
    <row r="86">
      <c r="A86" s="53" t="n">
        <v>27</v>
      </c>
      <c r="B86" s="53" t="str">
        <f>IF(A86&gt;$C$38,"",IF(A86&lt;=$C$5,"Básico",IF($C$6&gt;0,"Sucesivo","Opción de compra")))</f>
        <v>Básico</v>
      </c>
      <c r="C86" s="53">
        <f>IF(B86="","",IF(B86="Opción de compra",$C$5,A86-$C$7))</f>
        <v>27</v>
      </c>
      <c r="D86" s="130">
        <f>IF(B86="","",EDATE($C$33,C86))</f>
        <v>47124.0</v>
      </c>
      <c r="E86" s="117">
        <f>IF(B86="","",I85)</f>
        <v>313509.540484794</v>
      </c>
      <c r="F86" s="117">
        <f>IF(B86="","",IF(B86="Básico",$C$24,IF(B86="Sucesivo",$C$25,$C$26)))</f>
        <v>24435.2517367162</v>
      </c>
      <c r="G86" s="117">
        <f>IF(B86="","",IF(B86="Opción de compra",0,(E86-$C$7*F86)*IF(B86="Sucesivo",$C$11,$C$9)))</f>
        <v>6165.68762953428</v>
      </c>
      <c r="H86" s="117">
        <f>IF(B86="","",F86-G86)</f>
        <v>18269.564107182</v>
      </c>
      <c r="I86" s="117">
        <f>IF(B86="","",E86-H86)</f>
        <v>295239.976377612</v>
      </c>
      <c r="J86" s="117">
        <f>IF(B86="","",IF(OR(inp_Tipo="Arrendamiento Puro",par_BaseIVAFin="Sobre renta",B86="Opción de compra"),F86,G86)*$C$14)</f>
        <v>3909.6402778746</v>
      </c>
      <c r="K86" s="117">
        <f>IF(B86="","",F86+J86)</f>
        <v>28344.8920145908</v>
      </c>
      <c r="L86" s="117">
        <f>IF(B86="","",F86-IF(A86=$C$38,$C$30,0))</f>
        <v>24435.2517367162</v>
      </c>
      <c r="M86" s="131">
        <f>IF(B86="","",$C$37*(1+$C$13)^(-C86))</f>
        <v>0.632955943024817</v>
      </c>
      <c r="N86" s="117">
        <f>IF(B86="","",L86*M86)</f>
        <v>15466.437806062</v>
      </c>
      <c r="O86" s="117">
        <f>IF(B86="","",IF(B86="Básico",F86,0)-IF(A86=$C$38,$C$30,0))</f>
        <v>24435.2517367162</v>
      </c>
      <c r="P86" s="130">
        <f>IF(B86="",$C$31,D86)</f>
        <v>47124.0</v>
      </c>
      <c r="Q86" s="117">
        <f>IF(B86="",0,L86)</f>
        <v>24435.2517367162</v>
      </c>
      <c r="R86" s="117">
        <f>IF(B86="",0,-F86)</f>
        <v>-24435.2517367162</v>
      </c>
      <c r="S86" s="117">
        <f>IF(B86="","",O86*M86)</f>
        <v>15466.437806062</v>
      </c>
    </row>
    <row r="87">
      <c r="A87" s="53" t="n">
        <v>28</v>
      </c>
      <c r="B87" s="53" t="str">
        <f>IF(A87&gt;$C$38,"",IF(A87&lt;=$C$5,"Básico",IF($C$6&gt;0,"Sucesivo","Opción de compra")))</f>
        <v>Básico</v>
      </c>
      <c r="C87" s="53">
        <f>IF(B87="","",IF(B87="Opción de compra",$C$5,A87-$C$7))</f>
        <v>28</v>
      </c>
      <c r="D87" s="130">
        <f>IF(B87="","",EDATE($C$33,C87))</f>
        <v>47155.0</v>
      </c>
      <c r="E87" s="117">
        <f>IF(B87="","",I86)</f>
        <v>295239.976377612</v>
      </c>
      <c r="F87" s="117">
        <f>IF(B87="","",IF(B87="Básico",$C$24,IF(B87="Sucesivo",$C$25,$C$26)))</f>
        <v>24435.2517367162</v>
      </c>
      <c r="G87" s="117">
        <f>IF(B87="","",IF(B87="Opción de compra",0,(E87-$C$7*F87)*IF(B87="Sucesivo",$C$11,$C$9)))</f>
        <v>5806.38620209304</v>
      </c>
      <c r="H87" s="117">
        <f>IF(B87="","",F87-G87)</f>
        <v>18628.8655346232</v>
      </c>
      <c r="I87" s="117">
        <f>IF(B87="","",E87-H87)</f>
        <v>276611.110842989</v>
      </c>
      <c r="J87" s="117">
        <f>IF(B87="","",IF(OR(inp_Tipo="Arrendamiento Puro",par_BaseIVAFin="Sobre renta",B87="Opción de compra"),F87,G87)*$C$14)</f>
        <v>3909.6402778746</v>
      </c>
      <c r="K87" s="117">
        <f>IF(B87="","",F87+J87)</f>
        <v>28344.8920145908</v>
      </c>
      <c r="L87" s="117">
        <f>IF(B87="","",F87-IF(A87=$C$38,$C$30,0))</f>
        <v>24435.2517367162</v>
      </c>
      <c r="M87" s="131">
        <f>IF(B87="","",$C$37*(1+$C$13)^(-C87))</f>
        <v>0.622324565038738</v>
      </c>
      <c r="N87" s="117">
        <f>IF(B87="","",L87*M87)</f>
        <v>15206.657408664</v>
      </c>
      <c r="O87" s="117">
        <f>IF(B87="","",IF(B87="Básico",F87,0)-IF(A87=$C$38,$C$30,0))</f>
        <v>24435.2517367162</v>
      </c>
      <c r="P87" s="130">
        <f>IF(B87="",$C$31,D87)</f>
        <v>47155.0</v>
      </c>
      <c r="Q87" s="117">
        <f>IF(B87="",0,L87)</f>
        <v>24435.2517367162</v>
      </c>
      <c r="R87" s="117">
        <f>IF(B87="",0,-F87)</f>
        <v>-24435.2517367162</v>
      </c>
      <c r="S87" s="117">
        <f>IF(B87="","",O87*M87)</f>
        <v>15206.657408664</v>
      </c>
    </row>
    <row r="88">
      <c r="A88" s="53" t="n">
        <v>29</v>
      </c>
      <c r="B88" s="53" t="str">
        <f>IF(A88&gt;$C$38,"",IF(A88&lt;=$C$5,"Básico",IF($C$6&gt;0,"Sucesivo","Opción de compra")))</f>
        <v>Básico</v>
      </c>
      <c r="C88" s="53">
        <f>IF(B88="","",IF(B88="Opción de compra",$C$5,A88-$C$7))</f>
        <v>29</v>
      </c>
      <c r="D88" s="130">
        <f>IF(B88="","",EDATE($C$33,C88))</f>
        <v>47183.0</v>
      </c>
      <c r="E88" s="117">
        <f>IF(B88="","",I87)</f>
        <v>276611.110842989</v>
      </c>
      <c r="F88" s="117">
        <f>IF(B88="","",IF(B88="Básico",$C$24,IF(B88="Sucesivo",$C$25,$C$26)))</f>
        <v>24435.2517367162</v>
      </c>
      <c r="G88" s="117">
        <f>IF(B88="","",IF(B88="Opción de compra",0,(E88-$C$7*F88)*IF(B88="Sucesivo",$C$11,$C$9)))</f>
        <v>5440.01851324545</v>
      </c>
      <c r="H88" s="117">
        <f>IF(B88="","",F88-G88)</f>
        <v>18995.2332234708</v>
      </c>
      <c r="I88" s="117">
        <f>IF(B88="","",E88-H88)</f>
        <v>257615.877619518</v>
      </c>
      <c r="J88" s="117">
        <f>IF(B88="","",IF(OR(inp_Tipo="Arrendamiento Puro",par_BaseIVAFin="Sobre renta",B88="Opción de compra"),F88,G88)*$C$14)</f>
        <v>3909.6402778746</v>
      </c>
      <c r="K88" s="117">
        <f>IF(B88="","",F88+J88)</f>
        <v>28344.8920145908</v>
      </c>
      <c r="L88" s="117">
        <f>IF(B88="","",F88-IF(A88=$C$38,$C$30,0))</f>
        <v>24435.2517367162</v>
      </c>
      <c r="M88" s="131">
        <f>IF(B88="","",$C$37*(1+$C$13)^(-C88))</f>
        <v>0.611871755875859</v>
      </c>
      <c r="N88" s="117">
        <f>IF(B88="","",L88*M88)</f>
        <v>14951.2403854132</v>
      </c>
      <c r="O88" s="117">
        <f>IF(B88="","",IF(B88="Básico",F88,0)-IF(A88=$C$38,$C$30,0))</f>
        <v>24435.2517367162</v>
      </c>
      <c r="P88" s="130">
        <f>IF(B88="",$C$31,D88)</f>
        <v>47183.0</v>
      </c>
      <c r="Q88" s="117">
        <f>IF(B88="",0,L88)</f>
        <v>24435.2517367162</v>
      </c>
      <c r="R88" s="117">
        <f>IF(B88="",0,-F88)</f>
        <v>-24435.2517367162</v>
      </c>
      <c r="S88" s="117">
        <f>IF(B88="","",O88*M88)</f>
        <v>14951.2403854132</v>
      </c>
    </row>
    <row r="89">
      <c r="A89" s="53" t="n">
        <v>30</v>
      </c>
      <c r="B89" s="53" t="str">
        <f>IF(A89&gt;$C$38,"",IF(A89&lt;=$C$5,"Básico",IF($C$6&gt;0,"Sucesivo","Opción de compra")))</f>
        <v>Básico</v>
      </c>
      <c r="C89" s="53">
        <f>IF(B89="","",IF(B89="Opción de compra",$C$5,A89-$C$7))</f>
        <v>30</v>
      </c>
      <c r="D89" s="130">
        <f>IF(B89="","",EDATE($C$33,C89))</f>
        <v>47214.0</v>
      </c>
      <c r="E89" s="117">
        <f>IF(B89="","",I88)</f>
        <v>257615.877619518</v>
      </c>
      <c r="F89" s="117">
        <f>IF(B89="","",IF(B89="Básico",$C$24,IF(B89="Sucesivo",$C$25,$C$26)))</f>
        <v>24435.2517367162</v>
      </c>
      <c r="G89" s="117">
        <f>IF(B89="","",IF(B89="Opción de compra",0,(E89-$C$7*F89)*IF(B89="Sucesivo",$C$11,$C$9)))</f>
        <v>5066.44559318385</v>
      </c>
      <c r="H89" s="117">
        <f>IF(B89="","",F89-G89)</f>
        <v>19368.8061435324</v>
      </c>
      <c r="I89" s="117">
        <f>IF(B89="","",E89-H89)</f>
        <v>238247.071475986</v>
      </c>
      <c r="J89" s="117">
        <f>IF(B89="","",IF(OR(inp_Tipo="Arrendamiento Puro",par_BaseIVAFin="Sobre renta",B89="Opción de compra"),F89,G89)*$C$14)</f>
        <v>3909.6402778746</v>
      </c>
      <c r="K89" s="117">
        <f>IF(B89="","",F89+J89)</f>
        <v>28344.8920145908</v>
      </c>
      <c r="L89" s="117">
        <f>IF(B89="","",F89-IF(A89=$C$38,$C$30,0))</f>
        <v>24435.2517367162</v>
      </c>
      <c r="M89" s="131">
        <f>IF(B89="","",$C$37*(1+$C$13)^(-C89))</f>
        <v>0.601594516223704</v>
      </c>
      <c r="N89" s="117">
        <f>IF(B89="","",L89*M89)</f>
        <v>14700.1134473542</v>
      </c>
      <c r="O89" s="117">
        <f>IF(B89="","",IF(B89="Básico",F89,0)-IF(A89=$C$38,$C$30,0))</f>
        <v>24435.2517367162</v>
      </c>
      <c r="P89" s="130">
        <f>IF(B89="",$C$31,D89)</f>
        <v>47214.0</v>
      </c>
      <c r="Q89" s="117">
        <f>IF(B89="",0,L89)</f>
        <v>24435.2517367162</v>
      </c>
      <c r="R89" s="117">
        <f>IF(B89="",0,-F89)</f>
        <v>-24435.2517367162</v>
      </c>
      <c r="S89" s="117">
        <f>IF(B89="","",O89*M89)</f>
        <v>14700.1134473542</v>
      </c>
    </row>
    <row r="90">
      <c r="A90" s="53" t="n">
        <v>31</v>
      </c>
      <c r="B90" s="53" t="str">
        <f>IF(A90&gt;$C$38,"",IF(A90&lt;=$C$5,"Básico",IF($C$6&gt;0,"Sucesivo","Opción de compra")))</f>
        <v>Básico</v>
      </c>
      <c r="C90" s="53">
        <f>IF(B90="","",IF(B90="Opción de compra",$C$5,A90-$C$7))</f>
        <v>31</v>
      </c>
      <c r="D90" s="130">
        <f>IF(B90="","",EDATE($C$33,C90))</f>
        <v>47244.0</v>
      </c>
      <c r="E90" s="117">
        <f>IF(B90="","",I89)</f>
        <v>238247.071475986</v>
      </c>
      <c r="F90" s="117">
        <f>IF(B90="","",IF(B90="Básico",$C$24,IF(B90="Sucesivo",$C$25,$C$26)))</f>
        <v>24435.2517367162</v>
      </c>
      <c r="G90" s="117">
        <f>IF(B90="","",IF(B90="Opción de compra",0,(E90-$C$7*F90)*IF(B90="Sucesivo",$C$11,$C$9)))</f>
        <v>4685.52573902772</v>
      </c>
      <c r="H90" s="117">
        <f>IF(B90="","",F90-G90)</f>
        <v>19749.7259976885</v>
      </c>
      <c r="I90" s="117">
        <f>IF(B90="","",E90-H90)</f>
        <v>218497.345478297</v>
      </c>
      <c r="J90" s="117">
        <f>IF(B90="","",IF(OR(inp_Tipo="Arrendamiento Puro",par_BaseIVAFin="Sobre renta",B90="Opción de compra"),F90,G90)*$C$14)</f>
        <v>3909.6402778746</v>
      </c>
      <c r="K90" s="117">
        <f>IF(B90="","",F90+J90)</f>
        <v>28344.8920145908</v>
      </c>
      <c r="L90" s="117">
        <f>IF(B90="","",F90-IF(A90=$C$38,$C$30,0))</f>
        <v>24435.2517367162</v>
      </c>
      <c r="M90" s="131">
        <f>IF(B90="","",$C$37*(1+$C$13)^(-C90))</f>
        <v>0.591489897147435</v>
      </c>
      <c r="N90" s="117">
        <f>IF(B90="","",L90*M90)</f>
        <v>14453.204536522</v>
      </c>
      <c r="O90" s="117">
        <f>IF(B90="","",IF(B90="Básico",F90,0)-IF(A90=$C$38,$C$30,0))</f>
        <v>24435.2517367162</v>
      </c>
      <c r="P90" s="130">
        <f>IF(B90="",$C$31,D90)</f>
        <v>47244.0</v>
      </c>
      <c r="Q90" s="117">
        <f>IF(B90="",0,L90)</f>
        <v>24435.2517367162</v>
      </c>
      <c r="R90" s="117">
        <f>IF(B90="",0,-F90)</f>
        <v>-24435.2517367162</v>
      </c>
      <c r="S90" s="117">
        <f>IF(B90="","",O90*M90)</f>
        <v>14453.204536522</v>
      </c>
    </row>
    <row r="91">
      <c r="A91" s="53" t="n">
        <v>32</v>
      </c>
      <c r="B91" s="53" t="str">
        <f>IF(A91&gt;$C$38,"",IF(A91&lt;=$C$5,"Básico",IF($C$6&gt;0,"Sucesivo","Opción de compra")))</f>
        <v>Básico</v>
      </c>
      <c r="C91" s="53">
        <f>IF(B91="","",IF(B91="Opción de compra",$C$5,A91-$C$7))</f>
        <v>32</v>
      </c>
      <c r="D91" s="130">
        <f>IF(B91="","",EDATE($C$33,C91))</f>
        <v>47275.0</v>
      </c>
      <c r="E91" s="117">
        <f>IF(B91="","",I90)</f>
        <v>218497.345478297</v>
      </c>
      <c r="F91" s="117">
        <f>IF(B91="","",IF(B91="Básico",$C$24,IF(B91="Sucesivo",$C$25,$C$26)))</f>
        <v>24435.2517367162</v>
      </c>
      <c r="G91" s="117">
        <f>IF(B91="","",IF(B91="Opción de compra",0,(E91-$C$7*F91)*IF(B91="Sucesivo",$C$11,$C$9)))</f>
        <v>4297.11446107318</v>
      </c>
      <c r="H91" s="117">
        <f>IF(B91="","",F91-G91)</f>
        <v>20138.1372756431</v>
      </c>
      <c r="I91" s="117">
        <f>IF(B91="","",E91-H91)</f>
        <v>198359.208202654</v>
      </c>
      <c r="J91" s="117">
        <f>IF(B91="","",IF(OR(inp_Tipo="Arrendamiento Puro",par_BaseIVAFin="Sobre renta",B91="Opción de compra"),F91,G91)*$C$14)</f>
        <v>3909.6402778746</v>
      </c>
      <c r="K91" s="117">
        <f>IF(B91="","",F91+J91)</f>
        <v>28344.8920145908</v>
      </c>
      <c r="L91" s="117">
        <f>IF(B91="","",F91-IF(A91=$C$38,$C$30,0))</f>
        <v>24435.2517367162</v>
      </c>
      <c r="M91" s="131">
        <f>IF(B91="","",$C$37*(1+$C$13)^(-C91))</f>
        <v>0.581554999243689</v>
      </c>
      <c r="N91" s="117">
        <f>IF(B91="","",L91*M91)</f>
        <v>14210.4428052654</v>
      </c>
      <c r="O91" s="117">
        <f>IF(B91="","",IF(B91="Básico",F91,0)-IF(A91=$C$38,$C$30,0))</f>
        <v>24435.2517367162</v>
      </c>
      <c r="P91" s="130">
        <f>IF(B91="",$C$31,D91)</f>
        <v>47275.0</v>
      </c>
      <c r="Q91" s="117">
        <f>IF(B91="",0,L91)</f>
        <v>24435.2517367162</v>
      </c>
      <c r="R91" s="117">
        <f>IF(B91="",0,-F91)</f>
        <v>-24435.2517367162</v>
      </c>
      <c r="S91" s="117">
        <f>IF(B91="","",O91*M91)</f>
        <v>14210.4428052654</v>
      </c>
    </row>
    <row r="92">
      <c r="A92" s="53" t="n">
        <v>33</v>
      </c>
      <c r="B92" s="53" t="str">
        <f>IF(A92&gt;$C$38,"",IF(A92&lt;=$C$5,"Básico",IF($C$6&gt;0,"Sucesivo","Opción de compra")))</f>
        <v>Básico</v>
      </c>
      <c r="C92" s="53">
        <f>IF(B92="","",IF(B92="Opción de compra",$C$5,A92-$C$7))</f>
        <v>33</v>
      </c>
      <c r="D92" s="130">
        <f>IF(B92="","",EDATE($C$33,C92))</f>
        <v>47305.0</v>
      </c>
      <c r="E92" s="117">
        <f>IF(B92="","",I91)</f>
        <v>198359.208202654</v>
      </c>
      <c r="F92" s="117">
        <f>IF(B92="","",IF(B92="Básico",$C$24,IF(B92="Sucesivo",$C$25,$C$26)))</f>
        <v>24435.2517367162</v>
      </c>
      <c r="G92" s="117">
        <f>IF(B92="","",IF(B92="Opción de compra",0,(E92-$C$7*F92)*IF(B92="Sucesivo",$C$11,$C$9)))</f>
        <v>3901.06442798553</v>
      </c>
      <c r="H92" s="117">
        <f>IF(B92="","",F92-G92)</f>
        <v>20534.1873087307</v>
      </c>
      <c r="I92" s="117">
        <f>IF(B92="","",E92-H92)</f>
        <v>177825.020893923</v>
      </c>
      <c r="J92" s="117">
        <f>IF(B92="","",IF(OR(inp_Tipo="Arrendamiento Puro",par_BaseIVAFin="Sobre renta",B92="Opción de compra"),F92,G92)*$C$14)</f>
        <v>3909.6402778746</v>
      </c>
      <c r="K92" s="117">
        <f>IF(B92="","",F92+J92)</f>
        <v>28344.8920145908</v>
      </c>
      <c r="L92" s="117">
        <f>IF(B92="","",F92-IF(A92=$C$38,$C$30,0))</f>
        <v>24435.2517367162</v>
      </c>
      <c r="M92" s="131">
        <f>IF(B92="","",$C$37*(1+$C$13)^(-C92))</f>
        <v>0.571786971808625</v>
      </c>
      <c r="N92" s="117">
        <f>IF(B92="","",L92*M92)</f>
        <v>13971.7585959184</v>
      </c>
      <c r="O92" s="117">
        <f>IF(B92="","",IF(B92="Básico",F92,0)-IF(A92=$C$38,$C$30,0))</f>
        <v>24435.2517367162</v>
      </c>
      <c r="P92" s="130">
        <f>IF(B92="",$C$31,D92)</f>
        <v>47305.0</v>
      </c>
      <c r="Q92" s="117">
        <f>IF(B92="",0,L92)</f>
        <v>24435.2517367162</v>
      </c>
      <c r="R92" s="117">
        <f>IF(B92="",0,-F92)</f>
        <v>-24435.2517367162</v>
      </c>
      <c r="S92" s="117">
        <f>IF(B92="","",O92*M92)</f>
        <v>13971.7585959184</v>
      </c>
    </row>
    <row r="93">
      <c r="A93" s="53" t="n">
        <v>34</v>
      </c>
      <c r="B93" s="53" t="str">
        <f>IF(A93&gt;$C$38,"",IF(A93&lt;=$C$5,"Básico",IF($C$6&gt;0,"Sucesivo","Opción de compra")))</f>
        <v>Básico</v>
      </c>
      <c r="C93" s="53">
        <f>IF(B93="","",IF(B93="Opción de compra",$C$5,A93-$C$7))</f>
        <v>34</v>
      </c>
      <c r="D93" s="130">
        <f>IF(B93="","",EDATE($C$33,C93))</f>
        <v>47336.0</v>
      </c>
      <c r="E93" s="117">
        <f>IF(B93="","",I92)</f>
        <v>177825.020893923</v>
      </c>
      <c r="F93" s="117">
        <f>IF(B93="","",IF(B93="Básico",$C$24,IF(B93="Sucesivo",$C$25,$C$26)))</f>
        <v>24435.2517367162</v>
      </c>
      <c r="G93" s="117">
        <f>IF(B93="","",IF(B93="Opción de compra",0,(E93-$C$7*F93)*IF(B93="Sucesivo",$C$11,$C$9)))</f>
        <v>3497.22541091383</v>
      </c>
      <c r="H93" s="117">
        <f>IF(B93="","",F93-G93)</f>
        <v>20938.0263258024</v>
      </c>
      <c r="I93" s="117">
        <f>IF(B93="","",E93-H93)</f>
        <v>156886.994568121</v>
      </c>
      <c r="J93" s="117">
        <f>IF(B93="","",IF(OR(inp_Tipo="Arrendamiento Puro",par_BaseIVAFin="Sobre renta",B93="Opción de compra"),F93,G93)*$C$14)</f>
        <v>3909.6402778746</v>
      </c>
      <c r="K93" s="117">
        <f>IF(B93="","",F93+J93)</f>
        <v>28344.8920145908</v>
      </c>
      <c r="L93" s="117">
        <f>IF(B93="","",F93-IF(A93=$C$38,$C$30,0))</f>
        <v>24435.2517367162</v>
      </c>
      <c r="M93" s="131">
        <f>IF(B93="","",$C$37*(1+$C$13)^(-C93))</f>
        <v>0.562183012019951</v>
      </c>
      <c r="N93" s="117">
        <f>IF(B93="","",L93*M93)</f>
        <v>13737.0834208129</v>
      </c>
      <c r="O93" s="117">
        <f>IF(B93="","",IF(B93="Básico",F93,0)-IF(A93=$C$38,$C$30,0))</f>
        <v>24435.2517367162</v>
      </c>
      <c r="P93" s="130">
        <f>IF(B93="",$C$31,D93)</f>
        <v>47336.0</v>
      </c>
      <c r="Q93" s="117">
        <f>IF(B93="",0,L93)</f>
        <v>24435.2517367162</v>
      </c>
      <c r="R93" s="117">
        <f>IF(B93="",0,-F93)</f>
        <v>-24435.2517367162</v>
      </c>
      <c r="S93" s="117">
        <f>IF(B93="","",O93*M93)</f>
        <v>13737.0834208129</v>
      </c>
    </row>
    <row r="94">
      <c r="A94" s="53" t="n">
        <v>35</v>
      </c>
      <c r="B94" s="53" t="str">
        <f>IF(A94&gt;$C$38,"",IF(A94&lt;=$C$5,"Básico",IF($C$6&gt;0,"Sucesivo","Opción de compra")))</f>
        <v>Básico</v>
      </c>
      <c r="C94" s="53">
        <f>IF(B94="","",IF(B94="Opción de compra",$C$5,A94-$C$7))</f>
        <v>35</v>
      </c>
      <c r="D94" s="130">
        <f>IF(B94="","",EDATE($C$33,C94))</f>
        <v>47367.0</v>
      </c>
      <c r="E94" s="117">
        <f>IF(B94="","",I93)</f>
        <v>156886.994568121</v>
      </c>
      <c r="F94" s="117">
        <f>IF(B94="","",IF(B94="Básico",$C$24,IF(B94="Sucesivo",$C$25,$C$26)))</f>
        <v>24435.2517367162</v>
      </c>
      <c r="G94" s="117">
        <f>IF(B94="","",IF(B94="Opción de compra",0,(E94-$C$7*F94)*IF(B94="Sucesivo",$C$11,$C$9)))</f>
        <v>3085.44422650638</v>
      </c>
      <c r="H94" s="117">
        <f>IF(B94="","",F94-G94)</f>
        <v>21349.8075102099</v>
      </c>
      <c r="I94" s="117">
        <f>IF(B94="","",E94-H94)</f>
        <v>135537.187057911</v>
      </c>
      <c r="J94" s="117">
        <f>IF(B94="","",IF(OR(inp_Tipo="Arrendamiento Puro",par_BaseIVAFin="Sobre renta",B94="Opción de compra"),F94,G94)*$C$14)</f>
        <v>3909.6402778746</v>
      </c>
      <c r="K94" s="117">
        <f>IF(B94="","",F94+J94)</f>
        <v>28344.8920145908</v>
      </c>
      <c r="L94" s="117">
        <f>IF(B94="","",F94-IF(A94=$C$38,$C$30,0))</f>
        <v>24435.2517367162</v>
      </c>
      <c r="M94" s="131">
        <f>IF(B94="","",$C$37*(1+$C$13)^(-C94))</f>
        <v>0.552740364132684</v>
      </c>
      <c r="N94" s="117">
        <f>IF(B94="","",L94*M94)</f>
        <v>13506.3499426263</v>
      </c>
      <c r="O94" s="117">
        <f>IF(B94="","",IF(B94="Básico",F94,0)-IF(A94=$C$38,$C$30,0))</f>
        <v>24435.2517367162</v>
      </c>
      <c r="P94" s="130">
        <f>IF(B94="",$C$31,D94)</f>
        <v>47367.0</v>
      </c>
      <c r="Q94" s="117">
        <f>IF(B94="",0,L94)</f>
        <v>24435.2517367162</v>
      </c>
      <c r="R94" s="117">
        <f>IF(B94="",0,-F94)</f>
        <v>-24435.2517367162</v>
      </c>
      <c r="S94" s="117">
        <f>IF(B94="","",O94*M94)</f>
        <v>13506.3499426263</v>
      </c>
    </row>
    <row r="95">
      <c r="A95" s="53" t="n">
        <v>36</v>
      </c>
      <c r="B95" s="53" t="str">
        <f>IF(A95&gt;$C$38,"",IF(A95&lt;=$C$5,"Básico",IF($C$6&gt;0,"Sucesivo","Opción de compra")))</f>
        <v>Básico</v>
      </c>
      <c r="C95" s="53">
        <f>IF(B95="","",IF(B95="Opción de compra",$C$5,A95-$C$7))</f>
        <v>36</v>
      </c>
      <c r="D95" s="130">
        <f>IF(B95="","",EDATE($C$33,C95))</f>
        <v>47397.0</v>
      </c>
      <c r="E95" s="117">
        <f>IF(B95="","",I94)</f>
        <v>135537.187057911</v>
      </c>
      <c r="F95" s="117">
        <f>IF(B95="","",IF(B95="Básico",$C$24,IF(B95="Sucesivo",$C$25,$C$26)))</f>
        <v>24435.2517367162</v>
      </c>
      <c r="G95" s="117">
        <f>IF(B95="","",IF(B95="Opción de compra",0,(E95-$C$7*F95)*IF(B95="Sucesivo",$C$11,$C$9)))</f>
        <v>2665.56467880558</v>
      </c>
      <c r="H95" s="117">
        <f>IF(B95="","",F95-G95)</f>
        <v>21769.6870579107</v>
      </c>
      <c r="I95" s="117">
        <f>IF(B95="","",E95-H95)</f>
        <v>113767.5</v>
      </c>
      <c r="J95" s="117">
        <f>IF(B95="","",IF(OR(inp_Tipo="Arrendamiento Puro",par_BaseIVAFin="Sobre renta",B95="Opción de compra"),F95,G95)*$C$14)</f>
        <v>3909.6402778746</v>
      </c>
      <c r="K95" s="117">
        <f>IF(B95="","",F95+J95)</f>
        <v>28344.8920145908</v>
      </c>
      <c r="L95" s="117">
        <f>IF(B95="","",F95-IF(A95=$C$38,$C$30,0))</f>
        <v>24435.2517367162</v>
      </c>
      <c r="M95" s="131">
        <f>IF(B95="","",$C$37*(1+$C$13)^(-C95))</f>
        <v>0.543456318688424</v>
      </c>
      <c r="N95" s="117">
        <f>IF(B95="","",L95*M95)</f>
        <v>13279.4919550607</v>
      </c>
      <c r="O95" s="117">
        <f>IF(B95="","",IF(B95="Básico",F95,0)-IF(A95=$C$38,$C$30,0))</f>
        <v>24435.2517367162</v>
      </c>
      <c r="P95" s="130">
        <f>IF(B95="",$C$31,D95)</f>
        <v>47397.0</v>
      </c>
      <c r="Q95" s="117">
        <f>IF(B95="",0,L95)</f>
        <v>24435.2517367162</v>
      </c>
      <c r="R95" s="117">
        <f>IF(B95="",0,-F95)</f>
        <v>-24435.2517367162</v>
      </c>
      <c r="S95" s="117">
        <f>IF(B95="","",O95*M95)</f>
        <v>13279.4919550607</v>
      </c>
    </row>
    <row r="96">
      <c r="A96" s="53" t="n">
        <v>37</v>
      </c>
      <c r="B96" s="53" t="str">
        <f>IF(A96&gt;$C$38,"",IF(A96&lt;=$C$5,"Básico",IF($C$6&gt;0,"Sucesivo","Opción de compra")))</f>
        <v>Opción de compra</v>
      </c>
      <c r="C96" s="53">
        <f>IF(B96="","",IF(B96="Opción de compra",$C$5,A96-$C$7))</f>
        <v>36</v>
      </c>
      <c r="D96" s="130">
        <f>IF(B96="","",EDATE($C$33,C96))</f>
        <v>47397.0</v>
      </c>
      <c r="E96" s="117">
        <f>IF(B96="","",I95)</f>
        <v>113767.5</v>
      </c>
      <c r="F96" s="117">
        <f>IF(B96="","",IF(B96="Básico",$C$24,IF(B96="Sucesivo",$C$25,$C$26)))</f>
        <v>113767.5</v>
      </c>
      <c r="G96" s="117">
        <f>IF(B96="","",IF(B96="Opción de compra",0,(E96-$C$7*F96)*IF(B96="Sucesivo",$C$11,$C$9)))</f>
        <v>0</v>
      </c>
      <c r="H96" s="117">
        <f>IF(B96="","",F96-G96)</f>
        <v>113767.5</v>
      </c>
      <c r="I96" s="117">
        <f>IF(B96="","",E96-H96)</f>
        <v>4.07453626394272e-10</v>
      </c>
      <c r="J96" s="117">
        <f>IF(B96="","",IF(OR(inp_Tipo="Arrendamiento Puro",par_BaseIVAFin="Sobre renta",B96="Opción de compra"),F96,G96)*$C$14)</f>
        <v>18202.8</v>
      </c>
      <c r="K96" s="117">
        <f>IF(B96="","",F96+J96)</f>
        <v>131970.3</v>
      </c>
      <c r="L96" s="117">
        <f>IF(B96="","",F96-IF(A96=$C$38,$C$30,0))</f>
        <v>113767.5</v>
      </c>
      <c r="M96" s="131">
        <f>IF(B96="","",$C$37*(1+$C$13)^(-C96))</f>
        <v>0.543456318688424</v>
      </c>
      <c r="N96" s="117">
        <f>IF(B96="","",L96*M96)</f>
        <v>61827.6667363852</v>
      </c>
      <c r="O96" s="117">
        <f>IF(B96="","",IF(B96="Básico",F96,0)-IF(A96=$C$38,$C$30,0))</f>
        <v>0</v>
      </c>
      <c r="P96" s="130">
        <f>IF(B96="",$C$31,D96)</f>
        <v>47397.0</v>
      </c>
      <c r="Q96" s="117">
        <f>IF(B96="",0,L96)</f>
        <v>113767.5</v>
      </c>
      <c r="R96" s="117">
        <f>IF(B96="",0,-F96)</f>
        <v>-113767.5</v>
      </c>
      <c r="S96" s="117">
        <f>IF(B96="","",O96*M96)</f>
        <v>0</v>
      </c>
    </row>
    <row r="97">
      <c r="A97" s="53" t="n">
        <v>38</v>
      </c>
      <c r="B97" s="53" t="str">
        <f>IF(A97&gt;$C$38,"",IF(A97&lt;=$C$5,"Básico",IF($C$6&gt;0,"Sucesivo","Opción de compra")))</f>
        <v/>
      </c>
      <c r="C97" s="53" t="str">
        <f>IF(B97="","",IF(B97="Opción de compra",$C$5,A97-$C$7))</f>
        <v/>
      </c>
      <c r="D97" s="130" t="str">
        <f>IF(B97="","",EDATE($C$33,C97))</f>
        <v/>
      </c>
      <c r="E97" s="117" t="str">
        <f>IF(B97="","",I96)</f>
        <v/>
      </c>
      <c r="F97" s="117" t="str">
        <f>IF(B97="","",IF(B97="Básico",$C$24,IF(B97="Sucesivo",$C$25,$C$26)))</f>
        <v/>
      </c>
      <c r="G97" s="117" t="str">
        <f>IF(B97="","",IF(B97="Opción de compra",0,(E97-$C$7*F97)*IF(B97="Sucesivo",$C$11,$C$9)))</f>
        <v/>
      </c>
      <c r="H97" s="117" t="str">
        <f>IF(B97="","",F97-G97)</f>
        <v/>
      </c>
      <c r="I97" s="117" t="str">
        <f>IF(B97="","",E97-H97)</f>
        <v/>
      </c>
      <c r="J97" s="117" t="str">
        <f>IF(B97="","",IF(OR(inp_Tipo="Arrendamiento Puro",par_BaseIVAFin="Sobre renta",B97="Opción de compra"),F97,G97)*$C$14)</f>
        <v/>
      </c>
      <c r="K97" s="117" t="str">
        <f>IF(B97="","",F97+J97)</f>
        <v/>
      </c>
      <c r="L97" s="117" t="str">
        <f>IF(B97="","",F97-IF(A97=$C$38,$C$30,0))</f>
        <v/>
      </c>
      <c r="M97" s="131" t="str">
        <f>IF(B97="","",$C$37*(1+$C$13)^(-C97))</f>
        <v/>
      </c>
      <c r="N97" s="117" t="str">
        <f>IF(B97="","",L97*M97)</f>
        <v/>
      </c>
      <c r="O97" s="117" t="str">
        <f>IF(B97="","",IF(B97="Básico",F97,0)-IF(A97=$C$38,$C$30,0))</f>
        <v/>
      </c>
      <c r="P97" s="130">
        <f>IF(B97="",$C$31,D97)</f>
        <v>46301.0</v>
      </c>
      <c r="Q97" s="117">
        <f>IF(B97="",0,L97)</f>
        <v>0</v>
      </c>
      <c r="R97" s="117">
        <f>IF(B97="",0,-F97)</f>
        <v>0</v>
      </c>
      <c r="S97" s="117" t="str">
        <f>IF(B97="","",O97*M97)</f>
        <v/>
      </c>
    </row>
    <row r="98">
      <c r="A98" s="53" t="n">
        <v>39</v>
      </c>
      <c r="B98" s="53" t="str">
        <f>IF(A98&gt;$C$38,"",IF(A98&lt;=$C$5,"Básico",IF($C$6&gt;0,"Sucesivo","Opción de compra")))</f>
        <v/>
      </c>
      <c r="C98" s="53" t="str">
        <f>IF(B98="","",IF(B98="Opción de compra",$C$5,A98-$C$7))</f>
        <v/>
      </c>
      <c r="D98" s="130" t="str">
        <f>IF(B98="","",EDATE($C$33,C98))</f>
        <v/>
      </c>
      <c r="E98" s="117" t="str">
        <f>IF(B98="","",I97)</f>
        <v/>
      </c>
      <c r="F98" s="117" t="str">
        <f>IF(B98="","",IF(B98="Básico",$C$24,IF(B98="Sucesivo",$C$25,$C$26)))</f>
        <v/>
      </c>
      <c r="G98" s="117" t="str">
        <f>IF(B98="","",IF(B98="Opción de compra",0,(E98-$C$7*F98)*IF(B98="Sucesivo",$C$11,$C$9)))</f>
        <v/>
      </c>
      <c r="H98" s="117" t="str">
        <f>IF(B98="","",F98-G98)</f>
        <v/>
      </c>
      <c r="I98" s="117" t="str">
        <f>IF(B98="","",E98-H98)</f>
        <v/>
      </c>
      <c r="J98" s="117" t="str">
        <f>IF(B98="","",IF(OR(inp_Tipo="Arrendamiento Puro",par_BaseIVAFin="Sobre renta",B98="Opción de compra"),F98,G98)*$C$14)</f>
        <v/>
      </c>
      <c r="K98" s="117" t="str">
        <f>IF(B98="","",F98+J98)</f>
        <v/>
      </c>
      <c r="L98" s="117" t="str">
        <f>IF(B98="","",F98-IF(A98=$C$38,$C$30,0))</f>
        <v/>
      </c>
      <c r="M98" s="131" t="str">
        <f>IF(B98="","",$C$37*(1+$C$13)^(-C98))</f>
        <v/>
      </c>
      <c r="N98" s="117" t="str">
        <f>IF(B98="","",L98*M98)</f>
        <v/>
      </c>
      <c r="O98" s="117" t="str">
        <f>IF(B98="","",IF(B98="Básico",F98,0)-IF(A98=$C$38,$C$30,0))</f>
        <v/>
      </c>
      <c r="P98" s="130">
        <f>IF(B98="",$C$31,D98)</f>
        <v>46301.0</v>
      </c>
      <c r="Q98" s="117">
        <f>IF(B98="",0,L98)</f>
        <v>0</v>
      </c>
      <c r="R98" s="117">
        <f>IF(B98="",0,-F98)</f>
        <v>0</v>
      </c>
      <c r="S98" s="117" t="str">
        <f>IF(B98="","",O98*M98)</f>
        <v/>
      </c>
    </row>
    <row r="99">
      <c r="A99" s="53" t="n">
        <v>40</v>
      </c>
      <c r="B99" s="53" t="str">
        <f>IF(A99&gt;$C$38,"",IF(A99&lt;=$C$5,"Básico",IF($C$6&gt;0,"Sucesivo","Opción de compra")))</f>
        <v/>
      </c>
      <c r="C99" s="53" t="str">
        <f>IF(B99="","",IF(B99="Opción de compra",$C$5,A99-$C$7))</f>
        <v/>
      </c>
      <c r="D99" s="130" t="str">
        <f>IF(B99="","",EDATE($C$33,C99))</f>
        <v/>
      </c>
      <c r="E99" s="117" t="str">
        <f>IF(B99="","",I98)</f>
        <v/>
      </c>
      <c r="F99" s="117" t="str">
        <f>IF(B99="","",IF(B99="Básico",$C$24,IF(B99="Sucesivo",$C$25,$C$26)))</f>
        <v/>
      </c>
      <c r="G99" s="117" t="str">
        <f>IF(B99="","",IF(B99="Opción de compra",0,(E99-$C$7*F99)*IF(B99="Sucesivo",$C$11,$C$9)))</f>
        <v/>
      </c>
      <c r="H99" s="117" t="str">
        <f>IF(B99="","",F99-G99)</f>
        <v/>
      </c>
      <c r="I99" s="117" t="str">
        <f>IF(B99="","",E99-H99)</f>
        <v/>
      </c>
      <c r="J99" s="117" t="str">
        <f>IF(B99="","",IF(OR(inp_Tipo="Arrendamiento Puro",par_BaseIVAFin="Sobre renta",B99="Opción de compra"),F99,G99)*$C$14)</f>
        <v/>
      </c>
      <c r="K99" s="117" t="str">
        <f>IF(B99="","",F99+J99)</f>
        <v/>
      </c>
      <c r="L99" s="117" t="str">
        <f>IF(B99="","",F99-IF(A99=$C$38,$C$30,0))</f>
        <v/>
      </c>
      <c r="M99" s="131" t="str">
        <f>IF(B99="","",$C$37*(1+$C$13)^(-C99))</f>
        <v/>
      </c>
      <c r="N99" s="117" t="str">
        <f>IF(B99="","",L99*M99)</f>
        <v/>
      </c>
      <c r="O99" s="117" t="str">
        <f>IF(B99="","",IF(B99="Básico",F99,0)-IF(A99=$C$38,$C$30,0))</f>
        <v/>
      </c>
      <c r="P99" s="130">
        <f>IF(B99="",$C$31,D99)</f>
        <v>46301.0</v>
      </c>
      <c r="Q99" s="117">
        <f>IF(B99="",0,L99)</f>
        <v>0</v>
      </c>
      <c r="R99" s="117">
        <f>IF(B99="",0,-F99)</f>
        <v>0</v>
      </c>
      <c r="S99" s="117" t="str">
        <f>IF(B99="","",O99*M99)</f>
        <v/>
      </c>
    </row>
    <row r="100">
      <c r="A100" s="53" t="n">
        <v>41</v>
      </c>
      <c r="B100" s="53" t="str">
        <f>IF(A100&gt;$C$38,"",IF(A100&lt;=$C$5,"Básico",IF($C$6&gt;0,"Sucesivo","Opción de compra")))</f>
        <v/>
      </c>
      <c r="C100" s="53" t="str">
        <f>IF(B100="","",IF(B100="Opción de compra",$C$5,A100-$C$7))</f>
        <v/>
      </c>
      <c r="D100" s="130" t="str">
        <f>IF(B100="","",EDATE($C$33,C100))</f>
        <v/>
      </c>
      <c r="E100" s="117" t="str">
        <f>IF(B100="","",I99)</f>
        <v/>
      </c>
      <c r="F100" s="117" t="str">
        <f>IF(B100="","",IF(B100="Básico",$C$24,IF(B100="Sucesivo",$C$25,$C$26)))</f>
        <v/>
      </c>
      <c r="G100" s="117" t="str">
        <f>IF(B100="","",IF(B100="Opción de compra",0,(E100-$C$7*F100)*IF(B100="Sucesivo",$C$11,$C$9)))</f>
        <v/>
      </c>
      <c r="H100" s="117" t="str">
        <f>IF(B100="","",F100-G100)</f>
        <v/>
      </c>
      <c r="I100" s="117" t="str">
        <f>IF(B100="","",E100-H100)</f>
        <v/>
      </c>
      <c r="J100" s="117" t="str">
        <f>IF(B100="","",IF(OR(inp_Tipo="Arrendamiento Puro",par_BaseIVAFin="Sobre renta",B100="Opción de compra"),F100,G100)*$C$14)</f>
        <v/>
      </c>
      <c r="K100" s="117" t="str">
        <f>IF(B100="","",F100+J100)</f>
        <v/>
      </c>
      <c r="L100" s="117" t="str">
        <f>IF(B100="","",F100-IF(A100=$C$38,$C$30,0))</f>
        <v/>
      </c>
      <c r="M100" s="131" t="str">
        <f>IF(B100="","",$C$37*(1+$C$13)^(-C100))</f>
        <v/>
      </c>
      <c r="N100" s="117" t="str">
        <f>IF(B100="","",L100*M100)</f>
        <v/>
      </c>
      <c r="O100" s="117" t="str">
        <f>IF(B100="","",IF(B100="Básico",F100,0)-IF(A100=$C$38,$C$30,0))</f>
        <v/>
      </c>
      <c r="P100" s="130">
        <f>IF(B100="",$C$31,D100)</f>
        <v>46301.0</v>
      </c>
      <c r="Q100" s="117">
        <f>IF(B100="",0,L100)</f>
        <v>0</v>
      </c>
      <c r="R100" s="117">
        <f>IF(B100="",0,-F100)</f>
        <v>0</v>
      </c>
      <c r="S100" s="117" t="str">
        <f>IF(B100="","",O100*M100)</f>
        <v/>
      </c>
    </row>
    <row r="101">
      <c r="A101" s="53" t="n">
        <v>42</v>
      </c>
      <c r="B101" s="53" t="str">
        <f>IF(A101&gt;$C$38,"",IF(A101&lt;=$C$5,"Básico",IF($C$6&gt;0,"Sucesivo","Opción de compra")))</f>
        <v/>
      </c>
      <c r="C101" s="53" t="str">
        <f>IF(B101="","",IF(B101="Opción de compra",$C$5,A101-$C$7))</f>
        <v/>
      </c>
      <c r="D101" s="130" t="str">
        <f>IF(B101="","",EDATE($C$33,C101))</f>
        <v/>
      </c>
      <c r="E101" s="117" t="str">
        <f>IF(B101="","",I100)</f>
        <v/>
      </c>
      <c r="F101" s="117" t="str">
        <f>IF(B101="","",IF(B101="Básico",$C$24,IF(B101="Sucesivo",$C$25,$C$26)))</f>
        <v/>
      </c>
      <c r="G101" s="117" t="str">
        <f>IF(B101="","",IF(B101="Opción de compra",0,(E101-$C$7*F101)*IF(B101="Sucesivo",$C$11,$C$9)))</f>
        <v/>
      </c>
      <c r="H101" s="117" t="str">
        <f>IF(B101="","",F101-G101)</f>
        <v/>
      </c>
      <c r="I101" s="117" t="str">
        <f>IF(B101="","",E101-H101)</f>
        <v/>
      </c>
      <c r="J101" s="117" t="str">
        <f>IF(B101="","",IF(OR(inp_Tipo="Arrendamiento Puro",par_BaseIVAFin="Sobre renta",B101="Opción de compra"),F101,G101)*$C$14)</f>
        <v/>
      </c>
      <c r="K101" s="117" t="str">
        <f>IF(B101="","",F101+J101)</f>
        <v/>
      </c>
      <c r="L101" s="117" t="str">
        <f>IF(B101="","",F101-IF(A101=$C$38,$C$30,0))</f>
        <v/>
      </c>
      <c r="M101" s="131" t="str">
        <f>IF(B101="","",$C$37*(1+$C$13)^(-C101))</f>
        <v/>
      </c>
      <c r="N101" s="117" t="str">
        <f>IF(B101="","",L101*M101)</f>
        <v/>
      </c>
      <c r="O101" s="117" t="str">
        <f>IF(B101="","",IF(B101="Básico",F101,0)-IF(A101=$C$38,$C$30,0))</f>
        <v/>
      </c>
      <c r="P101" s="130">
        <f>IF(B101="",$C$31,D101)</f>
        <v>46301.0</v>
      </c>
      <c r="Q101" s="117">
        <f>IF(B101="",0,L101)</f>
        <v>0</v>
      </c>
      <c r="R101" s="117">
        <f>IF(B101="",0,-F101)</f>
        <v>0</v>
      </c>
      <c r="S101" s="117" t="str">
        <f>IF(B101="","",O101*M101)</f>
        <v/>
      </c>
    </row>
    <row r="102">
      <c r="A102" s="53" t="n">
        <v>43</v>
      </c>
      <c r="B102" s="53" t="str">
        <f>IF(A102&gt;$C$38,"",IF(A102&lt;=$C$5,"Básico",IF($C$6&gt;0,"Sucesivo","Opción de compra")))</f>
        <v/>
      </c>
      <c r="C102" s="53" t="str">
        <f>IF(B102="","",IF(B102="Opción de compra",$C$5,A102-$C$7))</f>
        <v/>
      </c>
      <c r="D102" s="130" t="str">
        <f>IF(B102="","",EDATE($C$33,C102))</f>
        <v/>
      </c>
      <c r="E102" s="117" t="str">
        <f>IF(B102="","",I101)</f>
        <v/>
      </c>
      <c r="F102" s="117" t="str">
        <f>IF(B102="","",IF(B102="Básico",$C$24,IF(B102="Sucesivo",$C$25,$C$26)))</f>
        <v/>
      </c>
      <c r="G102" s="117" t="str">
        <f>IF(B102="","",IF(B102="Opción de compra",0,(E102-$C$7*F102)*IF(B102="Sucesivo",$C$11,$C$9)))</f>
        <v/>
      </c>
      <c r="H102" s="117" t="str">
        <f>IF(B102="","",F102-G102)</f>
        <v/>
      </c>
      <c r="I102" s="117" t="str">
        <f>IF(B102="","",E102-H102)</f>
        <v/>
      </c>
      <c r="J102" s="117" t="str">
        <f>IF(B102="","",IF(OR(inp_Tipo="Arrendamiento Puro",par_BaseIVAFin="Sobre renta",B102="Opción de compra"),F102,G102)*$C$14)</f>
        <v/>
      </c>
      <c r="K102" s="117" t="str">
        <f>IF(B102="","",F102+J102)</f>
        <v/>
      </c>
      <c r="L102" s="117" t="str">
        <f>IF(B102="","",F102-IF(A102=$C$38,$C$30,0))</f>
        <v/>
      </c>
      <c r="M102" s="131" t="str">
        <f>IF(B102="","",$C$37*(1+$C$13)^(-C102))</f>
        <v/>
      </c>
      <c r="N102" s="117" t="str">
        <f>IF(B102="","",L102*M102)</f>
        <v/>
      </c>
      <c r="O102" s="117" t="str">
        <f>IF(B102="","",IF(B102="Básico",F102,0)-IF(A102=$C$38,$C$30,0))</f>
        <v/>
      </c>
      <c r="P102" s="130">
        <f>IF(B102="",$C$31,D102)</f>
        <v>46301.0</v>
      </c>
      <c r="Q102" s="117">
        <f>IF(B102="",0,L102)</f>
        <v>0</v>
      </c>
      <c r="R102" s="117">
        <f>IF(B102="",0,-F102)</f>
        <v>0</v>
      </c>
      <c r="S102" s="117" t="str">
        <f>IF(B102="","",O102*M102)</f>
        <v/>
      </c>
    </row>
    <row r="103">
      <c r="A103" s="53" t="n">
        <v>44</v>
      </c>
      <c r="B103" s="53" t="str">
        <f>IF(A103&gt;$C$38,"",IF(A103&lt;=$C$5,"Básico",IF($C$6&gt;0,"Sucesivo","Opción de compra")))</f>
        <v/>
      </c>
      <c r="C103" s="53" t="str">
        <f>IF(B103="","",IF(B103="Opción de compra",$C$5,A103-$C$7))</f>
        <v/>
      </c>
      <c r="D103" s="130" t="str">
        <f>IF(B103="","",EDATE($C$33,C103))</f>
        <v/>
      </c>
      <c r="E103" s="117" t="str">
        <f>IF(B103="","",I102)</f>
        <v/>
      </c>
      <c r="F103" s="117" t="str">
        <f>IF(B103="","",IF(B103="Básico",$C$24,IF(B103="Sucesivo",$C$25,$C$26)))</f>
        <v/>
      </c>
      <c r="G103" s="117" t="str">
        <f>IF(B103="","",IF(B103="Opción de compra",0,(E103-$C$7*F103)*IF(B103="Sucesivo",$C$11,$C$9)))</f>
        <v/>
      </c>
      <c r="H103" s="117" t="str">
        <f>IF(B103="","",F103-G103)</f>
        <v/>
      </c>
      <c r="I103" s="117" t="str">
        <f>IF(B103="","",E103-H103)</f>
        <v/>
      </c>
      <c r="J103" s="117" t="str">
        <f>IF(B103="","",IF(OR(inp_Tipo="Arrendamiento Puro",par_BaseIVAFin="Sobre renta",B103="Opción de compra"),F103,G103)*$C$14)</f>
        <v/>
      </c>
      <c r="K103" s="117" t="str">
        <f>IF(B103="","",F103+J103)</f>
        <v/>
      </c>
      <c r="L103" s="117" t="str">
        <f>IF(B103="","",F103-IF(A103=$C$38,$C$30,0))</f>
        <v/>
      </c>
      <c r="M103" s="131" t="str">
        <f>IF(B103="","",$C$37*(1+$C$13)^(-C103))</f>
        <v/>
      </c>
      <c r="N103" s="117" t="str">
        <f>IF(B103="","",L103*M103)</f>
        <v/>
      </c>
      <c r="O103" s="117" t="str">
        <f>IF(B103="","",IF(B103="Básico",F103,0)-IF(A103=$C$38,$C$30,0))</f>
        <v/>
      </c>
      <c r="P103" s="130">
        <f>IF(B103="",$C$31,D103)</f>
        <v>46301.0</v>
      </c>
      <c r="Q103" s="117">
        <f>IF(B103="",0,L103)</f>
        <v>0</v>
      </c>
      <c r="R103" s="117">
        <f>IF(B103="",0,-F103)</f>
        <v>0</v>
      </c>
      <c r="S103" s="117" t="str">
        <f>IF(B103="","",O103*M103)</f>
        <v/>
      </c>
    </row>
    <row r="104">
      <c r="A104" s="53" t="n">
        <v>45</v>
      </c>
      <c r="B104" s="53" t="str">
        <f>IF(A104&gt;$C$38,"",IF(A104&lt;=$C$5,"Básico",IF($C$6&gt;0,"Sucesivo","Opción de compra")))</f>
        <v/>
      </c>
      <c r="C104" s="53" t="str">
        <f>IF(B104="","",IF(B104="Opción de compra",$C$5,A104-$C$7))</f>
        <v/>
      </c>
      <c r="D104" s="130" t="str">
        <f>IF(B104="","",EDATE($C$33,C104))</f>
        <v/>
      </c>
      <c r="E104" s="117" t="str">
        <f>IF(B104="","",I103)</f>
        <v/>
      </c>
      <c r="F104" s="117" t="str">
        <f>IF(B104="","",IF(B104="Básico",$C$24,IF(B104="Sucesivo",$C$25,$C$26)))</f>
        <v/>
      </c>
      <c r="G104" s="117" t="str">
        <f>IF(B104="","",IF(B104="Opción de compra",0,(E104-$C$7*F104)*IF(B104="Sucesivo",$C$11,$C$9)))</f>
        <v/>
      </c>
      <c r="H104" s="117" t="str">
        <f>IF(B104="","",F104-G104)</f>
        <v/>
      </c>
      <c r="I104" s="117" t="str">
        <f>IF(B104="","",E104-H104)</f>
        <v/>
      </c>
      <c r="J104" s="117" t="str">
        <f>IF(B104="","",IF(OR(inp_Tipo="Arrendamiento Puro",par_BaseIVAFin="Sobre renta",B104="Opción de compra"),F104,G104)*$C$14)</f>
        <v/>
      </c>
      <c r="K104" s="117" t="str">
        <f>IF(B104="","",F104+J104)</f>
        <v/>
      </c>
      <c r="L104" s="117" t="str">
        <f>IF(B104="","",F104-IF(A104=$C$38,$C$30,0))</f>
        <v/>
      </c>
      <c r="M104" s="131" t="str">
        <f>IF(B104="","",$C$37*(1+$C$13)^(-C104))</f>
        <v/>
      </c>
      <c r="N104" s="117" t="str">
        <f>IF(B104="","",L104*M104)</f>
        <v/>
      </c>
      <c r="O104" s="117" t="str">
        <f>IF(B104="","",IF(B104="Básico",F104,0)-IF(A104=$C$38,$C$30,0))</f>
        <v/>
      </c>
      <c r="P104" s="130">
        <f>IF(B104="",$C$31,D104)</f>
        <v>46301.0</v>
      </c>
      <c r="Q104" s="117">
        <f>IF(B104="",0,L104)</f>
        <v>0</v>
      </c>
      <c r="R104" s="117">
        <f>IF(B104="",0,-F104)</f>
        <v>0</v>
      </c>
      <c r="S104" s="117" t="str">
        <f>IF(B104="","",O104*M104)</f>
        <v/>
      </c>
    </row>
    <row r="105">
      <c r="A105" s="53" t="n">
        <v>46</v>
      </c>
      <c r="B105" s="53" t="str">
        <f>IF(A105&gt;$C$38,"",IF(A105&lt;=$C$5,"Básico",IF($C$6&gt;0,"Sucesivo","Opción de compra")))</f>
        <v/>
      </c>
      <c r="C105" s="53" t="str">
        <f>IF(B105="","",IF(B105="Opción de compra",$C$5,A105-$C$7))</f>
        <v/>
      </c>
      <c r="D105" s="130" t="str">
        <f>IF(B105="","",EDATE($C$33,C105))</f>
        <v/>
      </c>
      <c r="E105" s="117" t="str">
        <f>IF(B105="","",I104)</f>
        <v/>
      </c>
      <c r="F105" s="117" t="str">
        <f>IF(B105="","",IF(B105="Básico",$C$24,IF(B105="Sucesivo",$C$25,$C$26)))</f>
        <v/>
      </c>
      <c r="G105" s="117" t="str">
        <f>IF(B105="","",IF(B105="Opción de compra",0,(E105-$C$7*F105)*IF(B105="Sucesivo",$C$11,$C$9)))</f>
        <v/>
      </c>
      <c r="H105" s="117" t="str">
        <f>IF(B105="","",F105-G105)</f>
        <v/>
      </c>
      <c r="I105" s="117" t="str">
        <f>IF(B105="","",E105-H105)</f>
        <v/>
      </c>
      <c r="J105" s="117" t="str">
        <f>IF(B105="","",IF(OR(inp_Tipo="Arrendamiento Puro",par_BaseIVAFin="Sobre renta",B105="Opción de compra"),F105,G105)*$C$14)</f>
        <v/>
      </c>
      <c r="K105" s="117" t="str">
        <f>IF(B105="","",F105+J105)</f>
        <v/>
      </c>
      <c r="L105" s="117" t="str">
        <f>IF(B105="","",F105-IF(A105=$C$38,$C$30,0))</f>
        <v/>
      </c>
      <c r="M105" s="131" t="str">
        <f>IF(B105="","",$C$37*(1+$C$13)^(-C105))</f>
        <v/>
      </c>
      <c r="N105" s="117" t="str">
        <f>IF(B105="","",L105*M105)</f>
        <v/>
      </c>
      <c r="O105" s="117" t="str">
        <f>IF(B105="","",IF(B105="Básico",F105,0)-IF(A105=$C$38,$C$30,0))</f>
        <v/>
      </c>
      <c r="P105" s="130">
        <f>IF(B105="",$C$31,D105)</f>
        <v>46301.0</v>
      </c>
      <c r="Q105" s="117">
        <f>IF(B105="",0,L105)</f>
        <v>0</v>
      </c>
      <c r="R105" s="117">
        <f>IF(B105="",0,-F105)</f>
        <v>0</v>
      </c>
      <c r="S105" s="117" t="str">
        <f>IF(B105="","",O105*M105)</f>
        <v/>
      </c>
    </row>
    <row r="106">
      <c r="A106" s="53" t="n">
        <v>47</v>
      </c>
      <c r="B106" s="53" t="str">
        <f>IF(A106&gt;$C$38,"",IF(A106&lt;=$C$5,"Básico",IF($C$6&gt;0,"Sucesivo","Opción de compra")))</f>
        <v/>
      </c>
      <c r="C106" s="53" t="str">
        <f>IF(B106="","",IF(B106="Opción de compra",$C$5,A106-$C$7))</f>
        <v/>
      </c>
      <c r="D106" s="130" t="str">
        <f>IF(B106="","",EDATE($C$33,C106))</f>
        <v/>
      </c>
      <c r="E106" s="117" t="str">
        <f>IF(B106="","",I105)</f>
        <v/>
      </c>
      <c r="F106" s="117" t="str">
        <f>IF(B106="","",IF(B106="Básico",$C$24,IF(B106="Sucesivo",$C$25,$C$26)))</f>
        <v/>
      </c>
      <c r="G106" s="117" t="str">
        <f>IF(B106="","",IF(B106="Opción de compra",0,(E106-$C$7*F106)*IF(B106="Sucesivo",$C$11,$C$9)))</f>
        <v/>
      </c>
      <c r="H106" s="117" t="str">
        <f>IF(B106="","",F106-G106)</f>
        <v/>
      </c>
      <c r="I106" s="117" t="str">
        <f>IF(B106="","",E106-H106)</f>
        <v/>
      </c>
      <c r="J106" s="117" t="str">
        <f>IF(B106="","",IF(OR(inp_Tipo="Arrendamiento Puro",par_BaseIVAFin="Sobre renta",B106="Opción de compra"),F106,G106)*$C$14)</f>
        <v/>
      </c>
      <c r="K106" s="117" t="str">
        <f>IF(B106="","",F106+J106)</f>
        <v/>
      </c>
      <c r="L106" s="117" t="str">
        <f>IF(B106="","",F106-IF(A106=$C$38,$C$30,0))</f>
        <v/>
      </c>
      <c r="M106" s="131" t="str">
        <f>IF(B106="","",$C$37*(1+$C$13)^(-C106))</f>
        <v/>
      </c>
      <c r="N106" s="117" t="str">
        <f>IF(B106="","",L106*M106)</f>
        <v/>
      </c>
      <c r="O106" s="117" t="str">
        <f>IF(B106="","",IF(B106="Básico",F106,0)-IF(A106=$C$38,$C$30,0))</f>
        <v/>
      </c>
      <c r="P106" s="130">
        <f>IF(B106="",$C$31,D106)</f>
        <v>46301.0</v>
      </c>
      <c r="Q106" s="117">
        <f>IF(B106="",0,L106)</f>
        <v>0</v>
      </c>
      <c r="R106" s="117">
        <f>IF(B106="",0,-F106)</f>
        <v>0</v>
      </c>
      <c r="S106" s="117" t="str">
        <f>IF(B106="","",O106*M106)</f>
        <v/>
      </c>
    </row>
    <row r="107">
      <c r="A107" s="53" t="n">
        <v>48</v>
      </c>
      <c r="B107" s="53" t="str">
        <f>IF(A107&gt;$C$38,"",IF(A107&lt;=$C$5,"Básico",IF($C$6&gt;0,"Sucesivo","Opción de compra")))</f>
        <v/>
      </c>
      <c r="C107" s="53" t="str">
        <f>IF(B107="","",IF(B107="Opción de compra",$C$5,A107-$C$7))</f>
        <v/>
      </c>
      <c r="D107" s="130" t="str">
        <f>IF(B107="","",EDATE($C$33,C107))</f>
        <v/>
      </c>
      <c r="E107" s="117" t="str">
        <f>IF(B107="","",I106)</f>
        <v/>
      </c>
      <c r="F107" s="117" t="str">
        <f>IF(B107="","",IF(B107="Básico",$C$24,IF(B107="Sucesivo",$C$25,$C$26)))</f>
        <v/>
      </c>
      <c r="G107" s="117" t="str">
        <f>IF(B107="","",IF(B107="Opción de compra",0,(E107-$C$7*F107)*IF(B107="Sucesivo",$C$11,$C$9)))</f>
        <v/>
      </c>
      <c r="H107" s="117" t="str">
        <f>IF(B107="","",F107-G107)</f>
        <v/>
      </c>
      <c r="I107" s="117" t="str">
        <f>IF(B107="","",E107-H107)</f>
        <v/>
      </c>
      <c r="J107" s="117" t="str">
        <f>IF(B107="","",IF(OR(inp_Tipo="Arrendamiento Puro",par_BaseIVAFin="Sobre renta",B107="Opción de compra"),F107,G107)*$C$14)</f>
        <v/>
      </c>
      <c r="K107" s="117" t="str">
        <f>IF(B107="","",F107+J107)</f>
        <v/>
      </c>
      <c r="L107" s="117" t="str">
        <f>IF(B107="","",F107-IF(A107=$C$38,$C$30,0))</f>
        <v/>
      </c>
      <c r="M107" s="131" t="str">
        <f>IF(B107="","",$C$37*(1+$C$13)^(-C107))</f>
        <v/>
      </c>
      <c r="N107" s="117" t="str">
        <f>IF(B107="","",L107*M107)</f>
        <v/>
      </c>
      <c r="O107" s="117" t="str">
        <f>IF(B107="","",IF(B107="Básico",F107,0)-IF(A107=$C$38,$C$30,0))</f>
        <v/>
      </c>
      <c r="P107" s="130">
        <f>IF(B107="",$C$31,D107)</f>
        <v>46301.0</v>
      </c>
      <c r="Q107" s="117">
        <f>IF(B107="",0,L107)</f>
        <v>0</v>
      </c>
      <c r="R107" s="117">
        <f>IF(B107="",0,-F107)</f>
        <v>0</v>
      </c>
      <c r="S107" s="117" t="str">
        <f>IF(B107="","",O107*M107)</f>
        <v/>
      </c>
    </row>
    <row r="108">
      <c r="A108" s="53" t="n">
        <v>49</v>
      </c>
      <c r="B108" s="53" t="str">
        <f>IF(A108&gt;$C$38,"",IF(A108&lt;=$C$5,"Básico",IF($C$6&gt;0,"Sucesivo","Opción de compra")))</f>
        <v/>
      </c>
      <c r="C108" s="53" t="str">
        <f>IF(B108="","",IF(B108="Opción de compra",$C$5,A108-$C$7))</f>
        <v/>
      </c>
      <c r="D108" s="130" t="str">
        <f>IF(B108="","",EDATE($C$33,C108))</f>
        <v/>
      </c>
      <c r="E108" s="117" t="str">
        <f>IF(B108="","",I107)</f>
        <v/>
      </c>
      <c r="F108" s="117" t="str">
        <f>IF(B108="","",IF(B108="Básico",$C$24,IF(B108="Sucesivo",$C$25,$C$26)))</f>
        <v/>
      </c>
      <c r="G108" s="117" t="str">
        <f>IF(B108="","",IF(B108="Opción de compra",0,(E108-$C$7*F108)*IF(B108="Sucesivo",$C$11,$C$9)))</f>
        <v/>
      </c>
      <c r="H108" s="117" t="str">
        <f>IF(B108="","",F108-G108)</f>
        <v/>
      </c>
      <c r="I108" s="117" t="str">
        <f>IF(B108="","",E108-H108)</f>
        <v/>
      </c>
      <c r="J108" s="117" t="str">
        <f>IF(B108="","",IF(OR(inp_Tipo="Arrendamiento Puro",par_BaseIVAFin="Sobre renta",B108="Opción de compra"),F108,G108)*$C$14)</f>
        <v/>
      </c>
      <c r="K108" s="117" t="str">
        <f>IF(B108="","",F108+J108)</f>
        <v/>
      </c>
      <c r="L108" s="117" t="str">
        <f>IF(B108="","",F108-IF(A108=$C$38,$C$30,0))</f>
        <v/>
      </c>
      <c r="M108" s="131" t="str">
        <f>IF(B108="","",$C$37*(1+$C$13)^(-C108))</f>
        <v/>
      </c>
      <c r="N108" s="117" t="str">
        <f>IF(B108="","",L108*M108)</f>
        <v/>
      </c>
      <c r="O108" s="117" t="str">
        <f>IF(B108="","",IF(B108="Básico",F108,0)-IF(A108=$C$38,$C$30,0))</f>
        <v/>
      </c>
      <c r="P108" s="130">
        <f>IF(B108="",$C$31,D108)</f>
        <v>46301.0</v>
      </c>
      <c r="Q108" s="117">
        <f>IF(B108="",0,L108)</f>
        <v>0</v>
      </c>
      <c r="R108" s="117">
        <f>IF(B108="",0,-F108)</f>
        <v>0</v>
      </c>
      <c r="S108" s="117" t="str">
        <f>IF(B108="","",O108*M108)</f>
        <v/>
      </c>
    </row>
    <row r="109">
      <c r="A109" s="53" t="n">
        <v>50</v>
      </c>
      <c r="B109" s="53" t="str">
        <f>IF(A109&gt;$C$38,"",IF(A109&lt;=$C$5,"Básico",IF($C$6&gt;0,"Sucesivo","Opción de compra")))</f>
        <v/>
      </c>
      <c r="C109" s="53" t="str">
        <f>IF(B109="","",IF(B109="Opción de compra",$C$5,A109-$C$7))</f>
        <v/>
      </c>
      <c r="D109" s="130" t="str">
        <f>IF(B109="","",EDATE($C$33,C109))</f>
        <v/>
      </c>
      <c r="E109" s="117" t="str">
        <f>IF(B109="","",I108)</f>
        <v/>
      </c>
      <c r="F109" s="117" t="str">
        <f>IF(B109="","",IF(B109="Básico",$C$24,IF(B109="Sucesivo",$C$25,$C$26)))</f>
        <v/>
      </c>
      <c r="G109" s="117" t="str">
        <f>IF(B109="","",IF(B109="Opción de compra",0,(E109-$C$7*F109)*IF(B109="Sucesivo",$C$11,$C$9)))</f>
        <v/>
      </c>
      <c r="H109" s="117" t="str">
        <f>IF(B109="","",F109-G109)</f>
        <v/>
      </c>
      <c r="I109" s="117" t="str">
        <f>IF(B109="","",E109-H109)</f>
        <v/>
      </c>
      <c r="J109" s="117" t="str">
        <f>IF(B109="","",IF(OR(inp_Tipo="Arrendamiento Puro",par_BaseIVAFin="Sobre renta",B109="Opción de compra"),F109,G109)*$C$14)</f>
        <v/>
      </c>
      <c r="K109" s="117" t="str">
        <f>IF(B109="","",F109+J109)</f>
        <v/>
      </c>
      <c r="L109" s="117" t="str">
        <f>IF(B109="","",F109-IF(A109=$C$38,$C$30,0))</f>
        <v/>
      </c>
      <c r="M109" s="131" t="str">
        <f>IF(B109="","",$C$37*(1+$C$13)^(-C109))</f>
        <v/>
      </c>
      <c r="N109" s="117" t="str">
        <f>IF(B109="","",L109*M109)</f>
        <v/>
      </c>
      <c r="O109" s="117" t="str">
        <f>IF(B109="","",IF(B109="Básico",F109,0)-IF(A109=$C$38,$C$30,0))</f>
        <v/>
      </c>
      <c r="P109" s="130">
        <f>IF(B109="",$C$31,D109)</f>
        <v>46301.0</v>
      </c>
      <c r="Q109" s="117">
        <f>IF(B109="",0,L109)</f>
        <v>0</v>
      </c>
      <c r="R109" s="117">
        <f>IF(B109="",0,-F109)</f>
        <v>0</v>
      </c>
      <c r="S109" s="117" t="str">
        <f>IF(B109="","",O109*M109)</f>
        <v/>
      </c>
    </row>
    <row r="110">
      <c r="A110" s="53" t="n">
        <v>51</v>
      </c>
      <c r="B110" s="53" t="str">
        <f>IF(A110&gt;$C$38,"",IF(A110&lt;=$C$5,"Básico",IF($C$6&gt;0,"Sucesivo","Opción de compra")))</f>
        <v/>
      </c>
      <c r="C110" s="53" t="str">
        <f>IF(B110="","",IF(B110="Opción de compra",$C$5,A110-$C$7))</f>
        <v/>
      </c>
      <c r="D110" s="130" t="str">
        <f>IF(B110="","",EDATE($C$33,C110))</f>
        <v/>
      </c>
      <c r="E110" s="117" t="str">
        <f>IF(B110="","",I109)</f>
        <v/>
      </c>
      <c r="F110" s="117" t="str">
        <f>IF(B110="","",IF(B110="Básico",$C$24,IF(B110="Sucesivo",$C$25,$C$26)))</f>
        <v/>
      </c>
      <c r="G110" s="117" t="str">
        <f>IF(B110="","",IF(B110="Opción de compra",0,(E110-$C$7*F110)*IF(B110="Sucesivo",$C$11,$C$9)))</f>
        <v/>
      </c>
      <c r="H110" s="117" t="str">
        <f>IF(B110="","",F110-G110)</f>
        <v/>
      </c>
      <c r="I110" s="117" t="str">
        <f>IF(B110="","",E110-H110)</f>
        <v/>
      </c>
      <c r="J110" s="117" t="str">
        <f>IF(B110="","",IF(OR(inp_Tipo="Arrendamiento Puro",par_BaseIVAFin="Sobre renta",B110="Opción de compra"),F110,G110)*$C$14)</f>
        <v/>
      </c>
      <c r="K110" s="117" t="str">
        <f>IF(B110="","",F110+J110)</f>
        <v/>
      </c>
      <c r="L110" s="117" t="str">
        <f>IF(B110="","",F110-IF(A110=$C$38,$C$30,0))</f>
        <v/>
      </c>
      <c r="M110" s="131" t="str">
        <f>IF(B110="","",$C$37*(1+$C$13)^(-C110))</f>
        <v/>
      </c>
      <c r="N110" s="117" t="str">
        <f>IF(B110="","",L110*M110)</f>
        <v/>
      </c>
      <c r="O110" s="117" t="str">
        <f>IF(B110="","",IF(B110="Básico",F110,0)-IF(A110=$C$38,$C$30,0))</f>
        <v/>
      </c>
      <c r="P110" s="130">
        <f>IF(B110="",$C$31,D110)</f>
        <v>46301.0</v>
      </c>
      <c r="Q110" s="117">
        <f>IF(B110="",0,L110)</f>
        <v>0</v>
      </c>
      <c r="R110" s="117">
        <f>IF(B110="",0,-F110)</f>
        <v>0</v>
      </c>
      <c r="S110" s="117" t="str">
        <f>IF(B110="","",O110*M110)</f>
        <v/>
      </c>
    </row>
    <row r="111">
      <c r="A111" s="53" t="n">
        <v>52</v>
      </c>
      <c r="B111" s="53" t="str">
        <f>IF(A111&gt;$C$38,"",IF(A111&lt;=$C$5,"Básico",IF($C$6&gt;0,"Sucesivo","Opción de compra")))</f>
        <v/>
      </c>
      <c r="C111" s="53" t="str">
        <f>IF(B111="","",IF(B111="Opción de compra",$C$5,A111-$C$7))</f>
        <v/>
      </c>
      <c r="D111" s="130" t="str">
        <f>IF(B111="","",EDATE($C$33,C111))</f>
        <v/>
      </c>
      <c r="E111" s="117" t="str">
        <f>IF(B111="","",I110)</f>
        <v/>
      </c>
      <c r="F111" s="117" t="str">
        <f>IF(B111="","",IF(B111="Básico",$C$24,IF(B111="Sucesivo",$C$25,$C$26)))</f>
        <v/>
      </c>
      <c r="G111" s="117" t="str">
        <f>IF(B111="","",IF(B111="Opción de compra",0,(E111-$C$7*F111)*IF(B111="Sucesivo",$C$11,$C$9)))</f>
        <v/>
      </c>
      <c r="H111" s="117" t="str">
        <f>IF(B111="","",F111-G111)</f>
        <v/>
      </c>
      <c r="I111" s="117" t="str">
        <f>IF(B111="","",E111-H111)</f>
        <v/>
      </c>
      <c r="J111" s="117" t="str">
        <f>IF(B111="","",IF(OR(inp_Tipo="Arrendamiento Puro",par_BaseIVAFin="Sobre renta",B111="Opción de compra"),F111,G111)*$C$14)</f>
        <v/>
      </c>
      <c r="K111" s="117" t="str">
        <f>IF(B111="","",F111+J111)</f>
        <v/>
      </c>
      <c r="L111" s="117" t="str">
        <f>IF(B111="","",F111-IF(A111=$C$38,$C$30,0))</f>
        <v/>
      </c>
      <c r="M111" s="131" t="str">
        <f>IF(B111="","",$C$37*(1+$C$13)^(-C111))</f>
        <v/>
      </c>
      <c r="N111" s="117" t="str">
        <f>IF(B111="","",L111*M111)</f>
        <v/>
      </c>
      <c r="O111" s="117" t="str">
        <f>IF(B111="","",IF(B111="Básico",F111,0)-IF(A111=$C$38,$C$30,0))</f>
        <v/>
      </c>
      <c r="P111" s="130">
        <f>IF(B111="",$C$31,D111)</f>
        <v>46301.0</v>
      </c>
      <c r="Q111" s="117">
        <f>IF(B111="",0,L111)</f>
        <v>0</v>
      </c>
      <c r="R111" s="117">
        <f>IF(B111="",0,-F111)</f>
        <v>0</v>
      </c>
      <c r="S111" s="117" t="str">
        <f>IF(B111="","",O111*M111)</f>
        <v/>
      </c>
    </row>
    <row r="112">
      <c r="A112" s="53" t="n">
        <v>53</v>
      </c>
      <c r="B112" s="53" t="str">
        <f>IF(A112&gt;$C$38,"",IF(A112&lt;=$C$5,"Básico",IF($C$6&gt;0,"Sucesivo","Opción de compra")))</f>
        <v/>
      </c>
      <c r="C112" s="53" t="str">
        <f>IF(B112="","",IF(B112="Opción de compra",$C$5,A112-$C$7))</f>
        <v/>
      </c>
      <c r="D112" s="130" t="str">
        <f>IF(B112="","",EDATE($C$33,C112))</f>
        <v/>
      </c>
      <c r="E112" s="117" t="str">
        <f>IF(B112="","",I111)</f>
        <v/>
      </c>
      <c r="F112" s="117" t="str">
        <f>IF(B112="","",IF(B112="Básico",$C$24,IF(B112="Sucesivo",$C$25,$C$26)))</f>
        <v/>
      </c>
      <c r="G112" s="117" t="str">
        <f>IF(B112="","",IF(B112="Opción de compra",0,(E112-$C$7*F112)*IF(B112="Sucesivo",$C$11,$C$9)))</f>
        <v/>
      </c>
      <c r="H112" s="117" t="str">
        <f>IF(B112="","",F112-G112)</f>
        <v/>
      </c>
      <c r="I112" s="117" t="str">
        <f>IF(B112="","",E112-H112)</f>
        <v/>
      </c>
      <c r="J112" s="117" t="str">
        <f>IF(B112="","",IF(OR(inp_Tipo="Arrendamiento Puro",par_BaseIVAFin="Sobre renta",B112="Opción de compra"),F112,G112)*$C$14)</f>
        <v/>
      </c>
      <c r="K112" s="117" t="str">
        <f>IF(B112="","",F112+J112)</f>
        <v/>
      </c>
      <c r="L112" s="117" t="str">
        <f>IF(B112="","",F112-IF(A112=$C$38,$C$30,0))</f>
        <v/>
      </c>
      <c r="M112" s="131" t="str">
        <f>IF(B112="","",$C$37*(1+$C$13)^(-C112))</f>
        <v/>
      </c>
      <c r="N112" s="117" t="str">
        <f>IF(B112="","",L112*M112)</f>
        <v/>
      </c>
      <c r="O112" s="117" t="str">
        <f>IF(B112="","",IF(B112="Básico",F112,0)-IF(A112=$C$38,$C$30,0))</f>
        <v/>
      </c>
      <c r="P112" s="130">
        <f>IF(B112="",$C$31,D112)</f>
        <v>46301.0</v>
      </c>
      <c r="Q112" s="117">
        <f>IF(B112="",0,L112)</f>
        <v>0</v>
      </c>
      <c r="R112" s="117">
        <f>IF(B112="",0,-F112)</f>
        <v>0</v>
      </c>
      <c r="S112" s="117" t="str">
        <f>IF(B112="","",O112*M112)</f>
        <v/>
      </c>
    </row>
    <row r="113">
      <c r="A113" s="53" t="n">
        <v>54</v>
      </c>
      <c r="B113" s="53" t="str">
        <f>IF(A113&gt;$C$38,"",IF(A113&lt;=$C$5,"Básico",IF($C$6&gt;0,"Sucesivo","Opción de compra")))</f>
        <v/>
      </c>
      <c r="C113" s="53" t="str">
        <f>IF(B113="","",IF(B113="Opción de compra",$C$5,A113-$C$7))</f>
        <v/>
      </c>
      <c r="D113" s="130" t="str">
        <f>IF(B113="","",EDATE($C$33,C113))</f>
        <v/>
      </c>
      <c r="E113" s="117" t="str">
        <f>IF(B113="","",I112)</f>
        <v/>
      </c>
      <c r="F113" s="117" t="str">
        <f>IF(B113="","",IF(B113="Básico",$C$24,IF(B113="Sucesivo",$C$25,$C$26)))</f>
        <v/>
      </c>
      <c r="G113" s="117" t="str">
        <f>IF(B113="","",IF(B113="Opción de compra",0,(E113-$C$7*F113)*IF(B113="Sucesivo",$C$11,$C$9)))</f>
        <v/>
      </c>
      <c r="H113" s="117" t="str">
        <f>IF(B113="","",F113-G113)</f>
        <v/>
      </c>
      <c r="I113" s="117" t="str">
        <f>IF(B113="","",E113-H113)</f>
        <v/>
      </c>
      <c r="J113" s="117" t="str">
        <f>IF(B113="","",IF(OR(inp_Tipo="Arrendamiento Puro",par_BaseIVAFin="Sobre renta",B113="Opción de compra"),F113,G113)*$C$14)</f>
        <v/>
      </c>
      <c r="K113" s="117" t="str">
        <f>IF(B113="","",F113+J113)</f>
        <v/>
      </c>
      <c r="L113" s="117" t="str">
        <f>IF(B113="","",F113-IF(A113=$C$38,$C$30,0))</f>
        <v/>
      </c>
      <c r="M113" s="131" t="str">
        <f>IF(B113="","",$C$37*(1+$C$13)^(-C113))</f>
        <v/>
      </c>
      <c r="N113" s="117" t="str">
        <f>IF(B113="","",L113*M113)</f>
        <v/>
      </c>
      <c r="O113" s="117" t="str">
        <f>IF(B113="","",IF(B113="Básico",F113,0)-IF(A113=$C$38,$C$30,0))</f>
        <v/>
      </c>
      <c r="P113" s="130">
        <f>IF(B113="",$C$31,D113)</f>
        <v>46301.0</v>
      </c>
      <c r="Q113" s="117">
        <f>IF(B113="",0,L113)</f>
        <v>0</v>
      </c>
      <c r="R113" s="117">
        <f>IF(B113="",0,-F113)</f>
        <v>0</v>
      </c>
      <c r="S113" s="117" t="str">
        <f>IF(B113="","",O113*M113)</f>
        <v/>
      </c>
    </row>
    <row r="114">
      <c r="A114" s="53" t="n">
        <v>55</v>
      </c>
      <c r="B114" s="53" t="str">
        <f>IF(A114&gt;$C$38,"",IF(A114&lt;=$C$5,"Básico",IF($C$6&gt;0,"Sucesivo","Opción de compra")))</f>
        <v/>
      </c>
      <c r="C114" s="53" t="str">
        <f>IF(B114="","",IF(B114="Opción de compra",$C$5,A114-$C$7))</f>
        <v/>
      </c>
      <c r="D114" s="130" t="str">
        <f>IF(B114="","",EDATE($C$33,C114))</f>
        <v/>
      </c>
      <c r="E114" s="117" t="str">
        <f>IF(B114="","",I113)</f>
        <v/>
      </c>
      <c r="F114" s="117" t="str">
        <f>IF(B114="","",IF(B114="Básico",$C$24,IF(B114="Sucesivo",$C$25,$C$26)))</f>
        <v/>
      </c>
      <c r="G114" s="117" t="str">
        <f>IF(B114="","",IF(B114="Opción de compra",0,(E114-$C$7*F114)*IF(B114="Sucesivo",$C$11,$C$9)))</f>
        <v/>
      </c>
      <c r="H114" s="117" t="str">
        <f>IF(B114="","",F114-G114)</f>
        <v/>
      </c>
      <c r="I114" s="117" t="str">
        <f>IF(B114="","",E114-H114)</f>
        <v/>
      </c>
      <c r="J114" s="117" t="str">
        <f>IF(B114="","",IF(OR(inp_Tipo="Arrendamiento Puro",par_BaseIVAFin="Sobre renta",B114="Opción de compra"),F114,G114)*$C$14)</f>
        <v/>
      </c>
      <c r="K114" s="117" t="str">
        <f>IF(B114="","",F114+J114)</f>
        <v/>
      </c>
      <c r="L114" s="117" t="str">
        <f>IF(B114="","",F114-IF(A114=$C$38,$C$30,0))</f>
        <v/>
      </c>
      <c r="M114" s="131" t="str">
        <f>IF(B114="","",$C$37*(1+$C$13)^(-C114))</f>
        <v/>
      </c>
      <c r="N114" s="117" t="str">
        <f>IF(B114="","",L114*M114)</f>
        <v/>
      </c>
      <c r="O114" s="117" t="str">
        <f>IF(B114="","",IF(B114="Básico",F114,0)-IF(A114=$C$38,$C$30,0))</f>
        <v/>
      </c>
      <c r="P114" s="130">
        <f>IF(B114="",$C$31,D114)</f>
        <v>46301.0</v>
      </c>
      <c r="Q114" s="117">
        <f>IF(B114="",0,L114)</f>
        <v>0</v>
      </c>
      <c r="R114" s="117">
        <f>IF(B114="",0,-F114)</f>
        <v>0</v>
      </c>
      <c r="S114" s="117" t="str">
        <f>IF(B114="","",O114*M114)</f>
        <v/>
      </c>
    </row>
    <row r="115">
      <c r="A115" s="53" t="n">
        <v>56</v>
      </c>
      <c r="B115" s="53" t="str">
        <f>IF(A115&gt;$C$38,"",IF(A115&lt;=$C$5,"Básico",IF($C$6&gt;0,"Sucesivo","Opción de compra")))</f>
        <v/>
      </c>
      <c r="C115" s="53" t="str">
        <f>IF(B115="","",IF(B115="Opción de compra",$C$5,A115-$C$7))</f>
        <v/>
      </c>
      <c r="D115" s="130" t="str">
        <f>IF(B115="","",EDATE($C$33,C115))</f>
        <v/>
      </c>
      <c r="E115" s="117" t="str">
        <f>IF(B115="","",I114)</f>
        <v/>
      </c>
      <c r="F115" s="117" t="str">
        <f>IF(B115="","",IF(B115="Básico",$C$24,IF(B115="Sucesivo",$C$25,$C$26)))</f>
        <v/>
      </c>
      <c r="G115" s="117" t="str">
        <f>IF(B115="","",IF(B115="Opción de compra",0,(E115-$C$7*F115)*IF(B115="Sucesivo",$C$11,$C$9)))</f>
        <v/>
      </c>
      <c r="H115" s="117" t="str">
        <f>IF(B115="","",F115-G115)</f>
        <v/>
      </c>
      <c r="I115" s="117" t="str">
        <f>IF(B115="","",E115-H115)</f>
        <v/>
      </c>
      <c r="J115" s="117" t="str">
        <f>IF(B115="","",IF(OR(inp_Tipo="Arrendamiento Puro",par_BaseIVAFin="Sobre renta",B115="Opción de compra"),F115,G115)*$C$14)</f>
        <v/>
      </c>
      <c r="K115" s="117" t="str">
        <f>IF(B115="","",F115+J115)</f>
        <v/>
      </c>
      <c r="L115" s="117" t="str">
        <f>IF(B115="","",F115-IF(A115=$C$38,$C$30,0))</f>
        <v/>
      </c>
      <c r="M115" s="131" t="str">
        <f>IF(B115="","",$C$37*(1+$C$13)^(-C115))</f>
        <v/>
      </c>
      <c r="N115" s="117" t="str">
        <f>IF(B115="","",L115*M115)</f>
        <v/>
      </c>
      <c r="O115" s="117" t="str">
        <f>IF(B115="","",IF(B115="Básico",F115,0)-IF(A115=$C$38,$C$30,0))</f>
        <v/>
      </c>
      <c r="P115" s="130">
        <f>IF(B115="",$C$31,D115)</f>
        <v>46301.0</v>
      </c>
      <c r="Q115" s="117">
        <f>IF(B115="",0,L115)</f>
        <v>0</v>
      </c>
      <c r="R115" s="117">
        <f>IF(B115="",0,-F115)</f>
        <v>0</v>
      </c>
      <c r="S115" s="117" t="str">
        <f>IF(B115="","",O115*M115)</f>
        <v/>
      </c>
    </row>
    <row r="116">
      <c r="A116" s="53" t="n">
        <v>57</v>
      </c>
      <c r="B116" s="53" t="str">
        <f>IF(A116&gt;$C$38,"",IF(A116&lt;=$C$5,"Básico",IF($C$6&gt;0,"Sucesivo","Opción de compra")))</f>
        <v/>
      </c>
      <c r="C116" s="53" t="str">
        <f>IF(B116="","",IF(B116="Opción de compra",$C$5,A116-$C$7))</f>
        <v/>
      </c>
      <c r="D116" s="130" t="str">
        <f>IF(B116="","",EDATE($C$33,C116))</f>
        <v/>
      </c>
      <c r="E116" s="117" t="str">
        <f>IF(B116="","",I115)</f>
        <v/>
      </c>
      <c r="F116" s="117" t="str">
        <f>IF(B116="","",IF(B116="Básico",$C$24,IF(B116="Sucesivo",$C$25,$C$26)))</f>
        <v/>
      </c>
      <c r="G116" s="117" t="str">
        <f>IF(B116="","",IF(B116="Opción de compra",0,(E116-$C$7*F116)*IF(B116="Sucesivo",$C$11,$C$9)))</f>
        <v/>
      </c>
      <c r="H116" s="117" t="str">
        <f>IF(B116="","",F116-G116)</f>
        <v/>
      </c>
      <c r="I116" s="117" t="str">
        <f>IF(B116="","",E116-H116)</f>
        <v/>
      </c>
      <c r="J116" s="117" t="str">
        <f>IF(B116="","",IF(OR(inp_Tipo="Arrendamiento Puro",par_BaseIVAFin="Sobre renta",B116="Opción de compra"),F116,G116)*$C$14)</f>
        <v/>
      </c>
      <c r="K116" s="117" t="str">
        <f>IF(B116="","",F116+J116)</f>
        <v/>
      </c>
      <c r="L116" s="117" t="str">
        <f>IF(B116="","",F116-IF(A116=$C$38,$C$30,0))</f>
        <v/>
      </c>
      <c r="M116" s="131" t="str">
        <f>IF(B116="","",$C$37*(1+$C$13)^(-C116))</f>
        <v/>
      </c>
      <c r="N116" s="117" t="str">
        <f>IF(B116="","",L116*M116)</f>
        <v/>
      </c>
      <c r="O116" s="117" t="str">
        <f>IF(B116="","",IF(B116="Básico",F116,0)-IF(A116=$C$38,$C$30,0))</f>
        <v/>
      </c>
      <c r="P116" s="130">
        <f>IF(B116="",$C$31,D116)</f>
        <v>46301.0</v>
      </c>
      <c r="Q116" s="117">
        <f>IF(B116="",0,L116)</f>
        <v>0</v>
      </c>
      <c r="R116" s="117">
        <f>IF(B116="",0,-F116)</f>
        <v>0</v>
      </c>
      <c r="S116" s="117" t="str">
        <f>IF(B116="","",O116*M116)</f>
        <v/>
      </c>
    </row>
    <row r="117">
      <c r="A117" s="53" t="n">
        <v>58</v>
      </c>
      <c r="B117" s="53" t="str">
        <f>IF(A117&gt;$C$38,"",IF(A117&lt;=$C$5,"Básico",IF($C$6&gt;0,"Sucesivo","Opción de compra")))</f>
        <v/>
      </c>
      <c r="C117" s="53" t="str">
        <f>IF(B117="","",IF(B117="Opción de compra",$C$5,A117-$C$7))</f>
        <v/>
      </c>
      <c r="D117" s="130" t="str">
        <f>IF(B117="","",EDATE($C$33,C117))</f>
        <v/>
      </c>
      <c r="E117" s="117" t="str">
        <f>IF(B117="","",I116)</f>
        <v/>
      </c>
      <c r="F117" s="117" t="str">
        <f>IF(B117="","",IF(B117="Básico",$C$24,IF(B117="Sucesivo",$C$25,$C$26)))</f>
        <v/>
      </c>
      <c r="G117" s="117" t="str">
        <f>IF(B117="","",IF(B117="Opción de compra",0,(E117-$C$7*F117)*IF(B117="Sucesivo",$C$11,$C$9)))</f>
        <v/>
      </c>
      <c r="H117" s="117" t="str">
        <f>IF(B117="","",F117-G117)</f>
        <v/>
      </c>
      <c r="I117" s="117" t="str">
        <f>IF(B117="","",E117-H117)</f>
        <v/>
      </c>
      <c r="J117" s="117" t="str">
        <f>IF(B117="","",IF(OR(inp_Tipo="Arrendamiento Puro",par_BaseIVAFin="Sobre renta",B117="Opción de compra"),F117,G117)*$C$14)</f>
        <v/>
      </c>
      <c r="K117" s="117" t="str">
        <f>IF(B117="","",F117+J117)</f>
        <v/>
      </c>
      <c r="L117" s="117" t="str">
        <f>IF(B117="","",F117-IF(A117=$C$38,$C$30,0))</f>
        <v/>
      </c>
      <c r="M117" s="131" t="str">
        <f>IF(B117="","",$C$37*(1+$C$13)^(-C117))</f>
        <v/>
      </c>
      <c r="N117" s="117" t="str">
        <f>IF(B117="","",L117*M117)</f>
        <v/>
      </c>
      <c r="O117" s="117" t="str">
        <f>IF(B117="","",IF(B117="Básico",F117,0)-IF(A117=$C$38,$C$30,0))</f>
        <v/>
      </c>
      <c r="P117" s="130">
        <f>IF(B117="",$C$31,D117)</f>
        <v>46301.0</v>
      </c>
      <c r="Q117" s="117">
        <f>IF(B117="",0,L117)</f>
        <v>0</v>
      </c>
      <c r="R117" s="117">
        <f>IF(B117="",0,-F117)</f>
        <v>0</v>
      </c>
      <c r="S117" s="117" t="str">
        <f>IF(B117="","",O117*M117)</f>
        <v/>
      </c>
    </row>
    <row r="118">
      <c r="A118" s="53" t="n">
        <v>59</v>
      </c>
      <c r="B118" s="53" t="str">
        <f>IF(A118&gt;$C$38,"",IF(A118&lt;=$C$5,"Básico",IF($C$6&gt;0,"Sucesivo","Opción de compra")))</f>
        <v/>
      </c>
      <c r="C118" s="53" t="str">
        <f>IF(B118="","",IF(B118="Opción de compra",$C$5,A118-$C$7))</f>
        <v/>
      </c>
      <c r="D118" s="130" t="str">
        <f>IF(B118="","",EDATE($C$33,C118))</f>
        <v/>
      </c>
      <c r="E118" s="117" t="str">
        <f>IF(B118="","",I117)</f>
        <v/>
      </c>
      <c r="F118" s="117" t="str">
        <f>IF(B118="","",IF(B118="Básico",$C$24,IF(B118="Sucesivo",$C$25,$C$26)))</f>
        <v/>
      </c>
      <c r="G118" s="117" t="str">
        <f>IF(B118="","",IF(B118="Opción de compra",0,(E118-$C$7*F118)*IF(B118="Sucesivo",$C$11,$C$9)))</f>
        <v/>
      </c>
      <c r="H118" s="117" t="str">
        <f>IF(B118="","",F118-G118)</f>
        <v/>
      </c>
      <c r="I118" s="117" t="str">
        <f>IF(B118="","",E118-H118)</f>
        <v/>
      </c>
      <c r="J118" s="117" t="str">
        <f>IF(B118="","",IF(OR(inp_Tipo="Arrendamiento Puro",par_BaseIVAFin="Sobre renta",B118="Opción de compra"),F118,G118)*$C$14)</f>
        <v/>
      </c>
      <c r="K118" s="117" t="str">
        <f>IF(B118="","",F118+J118)</f>
        <v/>
      </c>
      <c r="L118" s="117" t="str">
        <f>IF(B118="","",F118-IF(A118=$C$38,$C$30,0))</f>
        <v/>
      </c>
      <c r="M118" s="131" t="str">
        <f>IF(B118="","",$C$37*(1+$C$13)^(-C118))</f>
        <v/>
      </c>
      <c r="N118" s="117" t="str">
        <f>IF(B118="","",L118*M118)</f>
        <v/>
      </c>
      <c r="O118" s="117" t="str">
        <f>IF(B118="","",IF(B118="Básico",F118,0)-IF(A118=$C$38,$C$30,0))</f>
        <v/>
      </c>
      <c r="P118" s="130">
        <f>IF(B118="",$C$31,D118)</f>
        <v>46301.0</v>
      </c>
      <c r="Q118" s="117">
        <f>IF(B118="",0,L118)</f>
        <v>0</v>
      </c>
      <c r="R118" s="117">
        <f>IF(B118="",0,-F118)</f>
        <v>0</v>
      </c>
      <c r="S118" s="117" t="str">
        <f>IF(B118="","",O118*M118)</f>
        <v/>
      </c>
    </row>
    <row r="119">
      <c r="A119" s="53" t="n">
        <v>60</v>
      </c>
      <c r="B119" s="53" t="str">
        <f>IF(A119&gt;$C$38,"",IF(A119&lt;=$C$5,"Básico",IF($C$6&gt;0,"Sucesivo","Opción de compra")))</f>
        <v/>
      </c>
      <c r="C119" s="53" t="str">
        <f>IF(B119="","",IF(B119="Opción de compra",$C$5,A119-$C$7))</f>
        <v/>
      </c>
      <c r="D119" s="130" t="str">
        <f>IF(B119="","",EDATE($C$33,C119))</f>
        <v/>
      </c>
      <c r="E119" s="117" t="str">
        <f>IF(B119="","",I118)</f>
        <v/>
      </c>
      <c r="F119" s="117" t="str">
        <f>IF(B119="","",IF(B119="Básico",$C$24,IF(B119="Sucesivo",$C$25,$C$26)))</f>
        <v/>
      </c>
      <c r="G119" s="117" t="str">
        <f>IF(B119="","",IF(B119="Opción de compra",0,(E119-$C$7*F119)*IF(B119="Sucesivo",$C$11,$C$9)))</f>
        <v/>
      </c>
      <c r="H119" s="117" t="str">
        <f>IF(B119="","",F119-G119)</f>
        <v/>
      </c>
      <c r="I119" s="117" t="str">
        <f>IF(B119="","",E119-H119)</f>
        <v/>
      </c>
      <c r="J119" s="117" t="str">
        <f>IF(B119="","",IF(OR(inp_Tipo="Arrendamiento Puro",par_BaseIVAFin="Sobre renta",B119="Opción de compra"),F119,G119)*$C$14)</f>
        <v/>
      </c>
      <c r="K119" s="117" t="str">
        <f>IF(B119="","",F119+J119)</f>
        <v/>
      </c>
      <c r="L119" s="117" t="str">
        <f>IF(B119="","",F119-IF(A119=$C$38,$C$30,0))</f>
        <v/>
      </c>
      <c r="M119" s="131" t="str">
        <f>IF(B119="","",$C$37*(1+$C$13)^(-C119))</f>
        <v/>
      </c>
      <c r="N119" s="117" t="str">
        <f>IF(B119="","",L119*M119)</f>
        <v/>
      </c>
      <c r="O119" s="117" t="str">
        <f>IF(B119="","",IF(B119="Básico",F119,0)-IF(A119=$C$38,$C$30,0))</f>
        <v/>
      </c>
      <c r="P119" s="130">
        <f>IF(B119="",$C$31,D119)</f>
        <v>46301.0</v>
      </c>
      <c r="Q119" s="117">
        <f>IF(B119="",0,L119)</f>
        <v>0</v>
      </c>
      <c r="R119" s="117">
        <f>IF(B119="",0,-F119)</f>
        <v>0</v>
      </c>
      <c r="S119" s="117" t="str">
        <f>IF(B119="","",O119*M119)</f>
        <v/>
      </c>
    </row>
    <row r="120">
      <c r="A120" s="53" t="n">
        <v>61</v>
      </c>
      <c r="B120" s="53" t="str">
        <f>IF(A120&gt;$C$38,"",IF(A120&lt;=$C$5,"Básico",IF($C$6&gt;0,"Sucesivo","Opción de compra")))</f>
        <v/>
      </c>
      <c r="C120" s="53" t="str">
        <f>IF(B120="","",IF(B120="Opción de compra",$C$5,A120-$C$7))</f>
        <v/>
      </c>
      <c r="D120" s="130" t="str">
        <f>IF(B120="","",EDATE($C$33,C120))</f>
        <v/>
      </c>
      <c r="E120" s="117" t="str">
        <f>IF(B120="","",I119)</f>
        <v/>
      </c>
      <c r="F120" s="117" t="str">
        <f>IF(B120="","",IF(B120="Básico",$C$24,IF(B120="Sucesivo",$C$25,$C$26)))</f>
        <v/>
      </c>
      <c r="G120" s="117" t="str">
        <f>IF(B120="","",IF(B120="Opción de compra",0,(E120-$C$7*F120)*IF(B120="Sucesivo",$C$11,$C$9)))</f>
        <v/>
      </c>
      <c r="H120" s="117" t="str">
        <f>IF(B120="","",F120-G120)</f>
        <v/>
      </c>
      <c r="I120" s="117" t="str">
        <f>IF(B120="","",E120-H120)</f>
        <v/>
      </c>
      <c r="J120" s="117" t="str">
        <f>IF(B120="","",IF(OR(inp_Tipo="Arrendamiento Puro",par_BaseIVAFin="Sobre renta",B120="Opción de compra"),F120,G120)*$C$14)</f>
        <v/>
      </c>
      <c r="K120" s="117" t="str">
        <f>IF(B120="","",F120+J120)</f>
        <v/>
      </c>
      <c r="L120" s="117" t="str">
        <f>IF(B120="","",F120-IF(A120=$C$38,$C$30,0))</f>
        <v/>
      </c>
      <c r="M120" s="131" t="str">
        <f>IF(B120="","",$C$37*(1+$C$13)^(-C120))</f>
        <v/>
      </c>
      <c r="N120" s="117" t="str">
        <f>IF(B120="","",L120*M120)</f>
        <v/>
      </c>
      <c r="O120" s="117" t="str">
        <f>IF(B120="","",IF(B120="Básico",F120,0)-IF(A120=$C$38,$C$30,0))</f>
        <v/>
      </c>
      <c r="P120" s="130">
        <f>IF(B120="",$C$31,D120)</f>
        <v>46301.0</v>
      </c>
      <c r="Q120" s="117">
        <f>IF(B120="",0,L120)</f>
        <v>0</v>
      </c>
      <c r="R120" s="117">
        <f>IF(B120="",0,-F120)</f>
        <v>0</v>
      </c>
      <c r="S120" s="117" t="str">
        <f>IF(B120="","",O120*M120)</f>
        <v/>
      </c>
    </row>
    <row r="121">
      <c r="A121" s="53" t="n">
        <v>62</v>
      </c>
      <c r="B121" s="53" t="str">
        <f>IF(A121&gt;$C$38,"",IF(A121&lt;=$C$5,"Básico",IF($C$6&gt;0,"Sucesivo","Opción de compra")))</f>
        <v/>
      </c>
      <c r="C121" s="53" t="str">
        <f>IF(B121="","",IF(B121="Opción de compra",$C$5,A121-$C$7))</f>
        <v/>
      </c>
      <c r="D121" s="130" t="str">
        <f>IF(B121="","",EDATE($C$33,C121))</f>
        <v/>
      </c>
      <c r="E121" s="117" t="str">
        <f>IF(B121="","",I120)</f>
        <v/>
      </c>
      <c r="F121" s="117" t="str">
        <f>IF(B121="","",IF(B121="Básico",$C$24,IF(B121="Sucesivo",$C$25,$C$26)))</f>
        <v/>
      </c>
      <c r="G121" s="117" t="str">
        <f>IF(B121="","",IF(B121="Opción de compra",0,(E121-$C$7*F121)*IF(B121="Sucesivo",$C$11,$C$9)))</f>
        <v/>
      </c>
      <c r="H121" s="117" t="str">
        <f>IF(B121="","",F121-G121)</f>
        <v/>
      </c>
      <c r="I121" s="117" t="str">
        <f>IF(B121="","",E121-H121)</f>
        <v/>
      </c>
      <c r="J121" s="117" t="str">
        <f>IF(B121="","",IF(OR(inp_Tipo="Arrendamiento Puro",par_BaseIVAFin="Sobre renta",B121="Opción de compra"),F121,G121)*$C$14)</f>
        <v/>
      </c>
      <c r="K121" s="117" t="str">
        <f>IF(B121="","",F121+J121)</f>
        <v/>
      </c>
      <c r="L121" s="117" t="str">
        <f>IF(B121="","",F121-IF(A121=$C$38,$C$30,0))</f>
        <v/>
      </c>
      <c r="M121" s="131" t="str">
        <f>IF(B121="","",$C$37*(1+$C$13)^(-C121))</f>
        <v/>
      </c>
      <c r="N121" s="117" t="str">
        <f>IF(B121="","",L121*M121)</f>
        <v/>
      </c>
      <c r="O121" s="117" t="str">
        <f>IF(B121="","",IF(B121="Básico",F121,0)-IF(A121=$C$38,$C$30,0))</f>
        <v/>
      </c>
      <c r="P121" s="130">
        <f>IF(B121="",$C$31,D121)</f>
        <v>46301.0</v>
      </c>
      <c r="Q121" s="117">
        <f>IF(B121="",0,L121)</f>
        <v>0</v>
      </c>
      <c r="R121" s="117">
        <f>IF(B121="",0,-F121)</f>
        <v>0</v>
      </c>
      <c r="S121" s="117" t="str">
        <f>IF(B121="","",O121*M121)</f>
        <v/>
      </c>
    </row>
    <row r="122">
      <c r="A122" s="53" t="n">
        <v>63</v>
      </c>
      <c r="B122" s="53" t="str">
        <f>IF(A122&gt;$C$38,"",IF(A122&lt;=$C$5,"Básico",IF($C$6&gt;0,"Sucesivo","Opción de compra")))</f>
        <v/>
      </c>
      <c r="C122" s="53" t="str">
        <f>IF(B122="","",IF(B122="Opción de compra",$C$5,A122-$C$7))</f>
        <v/>
      </c>
      <c r="D122" s="130" t="str">
        <f>IF(B122="","",EDATE($C$33,C122))</f>
        <v/>
      </c>
      <c r="E122" s="117" t="str">
        <f>IF(B122="","",I121)</f>
        <v/>
      </c>
      <c r="F122" s="117" t="str">
        <f>IF(B122="","",IF(B122="Básico",$C$24,IF(B122="Sucesivo",$C$25,$C$26)))</f>
        <v/>
      </c>
      <c r="G122" s="117" t="str">
        <f>IF(B122="","",IF(B122="Opción de compra",0,(E122-$C$7*F122)*IF(B122="Sucesivo",$C$11,$C$9)))</f>
        <v/>
      </c>
      <c r="H122" s="117" t="str">
        <f>IF(B122="","",F122-G122)</f>
        <v/>
      </c>
      <c r="I122" s="117" t="str">
        <f>IF(B122="","",E122-H122)</f>
        <v/>
      </c>
      <c r="J122" s="117" t="str">
        <f>IF(B122="","",IF(OR(inp_Tipo="Arrendamiento Puro",par_BaseIVAFin="Sobre renta",B122="Opción de compra"),F122,G122)*$C$14)</f>
        <v/>
      </c>
      <c r="K122" s="117" t="str">
        <f>IF(B122="","",F122+J122)</f>
        <v/>
      </c>
      <c r="L122" s="117" t="str">
        <f>IF(B122="","",F122-IF(A122=$C$38,$C$30,0))</f>
        <v/>
      </c>
      <c r="M122" s="131" t="str">
        <f>IF(B122="","",$C$37*(1+$C$13)^(-C122))</f>
        <v/>
      </c>
      <c r="N122" s="117" t="str">
        <f>IF(B122="","",L122*M122)</f>
        <v/>
      </c>
      <c r="O122" s="117" t="str">
        <f>IF(B122="","",IF(B122="Básico",F122,0)-IF(A122=$C$38,$C$30,0))</f>
        <v/>
      </c>
      <c r="P122" s="130">
        <f>IF(B122="",$C$31,D122)</f>
        <v>46301.0</v>
      </c>
      <c r="Q122" s="117">
        <f>IF(B122="",0,L122)</f>
        <v>0</v>
      </c>
      <c r="R122" s="117">
        <f>IF(B122="",0,-F122)</f>
        <v>0</v>
      </c>
      <c r="S122" s="117" t="str">
        <f>IF(B122="","",O122*M122)</f>
        <v/>
      </c>
    </row>
    <row r="123">
      <c r="A123" s="53" t="n">
        <v>64</v>
      </c>
      <c r="B123" s="53" t="str">
        <f>IF(A123&gt;$C$38,"",IF(A123&lt;=$C$5,"Básico",IF($C$6&gt;0,"Sucesivo","Opción de compra")))</f>
        <v/>
      </c>
      <c r="C123" s="53" t="str">
        <f>IF(B123="","",IF(B123="Opción de compra",$C$5,A123-$C$7))</f>
        <v/>
      </c>
      <c r="D123" s="130" t="str">
        <f>IF(B123="","",EDATE($C$33,C123))</f>
        <v/>
      </c>
      <c r="E123" s="117" t="str">
        <f>IF(B123="","",I122)</f>
        <v/>
      </c>
      <c r="F123" s="117" t="str">
        <f>IF(B123="","",IF(B123="Básico",$C$24,IF(B123="Sucesivo",$C$25,$C$26)))</f>
        <v/>
      </c>
      <c r="G123" s="117" t="str">
        <f>IF(B123="","",IF(B123="Opción de compra",0,(E123-$C$7*F123)*IF(B123="Sucesivo",$C$11,$C$9)))</f>
        <v/>
      </c>
      <c r="H123" s="117" t="str">
        <f>IF(B123="","",F123-G123)</f>
        <v/>
      </c>
      <c r="I123" s="117" t="str">
        <f>IF(B123="","",E123-H123)</f>
        <v/>
      </c>
      <c r="J123" s="117" t="str">
        <f>IF(B123="","",IF(OR(inp_Tipo="Arrendamiento Puro",par_BaseIVAFin="Sobre renta",B123="Opción de compra"),F123,G123)*$C$14)</f>
        <v/>
      </c>
      <c r="K123" s="117" t="str">
        <f>IF(B123="","",F123+J123)</f>
        <v/>
      </c>
      <c r="L123" s="117" t="str">
        <f>IF(B123="","",F123-IF(A123=$C$38,$C$30,0))</f>
        <v/>
      </c>
      <c r="M123" s="131" t="str">
        <f>IF(B123="","",$C$37*(1+$C$13)^(-C123))</f>
        <v/>
      </c>
      <c r="N123" s="117" t="str">
        <f>IF(B123="","",L123*M123)</f>
        <v/>
      </c>
      <c r="O123" s="117" t="str">
        <f>IF(B123="","",IF(B123="Básico",F123,0)-IF(A123=$C$38,$C$30,0))</f>
        <v/>
      </c>
      <c r="P123" s="130">
        <f>IF(B123="",$C$31,D123)</f>
        <v>46301.0</v>
      </c>
      <c r="Q123" s="117">
        <f>IF(B123="",0,L123)</f>
        <v>0</v>
      </c>
      <c r="R123" s="117">
        <f>IF(B123="",0,-F123)</f>
        <v>0</v>
      </c>
      <c r="S123" s="117" t="str">
        <f>IF(B123="","",O123*M123)</f>
        <v/>
      </c>
    </row>
    <row r="124">
      <c r="A124" s="53" t="n">
        <v>65</v>
      </c>
      <c r="B124" s="53" t="str">
        <f>IF(A124&gt;$C$38,"",IF(A124&lt;=$C$5,"Básico",IF($C$6&gt;0,"Sucesivo","Opción de compra")))</f>
        <v/>
      </c>
      <c r="C124" s="53" t="str">
        <f>IF(B124="","",IF(B124="Opción de compra",$C$5,A124-$C$7))</f>
        <v/>
      </c>
      <c r="D124" s="130" t="str">
        <f>IF(B124="","",EDATE($C$33,C124))</f>
        <v/>
      </c>
      <c r="E124" s="117" t="str">
        <f>IF(B124="","",I123)</f>
        <v/>
      </c>
      <c r="F124" s="117" t="str">
        <f>IF(B124="","",IF(B124="Básico",$C$24,IF(B124="Sucesivo",$C$25,$C$26)))</f>
        <v/>
      </c>
      <c r="G124" s="117" t="str">
        <f>IF(B124="","",IF(B124="Opción de compra",0,(E124-$C$7*F124)*IF(B124="Sucesivo",$C$11,$C$9)))</f>
        <v/>
      </c>
      <c r="H124" s="117" t="str">
        <f>IF(B124="","",F124-G124)</f>
        <v/>
      </c>
      <c r="I124" s="117" t="str">
        <f>IF(B124="","",E124-H124)</f>
        <v/>
      </c>
      <c r="J124" s="117" t="str">
        <f>IF(B124="","",IF(OR(inp_Tipo="Arrendamiento Puro",par_BaseIVAFin="Sobre renta",B124="Opción de compra"),F124,G124)*$C$14)</f>
        <v/>
      </c>
      <c r="K124" s="117" t="str">
        <f>IF(B124="","",F124+J124)</f>
        <v/>
      </c>
      <c r="L124" s="117" t="str">
        <f>IF(B124="","",F124-IF(A124=$C$38,$C$30,0))</f>
        <v/>
      </c>
      <c r="M124" s="131" t="str">
        <f>IF(B124="","",$C$37*(1+$C$13)^(-C124))</f>
        <v/>
      </c>
      <c r="N124" s="117" t="str">
        <f>IF(B124="","",L124*M124)</f>
        <v/>
      </c>
      <c r="O124" s="117" t="str">
        <f>IF(B124="","",IF(B124="Básico",F124,0)-IF(A124=$C$38,$C$30,0))</f>
        <v/>
      </c>
      <c r="P124" s="130">
        <f>IF(B124="",$C$31,D124)</f>
        <v>46301.0</v>
      </c>
      <c r="Q124" s="117">
        <f>IF(B124="",0,L124)</f>
        <v>0</v>
      </c>
      <c r="R124" s="117">
        <f>IF(B124="",0,-F124)</f>
        <v>0</v>
      </c>
      <c r="S124" s="117" t="str">
        <f>IF(B124="","",O124*M124)</f>
        <v/>
      </c>
    </row>
    <row r="125">
      <c r="A125" s="53" t="n">
        <v>66</v>
      </c>
      <c r="B125" s="53" t="str">
        <f>IF(A125&gt;$C$38,"",IF(A125&lt;=$C$5,"Básico",IF($C$6&gt;0,"Sucesivo","Opción de compra")))</f>
        <v/>
      </c>
      <c r="C125" s="53" t="str">
        <f>IF(B125="","",IF(B125="Opción de compra",$C$5,A125-$C$7))</f>
        <v/>
      </c>
      <c r="D125" s="130" t="str">
        <f>IF(B125="","",EDATE($C$33,C125))</f>
        <v/>
      </c>
      <c r="E125" s="117" t="str">
        <f>IF(B125="","",I124)</f>
        <v/>
      </c>
      <c r="F125" s="117" t="str">
        <f>IF(B125="","",IF(B125="Básico",$C$24,IF(B125="Sucesivo",$C$25,$C$26)))</f>
        <v/>
      </c>
      <c r="G125" s="117" t="str">
        <f>IF(B125="","",IF(B125="Opción de compra",0,(E125-$C$7*F125)*IF(B125="Sucesivo",$C$11,$C$9)))</f>
        <v/>
      </c>
      <c r="H125" s="117" t="str">
        <f>IF(B125="","",F125-G125)</f>
        <v/>
      </c>
      <c r="I125" s="117" t="str">
        <f>IF(B125="","",E125-H125)</f>
        <v/>
      </c>
      <c r="J125" s="117" t="str">
        <f>IF(B125="","",IF(OR(inp_Tipo="Arrendamiento Puro",par_BaseIVAFin="Sobre renta",B125="Opción de compra"),F125,G125)*$C$14)</f>
        <v/>
      </c>
      <c r="K125" s="117" t="str">
        <f>IF(B125="","",F125+J125)</f>
        <v/>
      </c>
      <c r="L125" s="117" t="str">
        <f>IF(B125="","",F125-IF(A125=$C$38,$C$30,0))</f>
        <v/>
      </c>
      <c r="M125" s="131" t="str">
        <f>IF(B125="","",$C$37*(1+$C$13)^(-C125))</f>
        <v/>
      </c>
      <c r="N125" s="117" t="str">
        <f>IF(B125="","",L125*M125)</f>
        <v/>
      </c>
      <c r="O125" s="117" t="str">
        <f>IF(B125="","",IF(B125="Básico",F125,0)-IF(A125=$C$38,$C$30,0))</f>
        <v/>
      </c>
      <c r="P125" s="130">
        <f>IF(B125="",$C$31,D125)</f>
        <v>46301.0</v>
      </c>
      <c r="Q125" s="117">
        <f>IF(B125="",0,L125)</f>
        <v>0</v>
      </c>
      <c r="R125" s="117">
        <f>IF(B125="",0,-F125)</f>
        <v>0</v>
      </c>
      <c r="S125" s="117" t="str">
        <f>IF(B125="","",O125*M125)</f>
        <v/>
      </c>
    </row>
    <row r="126">
      <c r="A126" s="53" t="n">
        <v>67</v>
      </c>
      <c r="B126" s="53" t="str">
        <f>IF(A126&gt;$C$38,"",IF(A126&lt;=$C$5,"Básico",IF($C$6&gt;0,"Sucesivo","Opción de compra")))</f>
        <v/>
      </c>
      <c r="C126" s="53" t="str">
        <f>IF(B126="","",IF(B126="Opción de compra",$C$5,A126-$C$7))</f>
        <v/>
      </c>
      <c r="D126" s="130" t="str">
        <f>IF(B126="","",EDATE($C$33,C126))</f>
        <v/>
      </c>
      <c r="E126" s="117" t="str">
        <f>IF(B126="","",I125)</f>
        <v/>
      </c>
      <c r="F126" s="117" t="str">
        <f>IF(B126="","",IF(B126="Básico",$C$24,IF(B126="Sucesivo",$C$25,$C$26)))</f>
        <v/>
      </c>
      <c r="G126" s="117" t="str">
        <f>IF(B126="","",IF(B126="Opción de compra",0,(E126-$C$7*F126)*IF(B126="Sucesivo",$C$11,$C$9)))</f>
        <v/>
      </c>
      <c r="H126" s="117" t="str">
        <f>IF(B126="","",F126-G126)</f>
        <v/>
      </c>
      <c r="I126" s="117" t="str">
        <f>IF(B126="","",E126-H126)</f>
        <v/>
      </c>
      <c r="J126" s="117" t="str">
        <f>IF(B126="","",IF(OR(inp_Tipo="Arrendamiento Puro",par_BaseIVAFin="Sobre renta",B126="Opción de compra"),F126,G126)*$C$14)</f>
        <v/>
      </c>
      <c r="K126" s="117" t="str">
        <f>IF(B126="","",F126+J126)</f>
        <v/>
      </c>
      <c r="L126" s="117" t="str">
        <f>IF(B126="","",F126-IF(A126=$C$38,$C$30,0))</f>
        <v/>
      </c>
      <c r="M126" s="131" t="str">
        <f>IF(B126="","",$C$37*(1+$C$13)^(-C126))</f>
        <v/>
      </c>
      <c r="N126" s="117" t="str">
        <f>IF(B126="","",L126*M126)</f>
        <v/>
      </c>
      <c r="O126" s="117" t="str">
        <f>IF(B126="","",IF(B126="Básico",F126,0)-IF(A126=$C$38,$C$30,0))</f>
        <v/>
      </c>
      <c r="P126" s="130">
        <f>IF(B126="",$C$31,D126)</f>
        <v>46301.0</v>
      </c>
      <c r="Q126" s="117">
        <f>IF(B126="",0,L126)</f>
        <v>0</v>
      </c>
      <c r="R126" s="117">
        <f>IF(B126="",0,-F126)</f>
        <v>0</v>
      </c>
      <c r="S126" s="117" t="str">
        <f>IF(B126="","",O126*M126)</f>
        <v/>
      </c>
    </row>
    <row r="127">
      <c r="A127" s="53" t="n">
        <v>68</v>
      </c>
      <c r="B127" s="53" t="str">
        <f>IF(A127&gt;$C$38,"",IF(A127&lt;=$C$5,"Básico",IF($C$6&gt;0,"Sucesivo","Opción de compra")))</f>
        <v/>
      </c>
      <c r="C127" s="53" t="str">
        <f>IF(B127="","",IF(B127="Opción de compra",$C$5,A127-$C$7))</f>
        <v/>
      </c>
      <c r="D127" s="130" t="str">
        <f>IF(B127="","",EDATE($C$33,C127))</f>
        <v/>
      </c>
      <c r="E127" s="117" t="str">
        <f>IF(B127="","",I126)</f>
        <v/>
      </c>
      <c r="F127" s="117" t="str">
        <f>IF(B127="","",IF(B127="Básico",$C$24,IF(B127="Sucesivo",$C$25,$C$26)))</f>
        <v/>
      </c>
      <c r="G127" s="117" t="str">
        <f>IF(B127="","",IF(B127="Opción de compra",0,(E127-$C$7*F127)*IF(B127="Sucesivo",$C$11,$C$9)))</f>
        <v/>
      </c>
      <c r="H127" s="117" t="str">
        <f>IF(B127="","",F127-G127)</f>
        <v/>
      </c>
      <c r="I127" s="117" t="str">
        <f>IF(B127="","",E127-H127)</f>
        <v/>
      </c>
      <c r="J127" s="117" t="str">
        <f>IF(B127="","",IF(OR(inp_Tipo="Arrendamiento Puro",par_BaseIVAFin="Sobre renta",B127="Opción de compra"),F127,G127)*$C$14)</f>
        <v/>
      </c>
      <c r="K127" s="117" t="str">
        <f>IF(B127="","",F127+J127)</f>
        <v/>
      </c>
      <c r="L127" s="117" t="str">
        <f>IF(B127="","",F127-IF(A127=$C$38,$C$30,0))</f>
        <v/>
      </c>
      <c r="M127" s="131" t="str">
        <f>IF(B127="","",$C$37*(1+$C$13)^(-C127))</f>
        <v/>
      </c>
      <c r="N127" s="117" t="str">
        <f>IF(B127="","",L127*M127)</f>
        <v/>
      </c>
      <c r="O127" s="117" t="str">
        <f>IF(B127="","",IF(B127="Básico",F127,0)-IF(A127=$C$38,$C$30,0))</f>
        <v/>
      </c>
      <c r="P127" s="130">
        <f>IF(B127="",$C$31,D127)</f>
        <v>46301.0</v>
      </c>
      <c r="Q127" s="117">
        <f>IF(B127="",0,L127)</f>
        <v>0</v>
      </c>
      <c r="R127" s="117">
        <f>IF(B127="",0,-F127)</f>
        <v>0</v>
      </c>
      <c r="S127" s="117" t="str">
        <f>IF(B127="","",O127*M127)</f>
        <v/>
      </c>
    </row>
    <row r="128">
      <c r="A128" s="53" t="n">
        <v>69</v>
      </c>
      <c r="B128" s="53" t="str">
        <f>IF(A128&gt;$C$38,"",IF(A128&lt;=$C$5,"Básico",IF($C$6&gt;0,"Sucesivo","Opción de compra")))</f>
        <v/>
      </c>
      <c r="C128" s="53" t="str">
        <f>IF(B128="","",IF(B128="Opción de compra",$C$5,A128-$C$7))</f>
        <v/>
      </c>
      <c r="D128" s="130" t="str">
        <f>IF(B128="","",EDATE($C$33,C128))</f>
        <v/>
      </c>
      <c r="E128" s="117" t="str">
        <f>IF(B128="","",I127)</f>
        <v/>
      </c>
      <c r="F128" s="117" t="str">
        <f>IF(B128="","",IF(B128="Básico",$C$24,IF(B128="Sucesivo",$C$25,$C$26)))</f>
        <v/>
      </c>
      <c r="G128" s="117" t="str">
        <f>IF(B128="","",IF(B128="Opción de compra",0,(E128-$C$7*F128)*IF(B128="Sucesivo",$C$11,$C$9)))</f>
        <v/>
      </c>
      <c r="H128" s="117" t="str">
        <f>IF(B128="","",F128-G128)</f>
        <v/>
      </c>
      <c r="I128" s="117" t="str">
        <f>IF(B128="","",E128-H128)</f>
        <v/>
      </c>
      <c r="J128" s="117" t="str">
        <f>IF(B128="","",IF(OR(inp_Tipo="Arrendamiento Puro",par_BaseIVAFin="Sobre renta",B128="Opción de compra"),F128,G128)*$C$14)</f>
        <v/>
      </c>
      <c r="K128" s="117" t="str">
        <f>IF(B128="","",F128+J128)</f>
        <v/>
      </c>
      <c r="L128" s="117" t="str">
        <f>IF(B128="","",F128-IF(A128=$C$38,$C$30,0))</f>
        <v/>
      </c>
      <c r="M128" s="131" t="str">
        <f>IF(B128="","",$C$37*(1+$C$13)^(-C128))</f>
        <v/>
      </c>
      <c r="N128" s="117" t="str">
        <f>IF(B128="","",L128*M128)</f>
        <v/>
      </c>
      <c r="O128" s="117" t="str">
        <f>IF(B128="","",IF(B128="Básico",F128,0)-IF(A128=$C$38,$C$30,0))</f>
        <v/>
      </c>
      <c r="P128" s="130">
        <f>IF(B128="",$C$31,D128)</f>
        <v>46301.0</v>
      </c>
      <c r="Q128" s="117">
        <f>IF(B128="",0,L128)</f>
        <v>0</v>
      </c>
      <c r="R128" s="117">
        <f>IF(B128="",0,-F128)</f>
        <v>0</v>
      </c>
      <c r="S128" s="117" t="str">
        <f>IF(B128="","",O128*M128)</f>
        <v/>
      </c>
    </row>
    <row r="129">
      <c r="A129" s="53" t="n">
        <v>70</v>
      </c>
      <c r="B129" s="53" t="str">
        <f>IF(A129&gt;$C$38,"",IF(A129&lt;=$C$5,"Básico",IF($C$6&gt;0,"Sucesivo","Opción de compra")))</f>
        <v/>
      </c>
      <c r="C129" s="53" t="str">
        <f>IF(B129="","",IF(B129="Opción de compra",$C$5,A129-$C$7))</f>
        <v/>
      </c>
      <c r="D129" s="130" t="str">
        <f>IF(B129="","",EDATE($C$33,C129))</f>
        <v/>
      </c>
      <c r="E129" s="117" t="str">
        <f>IF(B129="","",I128)</f>
        <v/>
      </c>
      <c r="F129" s="117" t="str">
        <f>IF(B129="","",IF(B129="Básico",$C$24,IF(B129="Sucesivo",$C$25,$C$26)))</f>
        <v/>
      </c>
      <c r="G129" s="117" t="str">
        <f>IF(B129="","",IF(B129="Opción de compra",0,(E129-$C$7*F129)*IF(B129="Sucesivo",$C$11,$C$9)))</f>
        <v/>
      </c>
      <c r="H129" s="117" t="str">
        <f>IF(B129="","",F129-G129)</f>
        <v/>
      </c>
      <c r="I129" s="117" t="str">
        <f>IF(B129="","",E129-H129)</f>
        <v/>
      </c>
      <c r="J129" s="117" t="str">
        <f>IF(B129="","",IF(OR(inp_Tipo="Arrendamiento Puro",par_BaseIVAFin="Sobre renta",B129="Opción de compra"),F129,G129)*$C$14)</f>
        <v/>
      </c>
      <c r="K129" s="117" t="str">
        <f>IF(B129="","",F129+J129)</f>
        <v/>
      </c>
      <c r="L129" s="117" t="str">
        <f>IF(B129="","",F129-IF(A129=$C$38,$C$30,0))</f>
        <v/>
      </c>
      <c r="M129" s="131" t="str">
        <f>IF(B129="","",$C$37*(1+$C$13)^(-C129))</f>
        <v/>
      </c>
      <c r="N129" s="117" t="str">
        <f>IF(B129="","",L129*M129)</f>
        <v/>
      </c>
      <c r="O129" s="117" t="str">
        <f>IF(B129="","",IF(B129="Básico",F129,0)-IF(A129=$C$38,$C$30,0))</f>
        <v/>
      </c>
      <c r="P129" s="130">
        <f>IF(B129="",$C$31,D129)</f>
        <v>46301.0</v>
      </c>
      <c r="Q129" s="117">
        <f>IF(B129="",0,L129)</f>
        <v>0</v>
      </c>
      <c r="R129" s="117">
        <f>IF(B129="",0,-F129)</f>
        <v>0</v>
      </c>
      <c r="S129" s="117" t="str">
        <f>IF(B129="","",O129*M129)</f>
        <v/>
      </c>
    </row>
    <row r="130">
      <c r="A130" s="53" t="n">
        <v>71</v>
      </c>
      <c r="B130" s="53" t="str">
        <f>IF(A130&gt;$C$38,"",IF(A130&lt;=$C$5,"Básico",IF($C$6&gt;0,"Sucesivo","Opción de compra")))</f>
        <v/>
      </c>
      <c r="C130" s="53" t="str">
        <f>IF(B130="","",IF(B130="Opción de compra",$C$5,A130-$C$7))</f>
        <v/>
      </c>
      <c r="D130" s="130" t="str">
        <f>IF(B130="","",EDATE($C$33,C130))</f>
        <v/>
      </c>
      <c r="E130" s="117" t="str">
        <f>IF(B130="","",I129)</f>
        <v/>
      </c>
      <c r="F130" s="117" t="str">
        <f>IF(B130="","",IF(B130="Básico",$C$24,IF(B130="Sucesivo",$C$25,$C$26)))</f>
        <v/>
      </c>
      <c r="G130" s="117" t="str">
        <f>IF(B130="","",IF(B130="Opción de compra",0,(E130-$C$7*F130)*IF(B130="Sucesivo",$C$11,$C$9)))</f>
        <v/>
      </c>
      <c r="H130" s="117" t="str">
        <f>IF(B130="","",F130-G130)</f>
        <v/>
      </c>
      <c r="I130" s="117" t="str">
        <f>IF(B130="","",E130-H130)</f>
        <v/>
      </c>
      <c r="J130" s="117" t="str">
        <f>IF(B130="","",IF(OR(inp_Tipo="Arrendamiento Puro",par_BaseIVAFin="Sobre renta",B130="Opción de compra"),F130,G130)*$C$14)</f>
        <v/>
      </c>
      <c r="K130" s="117" t="str">
        <f>IF(B130="","",F130+J130)</f>
        <v/>
      </c>
      <c r="L130" s="117" t="str">
        <f>IF(B130="","",F130-IF(A130=$C$38,$C$30,0))</f>
        <v/>
      </c>
      <c r="M130" s="131" t="str">
        <f>IF(B130="","",$C$37*(1+$C$13)^(-C130))</f>
        <v/>
      </c>
      <c r="N130" s="117" t="str">
        <f>IF(B130="","",L130*M130)</f>
        <v/>
      </c>
      <c r="O130" s="117" t="str">
        <f>IF(B130="","",IF(B130="Básico",F130,0)-IF(A130=$C$38,$C$30,0))</f>
        <v/>
      </c>
      <c r="P130" s="130">
        <f>IF(B130="",$C$31,D130)</f>
        <v>46301.0</v>
      </c>
      <c r="Q130" s="117">
        <f>IF(B130="",0,L130)</f>
        <v>0</v>
      </c>
      <c r="R130" s="117">
        <f>IF(B130="",0,-F130)</f>
        <v>0</v>
      </c>
      <c r="S130" s="117" t="str">
        <f>IF(B130="","",O130*M130)</f>
        <v/>
      </c>
    </row>
    <row r="131">
      <c r="A131" s="53" t="n">
        <v>72</v>
      </c>
      <c r="B131" s="53" t="str">
        <f>IF(A131&gt;$C$38,"",IF(A131&lt;=$C$5,"Básico",IF($C$6&gt;0,"Sucesivo","Opción de compra")))</f>
        <v/>
      </c>
      <c r="C131" s="53" t="str">
        <f>IF(B131="","",IF(B131="Opción de compra",$C$5,A131-$C$7))</f>
        <v/>
      </c>
      <c r="D131" s="130" t="str">
        <f>IF(B131="","",EDATE($C$33,C131))</f>
        <v/>
      </c>
      <c r="E131" s="117" t="str">
        <f>IF(B131="","",I130)</f>
        <v/>
      </c>
      <c r="F131" s="117" t="str">
        <f>IF(B131="","",IF(B131="Básico",$C$24,IF(B131="Sucesivo",$C$25,$C$26)))</f>
        <v/>
      </c>
      <c r="G131" s="117" t="str">
        <f>IF(B131="","",IF(B131="Opción de compra",0,(E131-$C$7*F131)*IF(B131="Sucesivo",$C$11,$C$9)))</f>
        <v/>
      </c>
      <c r="H131" s="117" t="str">
        <f>IF(B131="","",F131-G131)</f>
        <v/>
      </c>
      <c r="I131" s="117" t="str">
        <f>IF(B131="","",E131-H131)</f>
        <v/>
      </c>
      <c r="J131" s="117" t="str">
        <f>IF(B131="","",IF(OR(inp_Tipo="Arrendamiento Puro",par_BaseIVAFin="Sobre renta",B131="Opción de compra"),F131,G131)*$C$14)</f>
        <v/>
      </c>
      <c r="K131" s="117" t="str">
        <f>IF(B131="","",F131+J131)</f>
        <v/>
      </c>
      <c r="L131" s="117" t="str">
        <f>IF(B131="","",F131-IF(A131=$C$38,$C$30,0))</f>
        <v/>
      </c>
      <c r="M131" s="131" t="str">
        <f>IF(B131="","",$C$37*(1+$C$13)^(-C131))</f>
        <v/>
      </c>
      <c r="N131" s="117" t="str">
        <f>IF(B131="","",L131*M131)</f>
        <v/>
      </c>
      <c r="O131" s="117" t="str">
        <f>IF(B131="","",IF(B131="Básico",F131,0)-IF(A131=$C$38,$C$30,0))</f>
        <v/>
      </c>
      <c r="P131" s="130">
        <f>IF(B131="",$C$31,D131)</f>
        <v>46301.0</v>
      </c>
      <c r="Q131" s="117">
        <f>IF(B131="",0,L131)</f>
        <v>0</v>
      </c>
      <c r="R131" s="117">
        <f>IF(B131="",0,-F131)</f>
        <v>0</v>
      </c>
      <c r="S131" s="117" t="str">
        <f>IF(B131="","",O131*M131)</f>
        <v/>
      </c>
    </row>
    <row r="132">
      <c r="A132" s="53" t="n">
        <v>73</v>
      </c>
      <c r="B132" s="53" t="str">
        <f>IF(A132&gt;$C$38,"",IF(A132&lt;=$C$5,"Básico",IF($C$6&gt;0,"Sucesivo","Opción de compra")))</f>
        <v/>
      </c>
      <c r="C132" s="53" t="str">
        <f>IF(B132="","",IF(B132="Opción de compra",$C$5,A132-$C$7))</f>
        <v/>
      </c>
      <c r="D132" s="130" t="str">
        <f>IF(B132="","",EDATE($C$33,C132))</f>
        <v/>
      </c>
      <c r="E132" s="117" t="str">
        <f>IF(B132="","",I131)</f>
        <v/>
      </c>
      <c r="F132" s="117" t="str">
        <f>IF(B132="","",IF(B132="Básico",$C$24,IF(B132="Sucesivo",$C$25,$C$26)))</f>
        <v/>
      </c>
      <c r="G132" s="117" t="str">
        <f>IF(B132="","",IF(B132="Opción de compra",0,(E132-$C$7*F132)*IF(B132="Sucesivo",$C$11,$C$9)))</f>
        <v/>
      </c>
      <c r="H132" s="117" t="str">
        <f>IF(B132="","",F132-G132)</f>
        <v/>
      </c>
      <c r="I132" s="117" t="str">
        <f>IF(B132="","",E132-H132)</f>
        <v/>
      </c>
      <c r="J132" s="117" t="str">
        <f>IF(B132="","",IF(OR(inp_Tipo="Arrendamiento Puro",par_BaseIVAFin="Sobre renta",B132="Opción de compra"),F132,G132)*$C$14)</f>
        <v/>
      </c>
      <c r="K132" s="117" t="str">
        <f>IF(B132="","",F132+J132)</f>
        <v/>
      </c>
      <c r="L132" s="117" t="str">
        <f>IF(B132="","",F132-IF(A132=$C$38,$C$30,0))</f>
        <v/>
      </c>
      <c r="M132" s="131" t="str">
        <f>IF(B132="","",$C$37*(1+$C$13)^(-C132))</f>
        <v/>
      </c>
      <c r="N132" s="117" t="str">
        <f>IF(B132="","",L132*M132)</f>
        <v/>
      </c>
      <c r="O132" s="117" t="str">
        <f>IF(B132="","",IF(B132="Básico",F132,0)-IF(A132=$C$38,$C$30,0))</f>
        <v/>
      </c>
      <c r="P132" s="130">
        <f>IF(B132="",$C$31,D132)</f>
        <v>46301.0</v>
      </c>
      <c r="Q132" s="117">
        <f>IF(B132="",0,L132)</f>
        <v>0</v>
      </c>
      <c r="R132" s="117">
        <f>IF(B132="",0,-F132)</f>
        <v>0</v>
      </c>
      <c r="S132" s="117" t="str">
        <f>IF(B132="","",O132*M132)</f>
        <v/>
      </c>
    </row>
    <row r="133">
      <c r="A133" s="53" t="n">
        <v>74</v>
      </c>
      <c r="B133" s="53" t="str">
        <f>IF(A133&gt;$C$38,"",IF(A133&lt;=$C$5,"Básico",IF($C$6&gt;0,"Sucesivo","Opción de compra")))</f>
        <v/>
      </c>
      <c r="C133" s="53" t="str">
        <f>IF(B133="","",IF(B133="Opción de compra",$C$5,A133-$C$7))</f>
        <v/>
      </c>
      <c r="D133" s="130" t="str">
        <f>IF(B133="","",EDATE($C$33,C133))</f>
        <v/>
      </c>
      <c r="E133" s="117" t="str">
        <f>IF(B133="","",I132)</f>
        <v/>
      </c>
      <c r="F133" s="117" t="str">
        <f>IF(B133="","",IF(B133="Básico",$C$24,IF(B133="Sucesivo",$C$25,$C$26)))</f>
        <v/>
      </c>
      <c r="G133" s="117" t="str">
        <f>IF(B133="","",IF(B133="Opción de compra",0,(E133-$C$7*F133)*IF(B133="Sucesivo",$C$11,$C$9)))</f>
        <v/>
      </c>
      <c r="H133" s="117" t="str">
        <f>IF(B133="","",F133-G133)</f>
        <v/>
      </c>
      <c r="I133" s="117" t="str">
        <f>IF(B133="","",E133-H133)</f>
        <v/>
      </c>
      <c r="J133" s="117" t="str">
        <f>IF(B133="","",IF(OR(inp_Tipo="Arrendamiento Puro",par_BaseIVAFin="Sobre renta",B133="Opción de compra"),F133,G133)*$C$14)</f>
        <v/>
      </c>
      <c r="K133" s="117" t="str">
        <f>IF(B133="","",F133+J133)</f>
        <v/>
      </c>
      <c r="L133" s="117" t="str">
        <f>IF(B133="","",F133-IF(A133=$C$38,$C$30,0))</f>
        <v/>
      </c>
      <c r="M133" s="131" t="str">
        <f>IF(B133="","",$C$37*(1+$C$13)^(-C133))</f>
        <v/>
      </c>
      <c r="N133" s="117" t="str">
        <f>IF(B133="","",L133*M133)</f>
        <v/>
      </c>
      <c r="O133" s="117" t="str">
        <f>IF(B133="","",IF(B133="Básico",F133,0)-IF(A133=$C$38,$C$30,0))</f>
        <v/>
      </c>
      <c r="P133" s="130">
        <f>IF(B133="",$C$31,D133)</f>
        <v>46301.0</v>
      </c>
      <c r="Q133" s="117">
        <f>IF(B133="",0,L133)</f>
        <v>0</v>
      </c>
      <c r="R133" s="117">
        <f>IF(B133="",0,-F133)</f>
        <v>0</v>
      </c>
      <c r="S133" s="117" t="str">
        <f>IF(B133="","",O133*M133)</f>
        <v/>
      </c>
    </row>
    <row r="134">
      <c r="A134" s="53" t="n">
        <v>75</v>
      </c>
      <c r="B134" s="53" t="str">
        <f>IF(A134&gt;$C$38,"",IF(A134&lt;=$C$5,"Básico",IF($C$6&gt;0,"Sucesivo","Opción de compra")))</f>
        <v/>
      </c>
      <c r="C134" s="53" t="str">
        <f>IF(B134="","",IF(B134="Opción de compra",$C$5,A134-$C$7))</f>
        <v/>
      </c>
      <c r="D134" s="130" t="str">
        <f>IF(B134="","",EDATE($C$33,C134))</f>
        <v/>
      </c>
      <c r="E134" s="117" t="str">
        <f>IF(B134="","",I133)</f>
        <v/>
      </c>
      <c r="F134" s="117" t="str">
        <f>IF(B134="","",IF(B134="Básico",$C$24,IF(B134="Sucesivo",$C$25,$C$26)))</f>
        <v/>
      </c>
      <c r="G134" s="117" t="str">
        <f>IF(B134="","",IF(B134="Opción de compra",0,(E134-$C$7*F134)*IF(B134="Sucesivo",$C$11,$C$9)))</f>
        <v/>
      </c>
      <c r="H134" s="117" t="str">
        <f>IF(B134="","",F134-G134)</f>
        <v/>
      </c>
      <c r="I134" s="117" t="str">
        <f>IF(B134="","",E134-H134)</f>
        <v/>
      </c>
      <c r="J134" s="117" t="str">
        <f>IF(B134="","",IF(OR(inp_Tipo="Arrendamiento Puro",par_BaseIVAFin="Sobre renta",B134="Opción de compra"),F134,G134)*$C$14)</f>
        <v/>
      </c>
      <c r="K134" s="117" t="str">
        <f>IF(B134="","",F134+J134)</f>
        <v/>
      </c>
      <c r="L134" s="117" t="str">
        <f>IF(B134="","",F134-IF(A134=$C$38,$C$30,0))</f>
        <v/>
      </c>
      <c r="M134" s="131" t="str">
        <f>IF(B134="","",$C$37*(1+$C$13)^(-C134))</f>
        <v/>
      </c>
      <c r="N134" s="117" t="str">
        <f>IF(B134="","",L134*M134)</f>
        <v/>
      </c>
      <c r="O134" s="117" t="str">
        <f>IF(B134="","",IF(B134="Básico",F134,0)-IF(A134=$C$38,$C$30,0))</f>
        <v/>
      </c>
      <c r="P134" s="130">
        <f>IF(B134="",$C$31,D134)</f>
        <v>46301.0</v>
      </c>
      <c r="Q134" s="117">
        <f>IF(B134="",0,L134)</f>
        <v>0</v>
      </c>
      <c r="R134" s="117">
        <f>IF(B134="",0,-F134)</f>
        <v>0</v>
      </c>
      <c r="S134" s="117" t="str">
        <f>IF(B134="","",O134*M134)</f>
        <v/>
      </c>
    </row>
    <row r="135">
      <c r="A135" s="53" t="n">
        <v>76</v>
      </c>
      <c r="B135" s="53" t="str">
        <f>IF(A135&gt;$C$38,"",IF(A135&lt;=$C$5,"Básico",IF($C$6&gt;0,"Sucesivo","Opción de compra")))</f>
        <v/>
      </c>
      <c r="C135" s="53" t="str">
        <f>IF(B135="","",IF(B135="Opción de compra",$C$5,A135-$C$7))</f>
        <v/>
      </c>
      <c r="D135" s="130" t="str">
        <f>IF(B135="","",EDATE($C$33,C135))</f>
        <v/>
      </c>
      <c r="E135" s="117" t="str">
        <f>IF(B135="","",I134)</f>
        <v/>
      </c>
      <c r="F135" s="117" t="str">
        <f>IF(B135="","",IF(B135="Básico",$C$24,IF(B135="Sucesivo",$C$25,$C$26)))</f>
        <v/>
      </c>
      <c r="G135" s="117" t="str">
        <f>IF(B135="","",IF(B135="Opción de compra",0,(E135-$C$7*F135)*IF(B135="Sucesivo",$C$11,$C$9)))</f>
        <v/>
      </c>
      <c r="H135" s="117" t="str">
        <f>IF(B135="","",F135-G135)</f>
        <v/>
      </c>
      <c r="I135" s="117" t="str">
        <f>IF(B135="","",E135-H135)</f>
        <v/>
      </c>
      <c r="J135" s="117" t="str">
        <f>IF(B135="","",IF(OR(inp_Tipo="Arrendamiento Puro",par_BaseIVAFin="Sobre renta",B135="Opción de compra"),F135,G135)*$C$14)</f>
        <v/>
      </c>
      <c r="K135" s="117" t="str">
        <f>IF(B135="","",F135+J135)</f>
        <v/>
      </c>
      <c r="L135" s="117" t="str">
        <f>IF(B135="","",F135-IF(A135=$C$38,$C$30,0))</f>
        <v/>
      </c>
      <c r="M135" s="131" t="str">
        <f>IF(B135="","",$C$37*(1+$C$13)^(-C135))</f>
        <v/>
      </c>
      <c r="N135" s="117" t="str">
        <f>IF(B135="","",L135*M135)</f>
        <v/>
      </c>
      <c r="O135" s="117" t="str">
        <f>IF(B135="","",IF(B135="Básico",F135,0)-IF(A135=$C$38,$C$30,0))</f>
        <v/>
      </c>
      <c r="P135" s="130">
        <f>IF(B135="",$C$31,D135)</f>
        <v>46301.0</v>
      </c>
      <c r="Q135" s="117">
        <f>IF(B135="",0,L135)</f>
        <v>0</v>
      </c>
      <c r="R135" s="117">
        <f>IF(B135="",0,-F135)</f>
        <v>0</v>
      </c>
      <c r="S135" s="117" t="str">
        <f>IF(B135="","",O135*M135)</f>
        <v/>
      </c>
    </row>
    <row r="136">
      <c r="A136" s="53" t="n">
        <v>77</v>
      </c>
      <c r="B136" s="53" t="str">
        <f>IF(A136&gt;$C$38,"",IF(A136&lt;=$C$5,"Básico",IF($C$6&gt;0,"Sucesivo","Opción de compra")))</f>
        <v/>
      </c>
      <c r="C136" s="53" t="str">
        <f>IF(B136="","",IF(B136="Opción de compra",$C$5,A136-$C$7))</f>
        <v/>
      </c>
      <c r="D136" s="130" t="str">
        <f>IF(B136="","",EDATE($C$33,C136))</f>
        <v/>
      </c>
      <c r="E136" s="117" t="str">
        <f>IF(B136="","",I135)</f>
        <v/>
      </c>
      <c r="F136" s="117" t="str">
        <f>IF(B136="","",IF(B136="Básico",$C$24,IF(B136="Sucesivo",$C$25,$C$26)))</f>
        <v/>
      </c>
      <c r="G136" s="117" t="str">
        <f>IF(B136="","",IF(B136="Opción de compra",0,(E136-$C$7*F136)*IF(B136="Sucesivo",$C$11,$C$9)))</f>
        <v/>
      </c>
      <c r="H136" s="117" t="str">
        <f>IF(B136="","",F136-G136)</f>
        <v/>
      </c>
      <c r="I136" s="117" t="str">
        <f>IF(B136="","",E136-H136)</f>
        <v/>
      </c>
      <c r="J136" s="117" t="str">
        <f>IF(B136="","",IF(OR(inp_Tipo="Arrendamiento Puro",par_BaseIVAFin="Sobre renta",B136="Opción de compra"),F136,G136)*$C$14)</f>
        <v/>
      </c>
      <c r="K136" s="117" t="str">
        <f>IF(B136="","",F136+J136)</f>
        <v/>
      </c>
      <c r="L136" s="117" t="str">
        <f>IF(B136="","",F136-IF(A136=$C$38,$C$30,0))</f>
        <v/>
      </c>
      <c r="M136" s="131" t="str">
        <f>IF(B136="","",$C$37*(1+$C$13)^(-C136))</f>
        <v/>
      </c>
      <c r="N136" s="117" t="str">
        <f>IF(B136="","",L136*M136)</f>
        <v/>
      </c>
      <c r="O136" s="117" t="str">
        <f>IF(B136="","",IF(B136="Básico",F136,0)-IF(A136=$C$38,$C$30,0))</f>
        <v/>
      </c>
      <c r="P136" s="130">
        <f>IF(B136="",$C$31,D136)</f>
        <v>46301.0</v>
      </c>
      <c r="Q136" s="117">
        <f>IF(B136="",0,L136)</f>
        <v>0</v>
      </c>
      <c r="R136" s="117">
        <f>IF(B136="",0,-F136)</f>
        <v>0</v>
      </c>
      <c r="S136" s="117" t="str">
        <f>IF(B136="","",O136*M136)</f>
        <v/>
      </c>
    </row>
    <row r="137">
      <c r="A137" s="53" t="n">
        <v>78</v>
      </c>
      <c r="B137" s="53" t="str">
        <f>IF(A137&gt;$C$38,"",IF(A137&lt;=$C$5,"Básico",IF($C$6&gt;0,"Sucesivo","Opción de compra")))</f>
        <v/>
      </c>
      <c r="C137" s="53" t="str">
        <f>IF(B137="","",IF(B137="Opción de compra",$C$5,A137-$C$7))</f>
        <v/>
      </c>
      <c r="D137" s="130" t="str">
        <f>IF(B137="","",EDATE($C$33,C137))</f>
        <v/>
      </c>
      <c r="E137" s="117" t="str">
        <f>IF(B137="","",I136)</f>
        <v/>
      </c>
      <c r="F137" s="117" t="str">
        <f>IF(B137="","",IF(B137="Básico",$C$24,IF(B137="Sucesivo",$C$25,$C$26)))</f>
        <v/>
      </c>
      <c r="G137" s="117" t="str">
        <f>IF(B137="","",IF(B137="Opción de compra",0,(E137-$C$7*F137)*IF(B137="Sucesivo",$C$11,$C$9)))</f>
        <v/>
      </c>
      <c r="H137" s="117" t="str">
        <f>IF(B137="","",F137-G137)</f>
        <v/>
      </c>
      <c r="I137" s="117" t="str">
        <f>IF(B137="","",E137-H137)</f>
        <v/>
      </c>
      <c r="J137" s="117" t="str">
        <f>IF(B137="","",IF(OR(inp_Tipo="Arrendamiento Puro",par_BaseIVAFin="Sobre renta",B137="Opción de compra"),F137,G137)*$C$14)</f>
        <v/>
      </c>
      <c r="K137" s="117" t="str">
        <f>IF(B137="","",F137+J137)</f>
        <v/>
      </c>
      <c r="L137" s="117" t="str">
        <f>IF(B137="","",F137-IF(A137=$C$38,$C$30,0))</f>
        <v/>
      </c>
      <c r="M137" s="131" t="str">
        <f>IF(B137="","",$C$37*(1+$C$13)^(-C137))</f>
        <v/>
      </c>
      <c r="N137" s="117" t="str">
        <f>IF(B137="","",L137*M137)</f>
        <v/>
      </c>
      <c r="O137" s="117" t="str">
        <f>IF(B137="","",IF(B137="Básico",F137,0)-IF(A137=$C$38,$C$30,0))</f>
        <v/>
      </c>
      <c r="P137" s="130">
        <f>IF(B137="",$C$31,D137)</f>
        <v>46301.0</v>
      </c>
      <c r="Q137" s="117">
        <f>IF(B137="",0,L137)</f>
        <v>0</v>
      </c>
      <c r="R137" s="117">
        <f>IF(B137="",0,-F137)</f>
        <v>0</v>
      </c>
      <c r="S137" s="117" t="str">
        <f>IF(B137="","",O137*M137)</f>
        <v/>
      </c>
    </row>
    <row r="138">
      <c r="A138" s="53" t="n">
        <v>79</v>
      </c>
      <c r="B138" s="53" t="str">
        <f>IF(A138&gt;$C$38,"",IF(A138&lt;=$C$5,"Básico",IF($C$6&gt;0,"Sucesivo","Opción de compra")))</f>
        <v/>
      </c>
      <c r="C138" s="53" t="str">
        <f>IF(B138="","",IF(B138="Opción de compra",$C$5,A138-$C$7))</f>
        <v/>
      </c>
      <c r="D138" s="130" t="str">
        <f>IF(B138="","",EDATE($C$33,C138))</f>
        <v/>
      </c>
      <c r="E138" s="117" t="str">
        <f>IF(B138="","",I137)</f>
        <v/>
      </c>
      <c r="F138" s="117" t="str">
        <f>IF(B138="","",IF(B138="Básico",$C$24,IF(B138="Sucesivo",$C$25,$C$26)))</f>
        <v/>
      </c>
      <c r="G138" s="117" t="str">
        <f>IF(B138="","",IF(B138="Opción de compra",0,(E138-$C$7*F138)*IF(B138="Sucesivo",$C$11,$C$9)))</f>
        <v/>
      </c>
      <c r="H138" s="117" t="str">
        <f>IF(B138="","",F138-G138)</f>
        <v/>
      </c>
      <c r="I138" s="117" t="str">
        <f>IF(B138="","",E138-H138)</f>
        <v/>
      </c>
      <c r="J138" s="117" t="str">
        <f>IF(B138="","",IF(OR(inp_Tipo="Arrendamiento Puro",par_BaseIVAFin="Sobre renta",B138="Opción de compra"),F138,G138)*$C$14)</f>
        <v/>
      </c>
      <c r="K138" s="117" t="str">
        <f>IF(B138="","",F138+J138)</f>
        <v/>
      </c>
      <c r="L138" s="117" t="str">
        <f>IF(B138="","",F138-IF(A138=$C$38,$C$30,0))</f>
        <v/>
      </c>
      <c r="M138" s="131" t="str">
        <f>IF(B138="","",$C$37*(1+$C$13)^(-C138))</f>
        <v/>
      </c>
      <c r="N138" s="117" t="str">
        <f>IF(B138="","",L138*M138)</f>
        <v/>
      </c>
      <c r="O138" s="117" t="str">
        <f>IF(B138="","",IF(B138="Básico",F138,0)-IF(A138=$C$38,$C$30,0))</f>
        <v/>
      </c>
      <c r="P138" s="130">
        <f>IF(B138="",$C$31,D138)</f>
        <v>46301.0</v>
      </c>
      <c r="Q138" s="117">
        <f>IF(B138="",0,L138)</f>
        <v>0</v>
      </c>
      <c r="R138" s="117">
        <f>IF(B138="",0,-F138)</f>
        <v>0</v>
      </c>
      <c r="S138" s="117" t="str">
        <f>IF(B138="","",O138*M138)</f>
        <v/>
      </c>
    </row>
    <row r="139">
      <c r="A139" s="53" t="n">
        <v>80</v>
      </c>
      <c r="B139" s="53" t="str">
        <f>IF(A139&gt;$C$38,"",IF(A139&lt;=$C$5,"Básico",IF($C$6&gt;0,"Sucesivo","Opción de compra")))</f>
        <v/>
      </c>
      <c r="C139" s="53" t="str">
        <f>IF(B139="","",IF(B139="Opción de compra",$C$5,A139-$C$7))</f>
        <v/>
      </c>
      <c r="D139" s="130" t="str">
        <f>IF(B139="","",EDATE($C$33,C139))</f>
        <v/>
      </c>
      <c r="E139" s="117" t="str">
        <f>IF(B139="","",I138)</f>
        <v/>
      </c>
      <c r="F139" s="117" t="str">
        <f>IF(B139="","",IF(B139="Básico",$C$24,IF(B139="Sucesivo",$C$25,$C$26)))</f>
        <v/>
      </c>
      <c r="G139" s="117" t="str">
        <f>IF(B139="","",IF(B139="Opción de compra",0,(E139-$C$7*F139)*IF(B139="Sucesivo",$C$11,$C$9)))</f>
        <v/>
      </c>
      <c r="H139" s="117" t="str">
        <f>IF(B139="","",F139-G139)</f>
        <v/>
      </c>
      <c r="I139" s="117" t="str">
        <f>IF(B139="","",E139-H139)</f>
        <v/>
      </c>
      <c r="J139" s="117" t="str">
        <f>IF(B139="","",IF(OR(inp_Tipo="Arrendamiento Puro",par_BaseIVAFin="Sobre renta",B139="Opción de compra"),F139,G139)*$C$14)</f>
        <v/>
      </c>
      <c r="K139" s="117" t="str">
        <f>IF(B139="","",F139+J139)</f>
        <v/>
      </c>
      <c r="L139" s="117" t="str">
        <f>IF(B139="","",F139-IF(A139=$C$38,$C$30,0))</f>
        <v/>
      </c>
      <c r="M139" s="131" t="str">
        <f>IF(B139="","",$C$37*(1+$C$13)^(-C139))</f>
        <v/>
      </c>
      <c r="N139" s="117" t="str">
        <f>IF(B139="","",L139*M139)</f>
        <v/>
      </c>
      <c r="O139" s="117" t="str">
        <f>IF(B139="","",IF(B139="Básico",F139,0)-IF(A139=$C$38,$C$30,0))</f>
        <v/>
      </c>
      <c r="P139" s="130">
        <f>IF(B139="",$C$31,D139)</f>
        <v>46301.0</v>
      </c>
      <c r="Q139" s="117">
        <f>IF(B139="",0,L139)</f>
        <v>0</v>
      </c>
      <c r="R139" s="117">
        <f>IF(B139="",0,-F139)</f>
        <v>0</v>
      </c>
      <c r="S139" s="117" t="str">
        <f>IF(B139="","",O139*M139)</f>
        <v/>
      </c>
    </row>
    <row r="140">
      <c r="A140" s="53" t="n">
        <v>81</v>
      </c>
      <c r="B140" s="53" t="str">
        <f>IF(A140&gt;$C$38,"",IF(A140&lt;=$C$5,"Básico",IF($C$6&gt;0,"Sucesivo","Opción de compra")))</f>
        <v/>
      </c>
      <c r="C140" s="53" t="str">
        <f>IF(B140="","",IF(B140="Opción de compra",$C$5,A140-$C$7))</f>
        <v/>
      </c>
      <c r="D140" s="130" t="str">
        <f>IF(B140="","",EDATE($C$33,C140))</f>
        <v/>
      </c>
      <c r="E140" s="117" t="str">
        <f>IF(B140="","",I139)</f>
        <v/>
      </c>
      <c r="F140" s="117" t="str">
        <f>IF(B140="","",IF(B140="Básico",$C$24,IF(B140="Sucesivo",$C$25,$C$26)))</f>
        <v/>
      </c>
      <c r="G140" s="117" t="str">
        <f>IF(B140="","",IF(B140="Opción de compra",0,(E140-$C$7*F140)*IF(B140="Sucesivo",$C$11,$C$9)))</f>
        <v/>
      </c>
      <c r="H140" s="117" t="str">
        <f>IF(B140="","",F140-G140)</f>
        <v/>
      </c>
      <c r="I140" s="117" t="str">
        <f>IF(B140="","",E140-H140)</f>
        <v/>
      </c>
      <c r="J140" s="117" t="str">
        <f>IF(B140="","",IF(OR(inp_Tipo="Arrendamiento Puro",par_BaseIVAFin="Sobre renta",B140="Opción de compra"),F140,G140)*$C$14)</f>
        <v/>
      </c>
      <c r="K140" s="117" t="str">
        <f>IF(B140="","",F140+J140)</f>
        <v/>
      </c>
      <c r="L140" s="117" t="str">
        <f>IF(B140="","",F140-IF(A140=$C$38,$C$30,0))</f>
        <v/>
      </c>
      <c r="M140" s="131" t="str">
        <f>IF(B140="","",$C$37*(1+$C$13)^(-C140))</f>
        <v/>
      </c>
      <c r="N140" s="117" t="str">
        <f>IF(B140="","",L140*M140)</f>
        <v/>
      </c>
      <c r="O140" s="117" t="str">
        <f>IF(B140="","",IF(B140="Básico",F140,0)-IF(A140=$C$38,$C$30,0))</f>
        <v/>
      </c>
      <c r="P140" s="130">
        <f>IF(B140="",$C$31,D140)</f>
        <v>46301.0</v>
      </c>
      <c r="Q140" s="117">
        <f>IF(B140="",0,L140)</f>
        <v>0</v>
      </c>
      <c r="R140" s="117">
        <f>IF(B140="",0,-F140)</f>
        <v>0</v>
      </c>
      <c r="S140" s="117" t="str">
        <f>IF(B140="","",O140*M140)</f>
        <v/>
      </c>
    </row>
    <row r="141">
      <c r="A141" s="53" t="n">
        <v>82</v>
      </c>
      <c r="B141" s="53" t="str">
        <f>IF(A141&gt;$C$38,"",IF(A141&lt;=$C$5,"Básico",IF($C$6&gt;0,"Sucesivo","Opción de compra")))</f>
        <v/>
      </c>
      <c r="C141" s="53" t="str">
        <f>IF(B141="","",IF(B141="Opción de compra",$C$5,A141-$C$7))</f>
        <v/>
      </c>
      <c r="D141" s="130" t="str">
        <f>IF(B141="","",EDATE($C$33,C141))</f>
        <v/>
      </c>
      <c r="E141" s="117" t="str">
        <f>IF(B141="","",I140)</f>
        <v/>
      </c>
      <c r="F141" s="117" t="str">
        <f>IF(B141="","",IF(B141="Básico",$C$24,IF(B141="Sucesivo",$C$25,$C$26)))</f>
        <v/>
      </c>
      <c r="G141" s="117" t="str">
        <f>IF(B141="","",IF(B141="Opción de compra",0,(E141-$C$7*F141)*IF(B141="Sucesivo",$C$11,$C$9)))</f>
        <v/>
      </c>
      <c r="H141" s="117" t="str">
        <f>IF(B141="","",F141-G141)</f>
        <v/>
      </c>
      <c r="I141" s="117" t="str">
        <f>IF(B141="","",E141-H141)</f>
        <v/>
      </c>
      <c r="J141" s="117" t="str">
        <f>IF(B141="","",IF(OR(inp_Tipo="Arrendamiento Puro",par_BaseIVAFin="Sobre renta",B141="Opción de compra"),F141,G141)*$C$14)</f>
        <v/>
      </c>
      <c r="K141" s="117" t="str">
        <f>IF(B141="","",F141+J141)</f>
        <v/>
      </c>
      <c r="L141" s="117" t="str">
        <f>IF(B141="","",F141-IF(A141=$C$38,$C$30,0))</f>
        <v/>
      </c>
      <c r="M141" s="131" t="str">
        <f>IF(B141="","",$C$37*(1+$C$13)^(-C141))</f>
        <v/>
      </c>
      <c r="N141" s="117" t="str">
        <f>IF(B141="","",L141*M141)</f>
        <v/>
      </c>
      <c r="O141" s="117" t="str">
        <f>IF(B141="","",IF(B141="Básico",F141,0)-IF(A141=$C$38,$C$30,0))</f>
        <v/>
      </c>
      <c r="P141" s="130">
        <f>IF(B141="",$C$31,D141)</f>
        <v>46301.0</v>
      </c>
      <c r="Q141" s="117">
        <f>IF(B141="",0,L141)</f>
        <v>0</v>
      </c>
      <c r="R141" s="117">
        <f>IF(B141="",0,-F141)</f>
        <v>0</v>
      </c>
      <c r="S141" s="117" t="str">
        <f>IF(B141="","",O141*M141)</f>
        <v/>
      </c>
    </row>
    <row r="142">
      <c r="A142" s="53" t="n">
        <v>83</v>
      </c>
      <c r="B142" s="53" t="str">
        <f>IF(A142&gt;$C$38,"",IF(A142&lt;=$C$5,"Básico",IF($C$6&gt;0,"Sucesivo","Opción de compra")))</f>
        <v/>
      </c>
      <c r="C142" s="53" t="str">
        <f>IF(B142="","",IF(B142="Opción de compra",$C$5,A142-$C$7))</f>
        <v/>
      </c>
      <c r="D142" s="130" t="str">
        <f>IF(B142="","",EDATE($C$33,C142))</f>
        <v/>
      </c>
      <c r="E142" s="117" t="str">
        <f>IF(B142="","",I141)</f>
        <v/>
      </c>
      <c r="F142" s="117" t="str">
        <f>IF(B142="","",IF(B142="Básico",$C$24,IF(B142="Sucesivo",$C$25,$C$26)))</f>
        <v/>
      </c>
      <c r="G142" s="117" t="str">
        <f>IF(B142="","",IF(B142="Opción de compra",0,(E142-$C$7*F142)*IF(B142="Sucesivo",$C$11,$C$9)))</f>
        <v/>
      </c>
      <c r="H142" s="117" t="str">
        <f>IF(B142="","",F142-G142)</f>
        <v/>
      </c>
      <c r="I142" s="117" t="str">
        <f>IF(B142="","",E142-H142)</f>
        <v/>
      </c>
      <c r="J142" s="117" t="str">
        <f>IF(B142="","",IF(OR(inp_Tipo="Arrendamiento Puro",par_BaseIVAFin="Sobre renta",B142="Opción de compra"),F142,G142)*$C$14)</f>
        <v/>
      </c>
      <c r="K142" s="117" t="str">
        <f>IF(B142="","",F142+J142)</f>
        <v/>
      </c>
      <c r="L142" s="117" t="str">
        <f>IF(B142="","",F142-IF(A142=$C$38,$C$30,0))</f>
        <v/>
      </c>
      <c r="M142" s="131" t="str">
        <f>IF(B142="","",$C$37*(1+$C$13)^(-C142))</f>
        <v/>
      </c>
      <c r="N142" s="117" t="str">
        <f>IF(B142="","",L142*M142)</f>
        <v/>
      </c>
      <c r="O142" s="117" t="str">
        <f>IF(B142="","",IF(B142="Básico",F142,0)-IF(A142=$C$38,$C$30,0))</f>
        <v/>
      </c>
      <c r="P142" s="130">
        <f>IF(B142="",$C$31,D142)</f>
        <v>46301.0</v>
      </c>
      <c r="Q142" s="117">
        <f>IF(B142="",0,L142)</f>
        <v>0</v>
      </c>
      <c r="R142" s="117">
        <f>IF(B142="",0,-F142)</f>
        <v>0</v>
      </c>
      <c r="S142" s="117" t="str">
        <f>IF(B142="","",O142*M142)</f>
        <v/>
      </c>
    </row>
    <row r="143">
      <c r="A143" s="53" t="n">
        <v>84</v>
      </c>
      <c r="B143" s="53" t="str">
        <f>IF(A143&gt;$C$38,"",IF(A143&lt;=$C$5,"Básico",IF($C$6&gt;0,"Sucesivo","Opción de compra")))</f>
        <v/>
      </c>
      <c r="C143" s="53" t="str">
        <f>IF(B143="","",IF(B143="Opción de compra",$C$5,A143-$C$7))</f>
        <v/>
      </c>
      <c r="D143" s="130" t="str">
        <f>IF(B143="","",EDATE($C$33,C143))</f>
        <v/>
      </c>
      <c r="E143" s="117" t="str">
        <f>IF(B143="","",I142)</f>
        <v/>
      </c>
      <c r="F143" s="117" t="str">
        <f>IF(B143="","",IF(B143="Básico",$C$24,IF(B143="Sucesivo",$C$25,$C$26)))</f>
        <v/>
      </c>
      <c r="G143" s="117" t="str">
        <f>IF(B143="","",IF(B143="Opción de compra",0,(E143-$C$7*F143)*IF(B143="Sucesivo",$C$11,$C$9)))</f>
        <v/>
      </c>
      <c r="H143" s="117" t="str">
        <f>IF(B143="","",F143-G143)</f>
        <v/>
      </c>
      <c r="I143" s="117" t="str">
        <f>IF(B143="","",E143-H143)</f>
        <v/>
      </c>
      <c r="J143" s="117" t="str">
        <f>IF(B143="","",IF(OR(inp_Tipo="Arrendamiento Puro",par_BaseIVAFin="Sobre renta",B143="Opción de compra"),F143,G143)*$C$14)</f>
        <v/>
      </c>
      <c r="K143" s="117" t="str">
        <f>IF(B143="","",F143+J143)</f>
        <v/>
      </c>
      <c r="L143" s="117" t="str">
        <f>IF(B143="","",F143-IF(A143=$C$38,$C$30,0))</f>
        <v/>
      </c>
      <c r="M143" s="131" t="str">
        <f>IF(B143="","",$C$37*(1+$C$13)^(-C143))</f>
        <v/>
      </c>
      <c r="N143" s="117" t="str">
        <f>IF(B143="","",L143*M143)</f>
        <v/>
      </c>
      <c r="O143" s="117" t="str">
        <f>IF(B143="","",IF(B143="Básico",F143,0)-IF(A143=$C$38,$C$30,0))</f>
        <v/>
      </c>
      <c r="P143" s="130">
        <f>IF(B143="",$C$31,D143)</f>
        <v>46301.0</v>
      </c>
      <c r="Q143" s="117">
        <f>IF(B143="",0,L143)</f>
        <v>0</v>
      </c>
      <c r="R143" s="117">
        <f>IF(B143="",0,-F143)</f>
        <v>0</v>
      </c>
      <c r="S143" s="117" t="str">
        <f>IF(B143="","",O143*M143)</f>
        <v/>
      </c>
    </row>
    <row r="144">
      <c r="A144" s="53" t="n">
        <v>85</v>
      </c>
      <c r="B144" s="53" t="str">
        <f>IF(A144&gt;$C$38,"",IF(A144&lt;=$C$5,"Básico",IF($C$6&gt;0,"Sucesivo","Opción de compra")))</f>
        <v/>
      </c>
      <c r="C144" s="53" t="str">
        <f>IF(B144="","",IF(B144="Opción de compra",$C$5,A144-$C$7))</f>
        <v/>
      </c>
      <c r="D144" s="130" t="str">
        <f>IF(B144="","",EDATE($C$33,C144))</f>
        <v/>
      </c>
      <c r="E144" s="117" t="str">
        <f>IF(B144="","",I143)</f>
        <v/>
      </c>
      <c r="F144" s="117" t="str">
        <f>IF(B144="","",IF(B144="Básico",$C$24,IF(B144="Sucesivo",$C$25,$C$26)))</f>
        <v/>
      </c>
      <c r="G144" s="117" t="str">
        <f>IF(B144="","",IF(B144="Opción de compra",0,(E144-$C$7*F144)*IF(B144="Sucesivo",$C$11,$C$9)))</f>
        <v/>
      </c>
      <c r="H144" s="117" t="str">
        <f>IF(B144="","",F144-G144)</f>
        <v/>
      </c>
      <c r="I144" s="117" t="str">
        <f>IF(B144="","",E144-H144)</f>
        <v/>
      </c>
      <c r="J144" s="117" t="str">
        <f>IF(B144="","",IF(OR(inp_Tipo="Arrendamiento Puro",par_BaseIVAFin="Sobre renta",B144="Opción de compra"),F144,G144)*$C$14)</f>
        <v/>
      </c>
      <c r="K144" s="117" t="str">
        <f>IF(B144="","",F144+J144)</f>
        <v/>
      </c>
      <c r="L144" s="117" t="str">
        <f>IF(B144="","",F144-IF(A144=$C$38,$C$30,0))</f>
        <v/>
      </c>
      <c r="M144" s="131" t="str">
        <f>IF(B144="","",$C$37*(1+$C$13)^(-C144))</f>
        <v/>
      </c>
      <c r="N144" s="117" t="str">
        <f>IF(B144="","",L144*M144)</f>
        <v/>
      </c>
      <c r="O144" s="117" t="str">
        <f>IF(B144="","",IF(B144="Básico",F144,0)-IF(A144=$C$38,$C$30,0))</f>
        <v/>
      </c>
      <c r="P144" s="130">
        <f>IF(B144="",$C$31,D144)</f>
        <v>46301.0</v>
      </c>
      <c r="Q144" s="117">
        <f>IF(B144="",0,L144)</f>
        <v>0</v>
      </c>
      <c r="R144" s="117">
        <f>IF(B144="",0,-F144)</f>
        <v>0</v>
      </c>
      <c r="S144" s="117" t="str">
        <f>IF(B144="","",O144*M144)</f>
        <v/>
      </c>
    </row>
    <row r="145">
      <c r="A145" s="53" t="n">
        <v>86</v>
      </c>
      <c r="B145" s="53" t="str">
        <f>IF(A145&gt;$C$38,"",IF(A145&lt;=$C$5,"Básico",IF($C$6&gt;0,"Sucesivo","Opción de compra")))</f>
        <v/>
      </c>
      <c r="C145" s="53" t="str">
        <f>IF(B145="","",IF(B145="Opción de compra",$C$5,A145-$C$7))</f>
        <v/>
      </c>
      <c r="D145" s="130" t="str">
        <f>IF(B145="","",EDATE($C$33,C145))</f>
        <v/>
      </c>
      <c r="E145" s="117" t="str">
        <f>IF(B145="","",I144)</f>
        <v/>
      </c>
      <c r="F145" s="117" t="str">
        <f>IF(B145="","",IF(B145="Básico",$C$24,IF(B145="Sucesivo",$C$25,$C$26)))</f>
        <v/>
      </c>
      <c r="G145" s="117" t="str">
        <f>IF(B145="","",IF(B145="Opción de compra",0,(E145-$C$7*F145)*IF(B145="Sucesivo",$C$11,$C$9)))</f>
        <v/>
      </c>
      <c r="H145" s="117" t="str">
        <f>IF(B145="","",F145-G145)</f>
        <v/>
      </c>
      <c r="I145" s="117" t="str">
        <f>IF(B145="","",E145-H145)</f>
        <v/>
      </c>
      <c r="J145" s="117" t="str">
        <f>IF(B145="","",IF(OR(inp_Tipo="Arrendamiento Puro",par_BaseIVAFin="Sobre renta",B145="Opción de compra"),F145,G145)*$C$14)</f>
        <v/>
      </c>
      <c r="K145" s="117" t="str">
        <f>IF(B145="","",F145+J145)</f>
        <v/>
      </c>
      <c r="L145" s="117" t="str">
        <f>IF(B145="","",F145-IF(A145=$C$38,$C$30,0))</f>
        <v/>
      </c>
      <c r="M145" s="131" t="str">
        <f>IF(B145="","",$C$37*(1+$C$13)^(-C145))</f>
        <v/>
      </c>
      <c r="N145" s="117" t="str">
        <f>IF(B145="","",L145*M145)</f>
        <v/>
      </c>
      <c r="O145" s="117" t="str">
        <f>IF(B145="","",IF(B145="Básico",F145,0)-IF(A145=$C$38,$C$30,0))</f>
        <v/>
      </c>
      <c r="P145" s="130">
        <f>IF(B145="",$C$31,D145)</f>
        <v>46301.0</v>
      </c>
      <c r="Q145" s="117">
        <f>IF(B145="",0,L145)</f>
        <v>0</v>
      </c>
      <c r="R145" s="117">
        <f>IF(B145="",0,-F145)</f>
        <v>0</v>
      </c>
      <c r="S145" s="117" t="str">
        <f>IF(B145="","",O145*M145)</f>
        <v/>
      </c>
    </row>
    <row r="146">
      <c r="A146" s="53" t="n">
        <v>87</v>
      </c>
      <c r="B146" s="53" t="str">
        <f>IF(A146&gt;$C$38,"",IF(A146&lt;=$C$5,"Básico",IF($C$6&gt;0,"Sucesivo","Opción de compra")))</f>
        <v/>
      </c>
      <c r="C146" s="53" t="str">
        <f>IF(B146="","",IF(B146="Opción de compra",$C$5,A146-$C$7))</f>
        <v/>
      </c>
      <c r="D146" s="130" t="str">
        <f>IF(B146="","",EDATE($C$33,C146))</f>
        <v/>
      </c>
      <c r="E146" s="117" t="str">
        <f>IF(B146="","",I145)</f>
        <v/>
      </c>
      <c r="F146" s="117" t="str">
        <f>IF(B146="","",IF(B146="Básico",$C$24,IF(B146="Sucesivo",$C$25,$C$26)))</f>
        <v/>
      </c>
      <c r="G146" s="117" t="str">
        <f>IF(B146="","",IF(B146="Opción de compra",0,(E146-$C$7*F146)*IF(B146="Sucesivo",$C$11,$C$9)))</f>
        <v/>
      </c>
      <c r="H146" s="117" t="str">
        <f>IF(B146="","",F146-G146)</f>
        <v/>
      </c>
      <c r="I146" s="117" t="str">
        <f>IF(B146="","",E146-H146)</f>
        <v/>
      </c>
      <c r="J146" s="117" t="str">
        <f>IF(B146="","",IF(OR(inp_Tipo="Arrendamiento Puro",par_BaseIVAFin="Sobre renta",B146="Opción de compra"),F146,G146)*$C$14)</f>
        <v/>
      </c>
      <c r="K146" s="117" t="str">
        <f>IF(B146="","",F146+J146)</f>
        <v/>
      </c>
      <c r="L146" s="117" t="str">
        <f>IF(B146="","",F146-IF(A146=$C$38,$C$30,0))</f>
        <v/>
      </c>
      <c r="M146" s="131" t="str">
        <f>IF(B146="","",$C$37*(1+$C$13)^(-C146))</f>
        <v/>
      </c>
      <c r="N146" s="117" t="str">
        <f>IF(B146="","",L146*M146)</f>
        <v/>
      </c>
      <c r="O146" s="117" t="str">
        <f>IF(B146="","",IF(B146="Básico",F146,0)-IF(A146=$C$38,$C$30,0))</f>
        <v/>
      </c>
      <c r="P146" s="130">
        <f>IF(B146="",$C$31,D146)</f>
        <v>46301.0</v>
      </c>
      <c r="Q146" s="117">
        <f>IF(B146="",0,L146)</f>
        <v>0</v>
      </c>
      <c r="R146" s="117">
        <f>IF(B146="",0,-F146)</f>
        <v>0</v>
      </c>
      <c r="S146" s="117" t="str">
        <f>IF(B146="","",O146*M146)</f>
        <v/>
      </c>
    </row>
    <row r="147">
      <c r="A147" s="53" t="n">
        <v>88</v>
      </c>
      <c r="B147" s="53" t="str">
        <f>IF(A147&gt;$C$38,"",IF(A147&lt;=$C$5,"Básico",IF($C$6&gt;0,"Sucesivo","Opción de compra")))</f>
        <v/>
      </c>
      <c r="C147" s="53" t="str">
        <f>IF(B147="","",IF(B147="Opción de compra",$C$5,A147-$C$7))</f>
        <v/>
      </c>
      <c r="D147" s="130" t="str">
        <f>IF(B147="","",EDATE($C$33,C147))</f>
        <v/>
      </c>
      <c r="E147" s="117" t="str">
        <f>IF(B147="","",I146)</f>
        <v/>
      </c>
      <c r="F147" s="117" t="str">
        <f>IF(B147="","",IF(B147="Básico",$C$24,IF(B147="Sucesivo",$C$25,$C$26)))</f>
        <v/>
      </c>
      <c r="G147" s="117" t="str">
        <f>IF(B147="","",IF(B147="Opción de compra",0,(E147-$C$7*F147)*IF(B147="Sucesivo",$C$11,$C$9)))</f>
        <v/>
      </c>
      <c r="H147" s="117" t="str">
        <f>IF(B147="","",F147-G147)</f>
        <v/>
      </c>
      <c r="I147" s="117" t="str">
        <f>IF(B147="","",E147-H147)</f>
        <v/>
      </c>
      <c r="J147" s="117" t="str">
        <f>IF(B147="","",IF(OR(inp_Tipo="Arrendamiento Puro",par_BaseIVAFin="Sobre renta",B147="Opción de compra"),F147,G147)*$C$14)</f>
        <v/>
      </c>
      <c r="K147" s="117" t="str">
        <f>IF(B147="","",F147+J147)</f>
        <v/>
      </c>
      <c r="L147" s="117" t="str">
        <f>IF(B147="","",F147-IF(A147=$C$38,$C$30,0))</f>
        <v/>
      </c>
      <c r="M147" s="131" t="str">
        <f>IF(B147="","",$C$37*(1+$C$13)^(-C147))</f>
        <v/>
      </c>
      <c r="N147" s="117" t="str">
        <f>IF(B147="","",L147*M147)</f>
        <v/>
      </c>
      <c r="O147" s="117" t="str">
        <f>IF(B147="","",IF(B147="Básico",F147,0)-IF(A147=$C$38,$C$30,0))</f>
        <v/>
      </c>
      <c r="P147" s="130">
        <f>IF(B147="",$C$31,D147)</f>
        <v>46301.0</v>
      </c>
      <c r="Q147" s="117">
        <f>IF(B147="",0,L147)</f>
        <v>0</v>
      </c>
      <c r="R147" s="117">
        <f>IF(B147="",0,-F147)</f>
        <v>0</v>
      </c>
      <c r="S147" s="117" t="str">
        <f>IF(B147="","",O147*M147)</f>
        <v/>
      </c>
    </row>
    <row r="148">
      <c r="A148" s="53" t="n">
        <v>89</v>
      </c>
      <c r="B148" s="53" t="str">
        <f>IF(A148&gt;$C$38,"",IF(A148&lt;=$C$5,"Básico",IF($C$6&gt;0,"Sucesivo","Opción de compra")))</f>
        <v/>
      </c>
      <c r="C148" s="53" t="str">
        <f>IF(B148="","",IF(B148="Opción de compra",$C$5,A148-$C$7))</f>
        <v/>
      </c>
      <c r="D148" s="130" t="str">
        <f>IF(B148="","",EDATE($C$33,C148))</f>
        <v/>
      </c>
      <c r="E148" s="117" t="str">
        <f>IF(B148="","",I147)</f>
        <v/>
      </c>
      <c r="F148" s="117" t="str">
        <f>IF(B148="","",IF(B148="Básico",$C$24,IF(B148="Sucesivo",$C$25,$C$26)))</f>
        <v/>
      </c>
      <c r="G148" s="117" t="str">
        <f>IF(B148="","",IF(B148="Opción de compra",0,(E148-$C$7*F148)*IF(B148="Sucesivo",$C$11,$C$9)))</f>
        <v/>
      </c>
      <c r="H148" s="117" t="str">
        <f>IF(B148="","",F148-G148)</f>
        <v/>
      </c>
      <c r="I148" s="117" t="str">
        <f>IF(B148="","",E148-H148)</f>
        <v/>
      </c>
      <c r="J148" s="117" t="str">
        <f>IF(B148="","",IF(OR(inp_Tipo="Arrendamiento Puro",par_BaseIVAFin="Sobre renta",B148="Opción de compra"),F148,G148)*$C$14)</f>
        <v/>
      </c>
      <c r="K148" s="117" t="str">
        <f>IF(B148="","",F148+J148)</f>
        <v/>
      </c>
      <c r="L148" s="117" t="str">
        <f>IF(B148="","",F148-IF(A148=$C$38,$C$30,0))</f>
        <v/>
      </c>
      <c r="M148" s="131" t="str">
        <f>IF(B148="","",$C$37*(1+$C$13)^(-C148))</f>
        <v/>
      </c>
      <c r="N148" s="117" t="str">
        <f>IF(B148="","",L148*M148)</f>
        <v/>
      </c>
      <c r="O148" s="117" t="str">
        <f>IF(B148="","",IF(B148="Básico",F148,0)-IF(A148=$C$38,$C$30,0))</f>
        <v/>
      </c>
      <c r="P148" s="130">
        <f>IF(B148="",$C$31,D148)</f>
        <v>46301.0</v>
      </c>
      <c r="Q148" s="117">
        <f>IF(B148="",0,L148)</f>
        <v>0</v>
      </c>
      <c r="R148" s="117">
        <f>IF(B148="",0,-F148)</f>
        <v>0</v>
      </c>
      <c r="S148" s="117" t="str">
        <f>IF(B148="","",O148*M148)</f>
        <v/>
      </c>
    </row>
    <row r="149">
      <c r="A149" s="53" t="n">
        <v>90</v>
      </c>
      <c r="B149" s="53" t="str">
        <f>IF(A149&gt;$C$38,"",IF(A149&lt;=$C$5,"Básico",IF($C$6&gt;0,"Sucesivo","Opción de compra")))</f>
        <v/>
      </c>
      <c r="C149" s="53" t="str">
        <f>IF(B149="","",IF(B149="Opción de compra",$C$5,A149-$C$7))</f>
        <v/>
      </c>
      <c r="D149" s="130" t="str">
        <f>IF(B149="","",EDATE($C$33,C149))</f>
        <v/>
      </c>
      <c r="E149" s="117" t="str">
        <f>IF(B149="","",I148)</f>
        <v/>
      </c>
      <c r="F149" s="117" t="str">
        <f>IF(B149="","",IF(B149="Básico",$C$24,IF(B149="Sucesivo",$C$25,$C$26)))</f>
        <v/>
      </c>
      <c r="G149" s="117" t="str">
        <f>IF(B149="","",IF(B149="Opción de compra",0,(E149-$C$7*F149)*IF(B149="Sucesivo",$C$11,$C$9)))</f>
        <v/>
      </c>
      <c r="H149" s="117" t="str">
        <f>IF(B149="","",F149-G149)</f>
        <v/>
      </c>
      <c r="I149" s="117" t="str">
        <f>IF(B149="","",E149-H149)</f>
        <v/>
      </c>
      <c r="J149" s="117" t="str">
        <f>IF(B149="","",IF(OR(inp_Tipo="Arrendamiento Puro",par_BaseIVAFin="Sobre renta",B149="Opción de compra"),F149,G149)*$C$14)</f>
        <v/>
      </c>
      <c r="K149" s="117" t="str">
        <f>IF(B149="","",F149+J149)</f>
        <v/>
      </c>
      <c r="L149" s="117" t="str">
        <f>IF(B149="","",F149-IF(A149=$C$38,$C$30,0))</f>
        <v/>
      </c>
      <c r="M149" s="131" t="str">
        <f>IF(B149="","",$C$37*(1+$C$13)^(-C149))</f>
        <v/>
      </c>
      <c r="N149" s="117" t="str">
        <f>IF(B149="","",L149*M149)</f>
        <v/>
      </c>
      <c r="O149" s="117" t="str">
        <f>IF(B149="","",IF(B149="Básico",F149,0)-IF(A149=$C$38,$C$30,0))</f>
        <v/>
      </c>
      <c r="P149" s="130">
        <f>IF(B149="",$C$31,D149)</f>
        <v>46301.0</v>
      </c>
      <c r="Q149" s="117">
        <f>IF(B149="",0,L149)</f>
        <v>0</v>
      </c>
      <c r="R149" s="117">
        <f>IF(B149="",0,-F149)</f>
        <v>0</v>
      </c>
      <c r="S149" s="117" t="str">
        <f>IF(B149="","",O149*M149)</f>
        <v/>
      </c>
    </row>
    <row r="150">
      <c r="A150" s="53" t="n">
        <v>91</v>
      </c>
      <c r="B150" s="53" t="str">
        <f>IF(A150&gt;$C$38,"",IF(A150&lt;=$C$5,"Básico",IF($C$6&gt;0,"Sucesivo","Opción de compra")))</f>
        <v/>
      </c>
      <c r="C150" s="53" t="str">
        <f>IF(B150="","",IF(B150="Opción de compra",$C$5,A150-$C$7))</f>
        <v/>
      </c>
      <c r="D150" s="130" t="str">
        <f>IF(B150="","",EDATE($C$33,C150))</f>
        <v/>
      </c>
      <c r="E150" s="117" t="str">
        <f>IF(B150="","",I149)</f>
        <v/>
      </c>
      <c r="F150" s="117" t="str">
        <f>IF(B150="","",IF(B150="Básico",$C$24,IF(B150="Sucesivo",$C$25,$C$26)))</f>
        <v/>
      </c>
      <c r="G150" s="117" t="str">
        <f>IF(B150="","",IF(B150="Opción de compra",0,(E150-$C$7*F150)*IF(B150="Sucesivo",$C$11,$C$9)))</f>
        <v/>
      </c>
      <c r="H150" s="117" t="str">
        <f>IF(B150="","",F150-G150)</f>
        <v/>
      </c>
      <c r="I150" s="117" t="str">
        <f>IF(B150="","",E150-H150)</f>
        <v/>
      </c>
      <c r="J150" s="117" t="str">
        <f>IF(B150="","",IF(OR(inp_Tipo="Arrendamiento Puro",par_BaseIVAFin="Sobre renta",B150="Opción de compra"),F150,G150)*$C$14)</f>
        <v/>
      </c>
      <c r="K150" s="117" t="str">
        <f>IF(B150="","",F150+J150)</f>
        <v/>
      </c>
      <c r="L150" s="117" t="str">
        <f>IF(B150="","",F150-IF(A150=$C$38,$C$30,0))</f>
        <v/>
      </c>
      <c r="M150" s="131" t="str">
        <f>IF(B150="","",$C$37*(1+$C$13)^(-C150))</f>
        <v/>
      </c>
      <c r="N150" s="117" t="str">
        <f>IF(B150="","",L150*M150)</f>
        <v/>
      </c>
      <c r="O150" s="117" t="str">
        <f>IF(B150="","",IF(B150="Básico",F150,0)-IF(A150=$C$38,$C$30,0))</f>
        <v/>
      </c>
      <c r="P150" s="130">
        <f>IF(B150="",$C$31,D150)</f>
        <v>46301.0</v>
      </c>
      <c r="Q150" s="117">
        <f>IF(B150="",0,L150)</f>
        <v>0</v>
      </c>
      <c r="R150" s="117">
        <f>IF(B150="",0,-F150)</f>
        <v>0</v>
      </c>
      <c r="S150" s="117" t="str">
        <f>IF(B150="","",O150*M150)</f>
        <v/>
      </c>
    </row>
    <row r="151">
      <c r="A151" s="53" t="n">
        <v>92</v>
      </c>
      <c r="B151" s="53" t="str">
        <f>IF(A151&gt;$C$38,"",IF(A151&lt;=$C$5,"Básico",IF($C$6&gt;0,"Sucesivo","Opción de compra")))</f>
        <v/>
      </c>
      <c r="C151" s="53" t="str">
        <f>IF(B151="","",IF(B151="Opción de compra",$C$5,A151-$C$7))</f>
        <v/>
      </c>
      <c r="D151" s="130" t="str">
        <f>IF(B151="","",EDATE($C$33,C151))</f>
        <v/>
      </c>
      <c r="E151" s="117" t="str">
        <f>IF(B151="","",I150)</f>
        <v/>
      </c>
      <c r="F151" s="117" t="str">
        <f>IF(B151="","",IF(B151="Básico",$C$24,IF(B151="Sucesivo",$C$25,$C$26)))</f>
        <v/>
      </c>
      <c r="G151" s="117" t="str">
        <f>IF(B151="","",IF(B151="Opción de compra",0,(E151-$C$7*F151)*IF(B151="Sucesivo",$C$11,$C$9)))</f>
        <v/>
      </c>
      <c r="H151" s="117" t="str">
        <f>IF(B151="","",F151-G151)</f>
        <v/>
      </c>
      <c r="I151" s="117" t="str">
        <f>IF(B151="","",E151-H151)</f>
        <v/>
      </c>
      <c r="J151" s="117" t="str">
        <f>IF(B151="","",IF(OR(inp_Tipo="Arrendamiento Puro",par_BaseIVAFin="Sobre renta",B151="Opción de compra"),F151,G151)*$C$14)</f>
        <v/>
      </c>
      <c r="K151" s="117" t="str">
        <f>IF(B151="","",F151+J151)</f>
        <v/>
      </c>
      <c r="L151" s="117" t="str">
        <f>IF(B151="","",F151-IF(A151=$C$38,$C$30,0))</f>
        <v/>
      </c>
      <c r="M151" s="131" t="str">
        <f>IF(B151="","",$C$37*(1+$C$13)^(-C151))</f>
        <v/>
      </c>
      <c r="N151" s="117" t="str">
        <f>IF(B151="","",L151*M151)</f>
        <v/>
      </c>
      <c r="O151" s="117" t="str">
        <f>IF(B151="","",IF(B151="Básico",F151,0)-IF(A151=$C$38,$C$30,0))</f>
        <v/>
      </c>
      <c r="P151" s="130">
        <f>IF(B151="",$C$31,D151)</f>
        <v>46301.0</v>
      </c>
      <c r="Q151" s="117">
        <f>IF(B151="",0,L151)</f>
        <v>0</v>
      </c>
      <c r="R151" s="117">
        <f>IF(B151="",0,-F151)</f>
        <v>0</v>
      </c>
      <c r="S151" s="117" t="str">
        <f>IF(B151="","",O151*M151)</f>
        <v/>
      </c>
    </row>
    <row r="152">
      <c r="A152" s="53" t="n">
        <v>93</v>
      </c>
      <c r="B152" s="53" t="str">
        <f>IF(A152&gt;$C$38,"",IF(A152&lt;=$C$5,"Básico",IF($C$6&gt;0,"Sucesivo","Opción de compra")))</f>
        <v/>
      </c>
      <c r="C152" s="53" t="str">
        <f>IF(B152="","",IF(B152="Opción de compra",$C$5,A152-$C$7))</f>
        <v/>
      </c>
      <c r="D152" s="130" t="str">
        <f>IF(B152="","",EDATE($C$33,C152))</f>
        <v/>
      </c>
      <c r="E152" s="117" t="str">
        <f>IF(B152="","",I151)</f>
        <v/>
      </c>
      <c r="F152" s="117" t="str">
        <f>IF(B152="","",IF(B152="Básico",$C$24,IF(B152="Sucesivo",$C$25,$C$26)))</f>
        <v/>
      </c>
      <c r="G152" s="117" t="str">
        <f>IF(B152="","",IF(B152="Opción de compra",0,(E152-$C$7*F152)*IF(B152="Sucesivo",$C$11,$C$9)))</f>
        <v/>
      </c>
      <c r="H152" s="117" t="str">
        <f>IF(B152="","",F152-G152)</f>
        <v/>
      </c>
      <c r="I152" s="117" t="str">
        <f>IF(B152="","",E152-H152)</f>
        <v/>
      </c>
      <c r="J152" s="117" t="str">
        <f>IF(B152="","",IF(OR(inp_Tipo="Arrendamiento Puro",par_BaseIVAFin="Sobre renta",B152="Opción de compra"),F152,G152)*$C$14)</f>
        <v/>
      </c>
      <c r="K152" s="117" t="str">
        <f>IF(B152="","",F152+J152)</f>
        <v/>
      </c>
      <c r="L152" s="117" t="str">
        <f>IF(B152="","",F152-IF(A152=$C$38,$C$30,0))</f>
        <v/>
      </c>
      <c r="M152" s="131" t="str">
        <f>IF(B152="","",$C$37*(1+$C$13)^(-C152))</f>
        <v/>
      </c>
      <c r="N152" s="117" t="str">
        <f>IF(B152="","",L152*M152)</f>
        <v/>
      </c>
      <c r="O152" s="117" t="str">
        <f>IF(B152="","",IF(B152="Básico",F152,0)-IF(A152=$C$38,$C$30,0))</f>
        <v/>
      </c>
      <c r="P152" s="130">
        <f>IF(B152="",$C$31,D152)</f>
        <v>46301.0</v>
      </c>
      <c r="Q152" s="117">
        <f>IF(B152="",0,L152)</f>
        <v>0</v>
      </c>
      <c r="R152" s="117">
        <f>IF(B152="",0,-F152)</f>
        <v>0</v>
      </c>
      <c r="S152" s="117" t="str">
        <f>IF(B152="","",O152*M152)</f>
        <v/>
      </c>
    </row>
    <row r="153">
      <c r="A153" s="53" t="n">
        <v>94</v>
      </c>
      <c r="B153" s="53" t="str">
        <f>IF(A153&gt;$C$38,"",IF(A153&lt;=$C$5,"Básico",IF($C$6&gt;0,"Sucesivo","Opción de compra")))</f>
        <v/>
      </c>
      <c r="C153" s="53" t="str">
        <f>IF(B153="","",IF(B153="Opción de compra",$C$5,A153-$C$7))</f>
        <v/>
      </c>
      <c r="D153" s="130" t="str">
        <f>IF(B153="","",EDATE($C$33,C153))</f>
        <v/>
      </c>
      <c r="E153" s="117" t="str">
        <f>IF(B153="","",I152)</f>
        <v/>
      </c>
      <c r="F153" s="117" t="str">
        <f>IF(B153="","",IF(B153="Básico",$C$24,IF(B153="Sucesivo",$C$25,$C$26)))</f>
        <v/>
      </c>
      <c r="G153" s="117" t="str">
        <f>IF(B153="","",IF(B153="Opción de compra",0,(E153-$C$7*F153)*IF(B153="Sucesivo",$C$11,$C$9)))</f>
        <v/>
      </c>
      <c r="H153" s="117" t="str">
        <f>IF(B153="","",F153-G153)</f>
        <v/>
      </c>
      <c r="I153" s="117" t="str">
        <f>IF(B153="","",E153-H153)</f>
        <v/>
      </c>
      <c r="J153" s="117" t="str">
        <f>IF(B153="","",IF(OR(inp_Tipo="Arrendamiento Puro",par_BaseIVAFin="Sobre renta",B153="Opción de compra"),F153,G153)*$C$14)</f>
        <v/>
      </c>
      <c r="K153" s="117" t="str">
        <f>IF(B153="","",F153+J153)</f>
        <v/>
      </c>
      <c r="L153" s="117" t="str">
        <f>IF(B153="","",F153-IF(A153=$C$38,$C$30,0))</f>
        <v/>
      </c>
      <c r="M153" s="131" t="str">
        <f>IF(B153="","",$C$37*(1+$C$13)^(-C153))</f>
        <v/>
      </c>
      <c r="N153" s="117" t="str">
        <f>IF(B153="","",L153*M153)</f>
        <v/>
      </c>
      <c r="O153" s="117" t="str">
        <f>IF(B153="","",IF(B153="Básico",F153,0)-IF(A153=$C$38,$C$30,0))</f>
        <v/>
      </c>
      <c r="P153" s="130">
        <f>IF(B153="",$C$31,D153)</f>
        <v>46301.0</v>
      </c>
      <c r="Q153" s="117">
        <f>IF(B153="",0,L153)</f>
        <v>0</v>
      </c>
      <c r="R153" s="117">
        <f>IF(B153="",0,-F153)</f>
        <v>0</v>
      </c>
      <c r="S153" s="117" t="str">
        <f>IF(B153="","",O153*M153)</f>
        <v/>
      </c>
    </row>
    <row r="154">
      <c r="A154" s="53" t="n">
        <v>95</v>
      </c>
      <c r="B154" s="53" t="str">
        <f>IF(A154&gt;$C$38,"",IF(A154&lt;=$C$5,"Básico",IF($C$6&gt;0,"Sucesivo","Opción de compra")))</f>
        <v/>
      </c>
      <c r="C154" s="53" t="str">
        <f>IF(B154="","",IF(B154="Opción de compra",$C$5,A154-$C$7))</f>
        <v/>
      </c>
      <c r="D154" s="130" t="str">
        <f>IF(B154="","",EDATE($C$33,C154))</f>
        <v/>
      </c>
      <c r="E154" s="117" t="str">
        <f>IF(B154="","",I153)</f>
        <v/>
      </c>
      <c r="F154" s="117" t="str">
        <f>IF(B154="","",IF(B154="Básico",$C$24,IF(B154="Sucesivo",$C$25,$C$26)))</f>
        <v/>
      </c>
      <c r="G154" s="117" t="str">
        <f>IF(B154="","",IF(B154="Opción de compra",0,(E154-$C$7*F154)*IF(B154="Sucesivo",$C$11,$C$9)))</f>
        <v/>
      </c>
      <c r="H154" s="117" t="str">
        <f>IF(B154="","",F154-G154)</f>
        <v/>
      </c>
      <c r="I154" s="117" t="str">
        <f>IF(B154="","",E154-H154)</f>
        <v/>
      </c>
      <c r="J154" s="117" t="str">
        <f>IF(B154="","",IF(OR(inp_Tipo="Arrendamiento Puro",par_BaseIVAFin="Sobre renta",B154="Opción de compra"),F154,G154)*$C$14)</f>
        <v/>
      </c>
      <c r="K154" s="117" t="str">
        <f>IF(B154="","",F154+J154)</f>
        <v/>
      </c>
      <c r="L154" s="117" t="str">
        <f>IF(B154="","",F154-IF(A154=$C$38,$C$30,0))</f>
        <v/>
      </c>
      <c r="M154" s="131" t="str">
        <f>IF(B154="","",$C$37*(1+$C$13)^(-C154))</f>
        <v/>
      </c>
      <c r="N154" s="117" t="str">
        <f>IF(B154="","",L154*M154)</f>
        <v/>
      </c>
      <c r="O154" s="117" t="str">
        <f>IF(B154="","",IF(B154="Básico",F154,0)-IF(A154=$C$38,$C$30,0))</f>
        <v/>
      </c>
      <c r="P154" s="130">
        <f>IF(B154="",$C$31,D154)</f>
        <v>46301.0</v>
      </c>
      <c r="Q154" s="117">
        <f>IF(B154="",0,L154)</f>
        <v>0</v>
      </c>
      <c r="R154" s="117">
        <f>IF(B154="",0,-F154)</f>
        <v>0</v>
      </c>
      <c r="S154" s="117" t="str">
        <f>IF(B154="","",O154*M154)</f>
        <v/>
      </c>
    </row>
    <row r="155">
      <c r="A155" s="53" t="n">
        <v>96</v>
      </c>
      <c r="B155" s="53" t="str">
        <f>IF(A155&gt;$C$38,"",IF(A155&lt;=$C$5,"Básico",IF($C$6&gt;0,"Sucesivo","Opción de compra")))</f>
        <v/>
      </c>
      <c r="C155" s="53" t="str">
        <f>IF(B155="","",IF(B155="Opción de compra",$C$5,A155-$C$7))</f>
        <v/>
      </c>
      <c r="D155" s="130" t="str">
        <f>IF(B155="","",EDATE($C$33,C155))</f>
        <v/>
      </c>
      <c r="E155" s="117" t="str">
        <f>IF(B155="","",I154)</f>
        <v/>
      </c>
      <c r="F155" s="117" t="str">
        <f>IF(B155="","",IF(B155="Básico",$C$24,IF(B155="Sucesivo",$C$25,$C$26)))</f>
        <v/>
      </c>
      <c r="G155" s="117" t="str">
        <f>IF(B155="","",IF(B155="Opción de compra",0,(E155-$C$7*F155)*IF(B155="Sucesivo",$C$11,$C$9)))</f>
        <v/>
      </c>
      <c r="H155" s="117" t="str">
        <f>IF(B155="","",F155-G155)</f>
        <v/>
      </c>
      <c r="I155" s="117" t="str">
        <f>IF(B155="","",E155-H155)</f>
        <v/>
      </c>
      <c r="J155" s="117" t="str">
        <f>IF(B155="","",IF(OR(inp_Tipo="Arrendamiento Puro",par_BaseIVAFin="Sobre renta",B155="Opción de compra"),F155,G155)*$C$14)</f>
        <v/>
      </c>
      <c r="K155" s="117" t="str">
        <f>IF(B155="","",F155+J155)</f>
        <v/>
      </c>
      <c r="L155" s="117" t="str">
        <f>IF(B155="","",F155-IF(A155=$C$38,$C$30,0))</f>
        <v/>
      </c>
      <c r="M155" s="131" t="str">
        <f>IF(B155="","",$C$37*(1+$C$13)^(-C155))</f>
        <v/>
      </c>
      <c r="N155" s="117" t="str">
        <f>IF(B155="","",L155*M155)</f>
        <v/>
      </c>
      <c r="O155" s="117" t="str">
        <f>IF(B155="","",IF(B155="Básico",F155,0)-IF(A155=$C$38,$C$30,0))</f>
        <v/>
      </c>
      <c r="P155" s="130">
        <f>IF(B155="",$C$31,D155)</f>
        <v>46301.0</v>
      </c>
      <c r="Q155" s="117">
        <f>IF(B155="",0,L155)</f>
        <v>0</v>
      </c>
      <c r="R155" s="117">
        <f>IF(B155="",0,-F155)</f>
        <v>0</v>
      </c>
      <c r="S155" s="117" t="str">
        <f>IF(B155="","",O155*M155)</f>
        <v/>
      </c>
    </row>
    <row r="156">
      <c r="A156" s="53" t="n">
        <v>97</v>
      </c>
      <c r="B156" s="53" t="str">
        <f>IF(A156&gt;$C$38,"",IF(A156&lt;=$C$5,"Básico",IF($C$6&gt;0,"Sucesivo","Opción de compra")))</f>
        <v/>
      </c>
      <c r="C156" s="53" t="str">
        <f>IF(B156="","",IF(B156="Opción de compra",$C$5,A156-$C$7))</f>
        <v/>
      </c>
      <c r="D156" s="130" t="str">
        <f>IF(B156="","",EDATE($C$33,C156))</f>
        <v/>
      </c>
      <c r="E156" s="117" t="str">
        <f>IF(B156="","",I155)</f>
        <v/>
      </c>
      <c r="F156" s="117" t="str">
        <f>IF(B156="","",IF(B156="Básico",$C$24,IF(B156="Sucesivo",$C$25,$C$26)))</f>
        <v/>
      </c>
      <c r="G156" s="117" t="str">
        <f>IF(B156="","",IF(B156="Opción de compra",0,(E156-$C$7*F156)*IF(B156="Sucesivo",$C$11,$C$9)))</f>
        <v/>
      </c>
      <c r="H156" s="117" t="str">
        <f>IF(B156="","",F156-G156)</f>
        <v/>
      </c>
      <c r="I156" s="117" t="str">
        <f>IF(B156="","",E156-H156)</f>
        <v/>
      </c>
      <c r="J156" s="117" t="str">
        <f>IF(B156="","",IF(OR(inp_Tipo="Arrendamiento Puro",par_BaseIVAFin="Sobre renta",B156="Opción de compra"),F156,G156)*$C$14)</f>
        <v/>
      </c>
      <c r="K156" s="117" t="str">
        <f>IF(B156="","",F156+J156)</f>
        <v/>
      </c>
      <c r="L156" s="117" t="str">
        <f>IF(B156="","",F156-IF(A156=$C$38,$C$30,0))</f>
        <v/>
      </c>
      <c r="M156" s="131" t="str">
        <f>IF(B156="","",$C$37*(1+$C$13)^(-C156))</f>
        <v/>
      </c>
      <c r="N156" s="117" t="str">
        <f>IF(B156="","",L156*M156)</f>
        <v/>
      </c>
      <c r="O156" s="117" t="str">
        <f>IF(B156="","",IF(B156="Básico",F156,0)-IF(A156=$C$38,$C$30,0))</f>
        <v/>
      </c>
      <c r="P156" s="130">
        <f>IF(B156="",$C$31,D156)</f>
        <v>46301.0</v>
      </c>
      <c r="Q156" s="117">
        <f>IF(B156="",0,L156)</f>
        <v>0</v>
      </c>
      <c r="R156" s="117">
        <f>IF(B156="",0,-F156)</f>
        <v>0</v>
      </c>
      <c r="S156" s="117" t="str">
        <f>IF(B156="","",O156*M156)</f>
        <v/>
      </c>
    </row>
    <row r="157">
      <c r="A157" s="53" t="n">
        <v>98</v>
      </c>
      <c r="B157" s="53" t="str">
        <f>IF(A157&gt;$C$38,"",IF(A157&lt;=$C$5,"Básico",IF($C$6&gt;0,"Sucesivo","Opción de compra")))</f>
        <v/>
      </c>
      <c r="C157" s="53" t="str">
        <f>IF(B157="","",IF(B157="Opción de compra",$C$5,A157-$C$7))</f>
        <v/>
      </c>
      <c r="D157" s="130" t="str">
        <f>IF(B157="","",EDATE($C$33,C157))</f>
        <v/>
      </c>
      <c r="E157" s="117" t="str">
        <f>IF(B157="","",I156)</f>
        <v/>
      </c>
      <c r="F157" s="117" t="str">
        <f>IF(B157="","",IF(B157="Básico",$C$24,IF(B157="Sucesivo",$C$25,$C$26)))</f>
        <v/>
      </c>
      <c r="G157" s="117" t="str">
        <f>IF(B157="","",IF(B157="Opción de compra",0,(E157-$C$7*F157)*IF(B157="Sucesivo",$C$11,$C$9)))</f>
        <v/>
      </c>
      <c r="H157" s="117" t="str">
        <f>IF(B157="","",F157-G157)</f>
        <v/>
      </c>
      <c r="I157" s="117" t="str">
        <f>IF(B157="","",E157-H157)</f>
        <v/>
      </c>
      <c r="J157" s="117" t="str">
        <f>IF(B157="","",IF(OR(inp_Tipo="Arrendamiento Puro",par_BaseIVAFin="Sobre renta",B157="Opción de compra"),F157,G157)*$C$14)</f>
        <v/>
      </c>
      <c r="K157" s="117" t="str">
        <f>IF(B157="","",F157+J157)</f>
        <v/>
      </c>
      <c r="L157" s="117" t="str">
        <f>IF(B157="","",F157-IF(A157=$C$38,$C$30,0))</f>
        <v/>
      </c>
      <c r="M157" s="131" t="str">
        <f>IF(B157="","",$C$37*(1+$C$13)^(-C157))</f>
        <v/>
      </c>
      <c r="N157" s="117" t="str">
        <f>IF(B157="","",L157*M157)</f>
        <v/>
      </c>
      <c r="O157" s="117" t="str">
        <f>IF(B157="","",IF(B157="Básico",F157,0)-IF(A157=$C$38,$C$30,0))</f>
        <v/>
      </c>
      <c r="P157" s="130">
        <f>IF(B157="",$C$31,D157)</f>
        <v>46301.0</v>
      </c>
      <c r="Q157" s="117">
        <f>IF(B157="",0,L157)</f>
        <v>0</v>
      </c>
      <c r="R157" s="117">
        <f>IF(B157="",0,-F157)</f>
        <v>0</v>
      </c>
      <c r="S157" s="117" t="str">
        <f>IF(B157="","",O157*M157)</f>
        <v/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 password="D3B7"/>
  <mergeCells count="27">
    <mergeCell ref="E26:H26"/>
    <mergeCell ref="E16:H16"/>
    <mergeCell ref="E7:H7"/>
    <mergeCell ref="E25:H25"/>
    <mergeCell ref="E22:H22"/>
    <mergeCell ref="E18:H18"/>
    <mergeCell ref="E12:H12"/>
    <mergeCell ref="E21:H21"/>
    <mergeCell ref="E24:H24"/>
    <mergeCell ref="E5:H5"/>
    <mergeCell ref="E14:H14"/>
    <mergeCell ref="E17:H17"/>
    <mergeCell ref="E23:H23"/>
    <mergeCell ref="E8:H8"/>
    <mergeCell ref="E4:H4"/>
    <mergeCell ref="E20:H20"/>
    <mergeCell ref="E29:H29"/>
    <mergeCell ref="E19:H19"/>
    <mergeCell ref="E10:H10"/>
    <mergeCell ref="E28:H28"/>
    <mergeCell ref="E34:I40"/>
    <mergeCell ref="E13:H13"/>
    <mergeCell ref="E9:H9"/>
    <mergeCell ref="E6:H6"/>
    <mergeCell ref="E15:H15"/>
    <mergeCell ref="E11:H11"/>
    <mergeCell ref="E27:H27"/>
  </mergeCells>
  <conditionalFormatting sqref="A60:S157">
    <cfRule type="expression" priority="1" dxfId="8">
      <formula>$B60="Sucesivo"</formula>
    </cfRule>
    <cfRule type="expression" priority="2" dxfId="8">
      <formula>$B60="Opción de compra"</formula>
    </cfRule>
  </conditionalFormatting>
  <pageMargins left="0.75" right="0.75" top="1" bottom="1" header="0.5" footer="0.5"/>
  <pageSetup orientation="landscape" fitToHeight="0" fitToWidth="1"/>
</worksheet>
</file>

<file path=xl/worksheets/sheet13.xml><?xml version="1.0" encoding="utf-8"?>
<worksheet xmlns="http://schemas.openxmlformats.org/spreadsheetml/2006/main">
  <sheetPr codeName="Hoja13">
    <tabColor rgb="00808080"/>
    <outlinePr summaryBelow="1" summaryRight="1"/>
    <pageSetUpPr fitToPage="1"/>
  </sheetPr>
  <dimension ref="A1:S157"/>
  <sheetViews>
    <sheetView showGridLines="0" workbookViewId="0">
      <pane xSplit="2" ySplit="58" topLeftCell="C5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7" customWidth="1" min="1" max="1"/>
    <col width="44" customWidth="1" min="2" max="2"/>
    <col width="7" customWidth="1" min="3" max="3"/>
    <col width="12" customWidth="1" min="4" max="4"/>
    <col width="16" customWidth="1" min="5" max="5"/>
    <col width="15" customWidth="1" min="6" max="6"/>
    <col width="14" customWidth="1" min="7" max="7"/>
    <col width="15" customWidth="1" min="8" max="8"/>
    <col width="16" customWidth="1" min="9" max="9"/>
    <col width="13" customWidth="1" min="10" max="10"/>
    <col width="16" customWidth="1" min="11" max="11"/>
    <col width="16" customWidth="1" min="12" max="12"/>
    <col width="11" customWidth="1" min="13" max="13"/>
    <col width="16" customWidth="1" min="14" max="14"/>
    <col width="16" customWidth="1" min="15" max="15"/>
    <col width="12" customWidth="1" min="16" max="16"/>
    <col width="16" customWidth="1" min="17" max="17"/>
    <col width="16" customWidth="1" min="18" max="18"/>
    <col width="16" customWidth="1" min="19" max="19"/>
  </cols>
  <sheetData>
    <row r="1">
      <c r="A1" s="108" t="str">
        <f>"CORRIDA FINANCIERA – PLAZO "&amp;$C$5&amp;" MESES (escenario "&amp;$C$3&amp;")"</f>
        <v>CORRIDA FINANCIERA – PLAZO 48 MESES (escenario 4)</v>
      </c>
    </row>
    <row r="2">
      <c r="A2" s="109" t="inlineStr">
        <is>
          <t>Hoja de cálculo interna (protegida). Todos los datos vienen de la hoja Cotizador.</t>
        </is>
      </c>
    </row>
    <row r="3">
      <c r="B3" s="53" t="inlineStr">
        <is>
          <t>Escenario</t>
        </is>
      </c>
      <c r="C3" s="119" t="n">
        <v>4</v>
      </c>
      <c r="E3" s="120" t="inlineStr">
        <is>
          <t>RESULTADOS DEL ESCENARIO</t>
        </is>
      </c>
      <c r="F3" s="120" t="n"/>
      <c r="G3" s="120" t="n"/>
      <c r="H3" s="120" t="n"/>
      <c r="I3" s="120" t="n"/>
    </row>
    <row r="4">
      <c r="B4" s="53" t="inlineStr">
        <is>
          <t>Incluido en la carta</t>
        </is>
      </c>
      <c r="C4" s="30" t="str">
        <f>INDEX(esc_Incluir,$C$3)</f>
        <v>Sí</v>
      </c>
      <c r="E4" s="53" t="inlineStr">
        <is>
          <t>Cash margin C/R ($) = VP al fondeo de todos los flujos</t>
        </is>
      </c>
      <c r="I4" s="91">
        <f>C41+SUM(N60:N157)</f>
        <v>46853.2538349314</v>
      </c>
    </row>
    <row r="5">
      <c r="B5" s="53" t="inlineStr">
        <is>
          <t>Plazo básico (n, meses)</t>
        </is>
      </c>
      <c r="C5" s="121">
        <f>INDEX(esc_Plazo,$C$3)</f>
        <v>48</v>
      </c>
      <c r="E5" s="53" t="inlineStr">
        <is>
          <t>Cash margin C/R (% del monto financiado)</t>
        </is>
      </c>
      <c r="I5" s="92">
        <f>IFERROR(I4/C19,0)</f>
        <v>0.0686388963381918</v>
      </c>
    </row>
    <row r="6">
      <c r="B6" s="53" t="inlineStr">
        <is>
          <t>Plazo sucesivo (m, meses)</t>
        </is>
      </c>
      <c r="C6" s="121">
        <f>INDEX(esc_Sucesivo,$C$3)</f>
        <v>0</v>
      </c>
      <c r="E6" s="53" t="inlineStr">
        <is>
          <t>Cash margin S/R ($) = sin pago final / residual</t>
        </is>
      </c>
      <c r="I6" s="32">
        <f>C41+SUM(S60:S157)</f>
        <v>13216.5721157521</v>
      </c>
    </row>
    <row r="7">
      <c r="B7" s="53" t="inlineStr">
        <is>
          <t>Tipo de pago (1 = anticipado, 0 = vencido)</t>
        </is>
      </c>
      <c r="C7" s="121">
        <f>IF(inp_Modalidad="Anticipado",1,0)</f>
        <v>0</v>
      </c>
      <c r="E7" s="53" t="inlineStr">
        <is>
          <t>Cash margin S/R (%)</t>
        </is>
      </c>
      <c r="I7" s="122">
        <f>IFERROR(I6/C19,0)</f>
        <v>0.0193619620655462</v>
      </c>
    </row>
    <row r="8">
      <c r="B8" s="53" t="inlineStr">
        <is>
          <t>Tasa anual plazo básico</t>
        </is>
      </c>
      <c r="C8" s="123">
        <f>IF(inp_ModoTasa="TIIE + margen",inp_TIIE+INDEX(esc_Margen,$C$3),INDEX(esc_Tasa,$C$3))</f>
        <v>0.231</v>
      </c>
      <c r="E8" s="53" t="inlineStr">
        <is>
          <t>TIR anual efectiva del arrendador (XIRR)</t>
        </is>
      </c>
      <c r="I8" s="92">
        <f>IFERROR(XIRR(Q59:Q157,P59:P157),"n/d")</f>
        <v>0.270772640897329</v>
      </c>
    </row>
    <row r="9">
      <c r="B9" s="53" t="inlineStr">
        <is>
          <t>Tasa mensual plazo básico (i)</t>
        </is>
      </c>
      <c r="C9" s="123">
        <f>C8/12</f>
        <v>0.01925</v>
      </c>
      <c r="E9" s="53" t="inlineStr">
        <is>
          <t>TIR nominal anual (capitalizable mensual)</t>
        </is>
      </c>
      <c r="I9" s="122">
        <f>IFERROR(12*((1+I8)^(1/12)-1),"n/d")</f>
        <v>0.242033606837585</v>
      </c>
    </row>
    <row r="10">
      <c r="B10" s="53" t="inlineStr">
        <is>
          <t>Tasa anual plazo sucesivo</t>
        </is>
      </c>
      <c r="C10" s="123">
        <f>IF(inp_ModoTasa="TIIE + margen",C8,INDEX(esc_TasaSuc,$C$3))</f>
        <v>0.231</v>
      </c>
      <c r="E10" s="53" t="inlineStr">
        <is>
          <t>CAT informativo sin IVA (flujos del cliente)</t>
        </is>
      </c>
      <c r="I10" s="122">
        <f>IFERROR(XIRR(R59:R157,P59:P157),"n/d")</f>
        <v>0.270772640897329</v>
      </c>
    </row>
    <row r="11">
      <c r="B11" s="53" t="inlineStr">
        <is>
          <t>Tasa mensual plazo sucesivo (i2)</t>
        </is>
      </c>
      <c r="C11" s="123">
        <f>C10/12</f>
        <v>0.01925</v>
      </c>
      <c r="E11" s="53" t="inlineStr">
        <is>
          <t>Σ factores de descuento de rentas básicas</t>
        </is>
      </c>
      <c r="I11" s="124">
        <f>SUMIF(B60:B157,"Básico",M60:M157)</f>
        <v>32.5760541392891</v>
      </c>
    </row>
    <row r="12">
      <c r="B12" s="53" t="inlineStr">
        <is>
          <t>Tasa de fondeo anual</t>
        </is>
      </c>
      <c r="C12" s="123">
        <f>inp_Fondeo</f>
        <v>0.205</v>
      </c>
      <c r="E12" s="53" t="inlineStr">
        <is>
          <t>Factor de descuento del último pago</t>
        </is>
      </c>
      <c r="I12" s="124">
        <f>IFERROR(INDEX(M60:M157,C38),0)</f>
        <v>0.443492408453811</v>
      </c>
    </row>
    <row r="13">
      <c r="B13" s="53" t="inlineStr">
        <is>
          <t>Tasa de fondeo mensual (f)</t>
        </is>
      </c>
      <c r="C13" s="123">
        <f>C12/12</f>
        <v>0.0170833333333333</v>
      </c>
      <c r="E13" s="53" t="inlineStr">
        <is>
          <t>Sensibilidad del CM a la renta (∂CM/∂R)</t>
        </is>
      </c>
      <c r="I13" s="124">
        <f>I11+C29*(1+C14)*(1-I12)+C34/30</f>
        <v>32.5760541392891</v>
      </c>
    </row>
    <row r="14">
      <c r="B14" s="53" t="inlineStr">
        <is>
          <t>Tasa de IVA</t>
        </is>
      </c>
      <c r="C14" s="122">
        <f>par_IVA</f>
        <v>0.16</v>
      </c>
      <c r="E14" s="53" t="inlineStr">
        <is>
          <t>Renta mínima para el CM objetivo (neto de comisión)</t>
        </is>
      </c>
      <c r="I14" s="32">
        <f>IFERROR((C45*C19+C44-(I4-C24*I13))/I13,0)</f>
        <v>20969.3465439374</v>
      </c>
    </row>
    <row r="15">
      <c r="B15" s="53" t="inlineStr">
        <is>
          <t>Valor del equipo sin IVA (V)</t>
        </is>
      </c>
      <c r="C15" s="32">
        <f>inp_Valor</f>
        <v>758450</v>
      </c>
      <c r="E15" s="53" t="inlineStr">
        <is>
          <t>Tasa anual mínima para el CM objetivo</t>
        </is>
      </c>
      <c r="I15" s="122">
        <f>IFERROR(RATE(C5,I14,-C19,C21,C7)*12,"n/d")</f>
        <v>0.23172013349624</v>
      </c>
    </row>
    <row r="16">
      <c r="B16" s="53" t="inlineStr">
        <is>
          <t>Enganche</t>
        </is>
      </c>
      <c r="C16" s="32">
        <f>C15*INDEX(esc_Enganche,$C$3)</f>
        <v>75845</v>
      </c>
      <c r="E16" s="53" t="inlineStr">
        <is>
          <t>Saldo final de la tabla (debe ser 0)</t>
        </is>
      </c>
      <c r="I16" s="32">
        <f>IFERROR(INDEX(I60:I157,C38),0)</f>
        <v>1.00408215075731e-09</v>
      </c>
    </row>
    <row r="17">
      <c r="B17" s="53" t="inlineStr">
        <is>
          <t>Seguro financiado</t>
        </is>
      </c>
      <c r="C17" s="32">
        <f>IF(INDEX(esc_SeguroForma,$C$3)="Financiado",INDEX(esc_Seguro,$C$3),0)</f>
        <v>0</v>
      </c>
      <c r="E17" s="53" t="inlineStr">
        <is>
          <t>Pago inicial: base sin IVA (anticipo+comisión+renta prop.+contado+gastos)</t>
        </is>
      </c>
      <c r="I17" s="32">
        <f>C16+C28+C35+C43+I29</f>
        <v>89497.1</v>
      </c>
    </row>
    <row r="18">
      <c r="B18" s="53" t="inlineStr">
        <is>
          <t>GPS financiado</t>
        </is>
      </c>
      <c r="C18" s="32">
        <f>IF(INDEX(esc_GPSForma,$C$3)="Financiado",INDEX(esc_GPS,$C$3),0)</f>
        <v>0</v>
      </c>
      <c r="E18" s="53" t="inlineStr">
        <is>
          <t>Pago inicial: IVA</t>
        </is>
      </c>
      <c r="I18" s="32">
        <f>I17*C14</f>
        <v>14319.536</v>
      </c>
    </row>
    <row r="19">
      <c r="B19" s="53" t="inlineStr">
        <is>
          <t>Monto a financiar (M = V − anticipo + financiados)</t>
        </is>
      </c>
      <c r="C19" s="91">
        <f>C15-C16+C17+C18+C42</f>
        <v>682605</v>
      </c>
      <c r="E19" s="53" t="inlineStr">
        <is>
          <t>Pago inicial: depósito en garantía</t>
        </is>
      </c>
      <c r="I19" s="32">
        <f>C30</f>
        <v>0</v>
      </c>
    </row>
    <row r="20">
      <c r="B20" s="53" t="inlineStr">
        <is>
          <t>Valor residual (% del valor)</t>
        </is>
      </c>
      <c r="C20" s="122">
        <f>INDEX(esc_Residual,$C$3)</f>
        <v>0.1</v>
      </c>
      <c r="E20" s="53" t="inlineStr">
        <is>
          <t>PAGO INICIAL TOTAL (con IVA)</t>
        </is>
      </c>
      <c r="I20" s="91">
        <f>I17+I18+I19</f>
        <v>103816.636</v>
      </c>
    </row>
    <row r="21">
      <c r="B21" s="53" t="inlineStr">
        <is>
          <t>Valor residual (VR)</t>
        </is>
      </c>
      <c r="C21" s="32">
        <f>C15*C20</f>
        <v>75845</v>
      </c>
      <c r="E21" s="53" t="inlineStr">
        <is>
          <t>IVA de la primera renta</t>
        </is>
      </c>
      <c r="I21" s="32">
        <f>IFERROR(J60,0)</f>
        <v>3350.53211392109</v>
      </c>
    </row>
    <row r="22">
      <c r="B22" s="53" t="inlineStr">
        <is>
          <t>Pago final (% del valor)</t>
        </is>
      </c>
      <c r="C22" s="122">
        <f>IF(INDEX(esc_PagoFinal,$C$3)="",C20,INDEX(esc_PagoFinal,$C$3))</f>
        <v>0.1</v>
      </c>
      <c r="E22" s="53" t="inlineStr">
        <is>
          <t>Total de pagos con IVA (rentas + pago final)</t>
        </is>
      </c>
      <c r="I22" s="32">
        <f>SUM(K60:K157)</f>
        <v>1253965.37564454</v>
      </c>
    </row>
    <row r="23">
      <c r="B23" s="53" t="inlineStr">
        <is>
          <t>Pago final ($)</t>
        </is>
      </c>
      <c r="C23" s="32">
        <f>C15*C22</f>
        <v>75845</v>
      </c>
      <c r="E23" s="53" t="inlineStr">
        <is>
          <t>Spread (tasa cliente − tasa fondeo)</t>
        </is>
      </c>
      <c r="I23" s="122">
        <f>C8-C12</f>
        <v>0.026</v>
      </c>
    </row>
    <row r="24">
      <c r="B24" s="53" t="inlineStr">
        <is>
          <t>RENTA BÁSICA  R = PMT(i, n, −M, VR, tipo)</t>
        </is>
      </c>
      <c r="C24" s="91">
        <f>PMT(C9,C5,-C19,C21,C7)</f>
        <v>20940.8257120068</v>
      </c>
      <c r="E24" s="53" t="inlineStr">
        <is>
          <t>Tasa anual aplicada</t>
        </is>
      </c>
      <c r="I24" s="122">
        <f>C8</f>
        <v>0.231</v>
      </c>
    </row>
    <row r="25">
      <c r="B25" s="53" t="inlineStr">
        <is>
          <t>Renta plazo sucesivo  Rs = PMT(i2, m, −PF, 0, tipo)</t>
        </is>
      </c>
      <c r="C25" s="32">
        <f>IF(C6&gt;0,PMT(C11,C6,-C23,0,C7),0)</f>
        <v>0</v>
      </c>
      <c r="E25" s="53" t="inlineStr">
        <is>
          <t>Cash margin neto de comisión del promotor ($)</t>
        </is>
      </c>
      <c r="I25" s="32">
        <f>I4-C44</f>
        <v>46853.2538349314</v>
      </c>
    </row>
    <row r="26">
      <c r="B26" s="53" t="inlineStr">
        <is>
          <t>Opción de compra (si m = 0)</t>
        </is>
      </c>
      <c r="C26" s="32">
        <f>IF(C6=0,C23,0)</f>
        <v>75845</v>
      </c>
      <c r="E26" s="53" t="inlineStr">
        <is>
          <t>Cash margin neto (% del monto financiado)</t>
        </is>
      </c>
      <c r="I26" s="122">
        <f>IFERROR(I25/C19,0)</f>
        <v>0.0686388963381918</v>
      </c>
    </row>
    <row r="27">
      <c r="B27" s="53" t="inlineStr">
        <is>
          <t>Comisión por apertura (%)</t>
        </is>
      </c>
      <c r="C27" s="122">
        <f>INDEX(esc_Comision,$C$3)</f>
        <v>0.02</v>
      </c>
      <c r="E27" s="53" t="inlineStr">
        <is>
          <t>Dictamen vs. rate card</t>
        </is>
      </c>
      <c r="I27" s="30" t="str">
        <f>IF(AND(I26&gt;=C45,N(I8)&gt;=C46),"CUMPLE",IF(I26&gt;=C45,"CM OK / TIR BAJA","NO CUMPLE"))</f>
        <v>NO CUMPLE</v>
      </c>
    </row>
    <row r="28">
      <c r="B28" s="53" t="inlineStr">
        <is>
          <t>Comisión por apertura ($, sobre el monto financiado)</t>
        </is>
      </c>
      <c r="C28" s="32">
        <f>C19*C27</f>
        <v>13652.1</v>
      </c>
      <c r="E28" s="53" t="inlineStr">
        <is>
          <t>Margen mínimo sobre TIIE (si la tasa mínima aplica)</t>
        </is>
      </c>
      <c r="I28" s="122">
        <f>IFERROR(I15-inp_TIIE,"n/d")</f>
        <v>0.14572013349624</v>
      </c>
    </row>
    <row r="29">
      <c r="B29" s="53" t="inlineStr">
        <is>
          <t>Depósito en garantía (# rentas con IVA)</t>
        </is>
      </c>
      <c r="C29" s="125">
        <f>INDEX(esc_Deposito,$C$3)</f>
        <v>0</v>
      </c>
      <c r="E29" s="53" t="inlineStr">
        <is>
          <t>Seguro, GPS y otros de contado (sin IVA)</t>
        </is>
      </c>
      <c r="I29" s="32">
        <f>IF(INDEX(esc_SeguroForma,$C$3)="Contado",INDEX(esc_Seguro,$C$3),0)+IF(INDEX(esc_GPSForma,$C$3)="Contado",INDEX(esc_GPS,$C$3),0)+IF(INDEX(esc_OtrosForma,$C$3)="Contado",INDEX(esc_Otros,$C$3),0)</f>
        <v>0</v>
      </c>
    </row>
    <row r="30">
      <c r="B30" s="53" t="inlineStr">
        <is>
          <t>Depósito en garantía ($ = rentas + % del total financiado)</t>
        </is>
      </c>
      <c r="C30" s="32">
        <f>C29*C24*(1+C14)+INDEX(esc_DepPct,$C$3)*C19*(1+C14)</f>
        <v>0</v>
      </c>
    </row>
    <row r="31">
      <c r="B31" s="53" t="inlineStr">
        <is>
          <t>Fecha de firma / desembolso</t>
        </is>
      </c>
      <c r="C31" s="126">
        <f>inp_FechaFirma</f>
        <v>46301.0</v>
      </c>
    </row>
    <row r="32">
      <c r="B32" s="53" t="inlineStr">
        <is>
          <t>Fecha de la primera renta</t>
        </is>
      </c>
      <c r="C32" s="126">
        <f>inp_FechaPrimera</f>
        <v>46332.0</v>
      </c>
    </row>
    <row r="33">
      <c r="B33" s="53" t="inlineStr">
        <is>
          <t>Inicio del plazo (t = 0)</t>
        </is>
      </c>
      <c r="C33" s="126">
        <f>IF(C7=1,C32,EDATE(C32,-1))</f>
        <v>46301.0</v>
      </c>
    </row>
    <row r="34">
      <c r="B34" s="53" t="inlineStr">
        <is>
          <t>Días entre firma e inicio del plazo</t>
        </is>
      </c>
      <c r="C34" s="121">
        <f>MAX(0,C33-C31)</f>
        <v>0</v>
      </c>
      <c r="E34" s="127" t="inlineStr">
        <is>
          <t>Método: CM = flujo en firma + Σ flujo_t × (1+fa/base)^(−días) × (1+f)^(−t). Como el CM es lineal en la renta, la renta mínima se despeja en forma cerrada y la tasa mínima se obtiene con RATE. La tabla usa interés = (saldo − tipo × pago) × i, de modo que el saldo al término del plazo básico es exactamente el valor residual.</t>
        </is>
      </c>
    </row>
    <row r="35">
      <c r="B35" s="53" t="inlineStr">
        <is>
          <t>Renta proporcional (R/30 × días)</t>
        </is>
      </c>
      <c r="C35" s="32">
        <f>C24/30*C34</f>
        <v>0</v>
      </c>
    </row>
    <row r="36">
      <c r="B36" s="53" t="inlineStr">
        <is>
          <t>Comisión banco / alianza</t>
        </is>
      </c>
      <c r="C36" s="32">
        <f>inp_ComBanco</f>
        <v>0</v>
      </c>
    </row>
    <row r="37">
      <c r="B37" s="53" t="inlineStr">
        <is>
          <t>Factor de fondeo por días  (1+fa/base)^(−días)</t>
        </is>
      </c>
      <c r="C37" s="124">
        <f>(1+C12/par_BaseDias)^(-C34)</f>
        <v>1</v>
      </c>
    </row>
    <row r="38">
      <c r="B38" s="53" t="inlineStr">
        <is>
          <t>Número de pagos en la tabla</t>
        </is>
      </c>
      <c r="C38" s="121">
        <f>C5+IF(C6&gt;0,C6,IF(C23&gt;0,1,0))</f>
        <v>49</v>
      </c>
    </row>
    <row r="39">
      <c r="B39" s="53" t="inlineStr">
        <is>
          <t>Desembolso del arrendador en la firma</t>
        </is>
      </c>
      <c r="C39" s="32">
        <f>-(C15-inp_Descuento/(1+inp_IVAEquipo)+C17+C18+C42)</f>
        <v>-758450</v>
      </c>
    </row>
    <row r="40">
      <c r="B40" s="53" t="inlineStr">
        <is>
          <t>Cobros en la firma (anticipo+comisión+renta prop.+depósito+gastos−com. banco)</t>
        </is>
      </c>
      <c r="C40" s="32">
        <f>C16+C28+C35+C30-C36+C43</f>
        <v>89497.1</v>
      </c>
    </row>
    <row r="41">
      <c r="B41" s="53" t="inlineStr">
        <is>
          <t>Flujo neto del arrendador en la firma</t>
        </is>
      </c>
      <c r="C41" s="32">
        <f>C39+C40</f>
        <v>-668952.9</v>
      </c>
    </row>
    <row r="42">
      <c r="B42" s="53" t="inlineStr">
        <is>
          <t>Mantenimiento / garantía / otros financiados</t>
        </is>
      </c>
      <c r="C42" s="32">
        <f>IF(INDEX(esc_OtrosForma,$C$3)="Financiado",INDEX(esc_Otros,$C$3),0)</f>
        <v>0</v>
      </c>
    </row>
    <row r="43">
      <c r="B43" s="53" t="inlineStr">
        <is>
          <t>Gastos de investigación / validación</t>
        </is>
      </c>
      <c r="C43" s="32">
        <f>inp_GastosInv</f>
        <v>0</v>
      </c>
    </row>
    <row r="44">
      <c r="B44" s="53" t="inlineStr">
        <is>
          <t>Comisión del promotor ($)</t>
        </is>
      </c>
      <c r="C44" s="32">
        <f>inp_ComProm*C19</f>
        <v>0</v>
      </c>
    </row>
    <row r="45">
      <c r="B45" s="53" t="inlineStr">
        <is>
          <t>Cash margin objetivo (manual o rate card)</t>
        </is>
      </c>
      <c r="C45" s="122">
        <f>IF(inp_CMobj="",INDEX(rc_CM,IFERROR(MATCH(inp_Tier,rc_Tiers,0),5),IFERROR(MATCH(C5,rc_Plazos,1),1)),inp_CMobj)</f>
        <v>0.07</v>
      </c>
    </row>
    <row r="46">
      <c r="B46" s="53" t="inlineStr">
        <is>
          <t>TIR mínima (rate card)</t>
        </is>
      </c>
      <c r="C46" s="122">
        <f>INDEX(rc_TIR,IFERROR(MATCH(inp_Tier,rc_Tiers,0),5))</f>
        <v>0.24</v>
      </c>
    </row>
    <row r="47">
      <c r="B47" s="53" t="inlineStr">
        <is>
          <t>Residual máximo (rate card)</t>
        </is>
      </c>
      <c r="C47" s="122">
        <f>INDEX(rc_ResMax,1,IFERROR(MATCH(C5,rc_Plazos,1),1))</f>
        <v>0.3</v>
      </c>
    </row>
    <row r="48">
      <c r="B48" s="53" t="inlineStr">
        <is>
          <t>Renta: parte del equipo  PMT(i, n, −(V−anticipo), VR, tipo)</t>
        </is>
      </c>
      <c r="C48" s="32">
        <f>PMT(C9,C5,-(C15-C16),C21,C7)</f>
        <v>20940.8257120068</v>
      </c>
    </row>
    <row r="49">
      <c r="B49" s="53" t="inlineStr">
        <is>
          <t>Renta: parte del seguro financiado</t>
        </is>
      </c>
      <c r="C49" s="32">
        <f>PMT(C9,C5,-C17,0,C7)</f>
        <v>0</v>
      </c>
    </row>
    <row r="50">
      <c r="B50" s="53" t="inlineStr">
        <is>
          <t>Renta: parte de otros gastos financiados</t>
        </is>
      </c>
      <c r="C50" s="32">
        <f>PMT(C9,C5,-C42,0,C7)</f>
        <v>0</v>
      </c>
    </row>
    <row r="51">
      <c r="B51" s="53" t="inlineStr">
        <is>
          <t>Deducibilidad estimada de la renta (ISR)</t>
        </is>
      </c>
      <c r="C51" s="122">
        <f>IF(inp_TipoActivo="Automóvil",MIN(1,par_LimAuto*30/C24),IF(inp_TipoActivo="Automóvil eléctrico / híbrido",MIN(1,par_LimAutoEV*30/C24),1))</f>
        <v>0.40829335564823</v>
      </c>
    </row>
    <row r="52">
      <c r="B52" s="53" t="inlineStr">
        <is>
          <t>Fecha del último pago</t>
        </is>
      </c>
      <c r="C52" s="126">
        <f>IFERROR(INDEX(D60:D157,C38),"")</f>
        <v>47762.0</v>
      </c>
    </row>
    <row r="53">
      <c r="B53" s="53" t="inlineStr">
        <is>
          <t>Renta: parte del GPS financiado</t>
        </is>
      </c>
      <c r="C53" s="32">
        <f>PMT(C9,C5,-C18,0,C7)</f>
        <v>0</v>
      </c>
    </row>
    <row r="58" ht="30" customHeight="1">
      <c r="A58" s="111" t="inlineStr">
        <is>
          <t>#</t>
        </is>
      </c>
      <c r="B58" s="111" t="inlineStr">
        <is>
          <t>Concepto</t>
        </is>
      </c>
      <c r="C58" s="111" t="inlineStr">
        <is>
          <t>t</t>
        </is>
      </c>
      <c r="D58" s="111" t="inlineStr">
        <is>
          <t>Fecha</t>
        </is>
      </c>
      <c r="E58" s="111" t="inlineStr">
        <is>
          <t>Saldo inicial</t>
        </is>
      </c>
      <c r="F58" s="111" t="inlineStr">
        <is>
          <t>Pago s/IVA</t>
        </is>
      </c>
      <c r="G58" s="111" t="inlineStr">
        <is>
          <t>Interés</t>
        </is>
      </c>
      <c r="H58" s="111" t="inlineStr">
        <is>
          <t>Capital</t>
        </is>
      </c>
      <c r="I58" s="111" t="inlineStr">
        <is>
          <t>Saldo final</t>
        </is>
      </c>
      <c r="J58" s="111" t="inlineStr">
        <is>
          <t>IVA</t>
        </is>
      </c>
      <c r="K58" s="111" t="inlineStr">
        <is>
          <t>Total c/IVA</t>
        </is>
      </c>
      <c r="L58" s="111" t="inlineStr">
        <is>
          <t>Flujo arrendador</t>
        </is>
      </c>
      <c r="M58" s="111" t="inlineStr">
        <is>
          <t>Factor desc.</t>
        </is>
      </c>
      <c r="N58" s="111" t="inlineStr">
        <is>
          <t>VP flujo</t>
        </is>
      </c>
      <c r="O58" s="111" t="inlineStr">
        <is>
          <t>Flujo S/R</t>
        </is>
      </c>
      <c r="P58" s="111" t="inlineStr">
        <is>
          <t>Fecha (XIRR)</t>
        </is>
      </c>
      <c r="Q58" s="111" t="inlineStr">
        <is>
          <t>Flujo XIRR</t>
        </is>
      </c>
      <c r="R58" s="111" t="inlineStr">
        <is>
          <t>Flujo cliente (CAT)</t>
        </is>
      </c>
      <c r="S58" s="111" t="inlineStr">
        <is>
          <t>VP flujo S/R</t>
        </is>
      </c>
    </row>
    <row r="59">
      <c r="A59" s="128" t="n">
        <v>0</v>
      </c>
      <c r="B59" s="128" t="inlineStr">
        <is>
          <t>Firma / desembolso</t>
        </is>
      </c>
      <c r="C59" s="128" t="n">
        <v>0</v>
      </c>
      <c r="D59" s="128">
        <f>C31</f>
        <v>46301.0</v>
      </c>
      <c r="E59" s="129" t="n"/>
      <c r="F59" s="129" t="n"/>
      <c r="G59" s="129" t="n"/>
      <c r="H59" s="129" t="n"/>
      <c r="I59" s="129" t="n"/>
      <c r="J59" s="129" t="n"/>
      <c r="K59" s="129" t="n"/>
      <c r="L59" s="128">
        <f>C41</f>
        <v>-668952.9</v>
      </c>
      <c r="M59" s="129" t="n"/>
      <c r="N59" s="129" t="n"/>
      <c r="O59" s="129" t="n"/>
      <c r="P59" s="128">
        <f>C31</f>
        <v>46301.0</v>
      </c>
      <c r="Q59" s="128">
        <f>C41</f>
        <v>-668952.9</v>
      </c>
      <c r="R59" s="128">
        <f>C19-C28-C35-C43</f>
        <v>668952.9</v>
      </c>
      <c r="S59" s="129" t="n"/>
    </row>
    <row r="60">
      <c r="A60" s="53" t="n">
        <v>1</v>
      </c>
      <c r="B60" s="53" t="str">
        <f>IF(A60&gt;$C$38,"",IF(A60&lt;=$C$5,"Básico",IF($C$6&gt;0,"Sucesivo","Opción de compra")))</f>
        <v>Básico</v>
      </c>
      <c r="C60" s="53">
        <f>IF(B60="","",IF(B60="Opción de compra",$C$5,A60-$C$7))</f>
        <v>1</v>
      </c>
      <c r="D60" s="130">
        <f>IF(B60="","",EDATE($C$33,C60))</f>
        <v>46332.0</v>
      </c>
      <c r="E60" s="117">
        <f>IF(B60="","",$C$19)</f>
        <v>682605</v>
      </c>
      <c r="F60" s="117">
        <f>IF(B60="","",IF(B60="Básico",$C$24,IF(B60="Sucesivo",$C$25,$C$26)))</f>
        <v>20940.8257120068</v>
      </c>
      <c r="G60" s="117">
        <f>IF(B60="","",IF(B60="Opción de compra",0,(E60-$C$7*F60)*IF(B60="Sucesivo",$C$11,$C$9)))</f>
        <v>13140.14625</v>
      </c>
      <c r="H60" s="117">
        <f>IF(B60="","",F60-G60)</f>
        <v>7800.67946200683</v>
      </c>
      <c r="I60" s="117">
        <f>IF(B60="","",E60-H60)</f>
        <v>674804.320537993</v>
      </c>
      <c r="J60" s="117">
        <f>IF(B60="","",IF(OR(inp_Tipo="Arrendamiento Puro",par_BaseIVAFin="Sobre renta",B60="Opción de compra"),F60,G60)*$C$14)</f>
        <v>3350.53211392109</v>
      </c>
      <c r="K60" s="117">
        <f>IF(B60="","",F60+J60)</f>
        <v>24291.3578259279</v>
      </c>
      <c r="L60" s="117">
        <f>IF(B60="","",F60-IF(A60=$C$38,$C$30,0))</f>
        <v>20940.8257120068</v>
      </c>
      <c r="M60" s="131">
        <f>IF(B60="","",$C$37*(1+$C$13)^(-C60))</f>
        <v>0.983203605079885</v>
      </c>
      <c r="N60" s="117">
        <f>IF(B60="","",L60*M60)</f>
        <v>20589.0953333947</v>
      </c>
      <c r="O60" s="117">
        <f>IF(B60="","",IF(B60="Básico",F60,0)-IF(A60=$C$38,$C$30,0))</f>
        <v>20940.8257120068</v>
      </c>
      <c r="P60" s="130">
        <f>IF(B60="",$C$31,D60)</f>
        <v>46332.0</v>
      </c>
      <c r="Q60" s="117">
        <f>IF(B60="",0,L60)</f>
        <v>20940.8257120068</v>
      </c>
      <c r="R60" s="117">
        <f>IF(B60="",0,-F60)</f>
        <v>-20940.8257120068</v>
      </c>
      <c r="S60" s="117">
        <f>IF(B60="","",O60*M60)</f>
        <v>20589.0953333947</v>
      </c>
    </row>
    <row r="61">
      <c r="A61" s="53" t="n">
        <v>2</v>
      </c>
      <c r="B61" s="53" t="str">
        <f>IF(A61&gt;$C$38,"",IF(A61&lt;=$C$5,"Básico",IF($C$6&gt;0,"Sucesivo","Opción de compra")))</f>
        <v>Básico</v>
      </c>
      <c r="C61" s="53">
        <f>IF(B61="","",IF(B61="Opción de compra",$C$5,A61-$C$7))</f>
        <v>2</v>
      </c>
      <c r="D61" s="130">
        <f>IF(B61="","",EDATE($C$33,C61))</f>
        <v>46362.0</v>
      </c>
      <c r="E61" s="117">
        <f>IF(B61="","",I60)</f>
        <v>674804.320537993</v>
      </c>
      <c r="F61" s="117">
        <f>IF(B61="","",IF(B61="Básico",$C$24,IF(B61="Sucesivo",$C$25,$C$26)))</f>
        <v>20940.8257120068</v>
      </c>
      <c r="G61" s="117">
        <f>IF(B61="","",IF(B61="Opción de compra",0,(E61-$C$7*F61)*IF(B61="Sucesivo",$C$11,$C$9)))</f>
        <v>12989.9831703564</v>
      </c>
      <c r="H61" s="117">
        <f>IF(B61="","",F61-G61)</f>
        <v>7950.84254165046</v>
      </c>
      <c r="I61" s="117">
        <f>IF(B61="","",E61-H61)</f>
        <v>666853.477996343</v>
      </c>
      <c r="J61" s="117">
        <f>IF(B61="","",IF(OR(inp_Tipo="Arrendamiento Puro",par_BaseIVAFin="Sobre renta",B61="Opción de compra"),F61,G61)*$C$14)</f>
        <v>3350.53211392109</v>
      </c>
      <c r="K61" s="117">
        <f>IF(B61="","",F61+J61)</f>
        <v>24291.3578259279</v>
      </c>
      <c r="L61" s="117">
        <f>IF(B61="","",F61-IF(A61=$C$38,$C$30,0))</f>
        <v>20940.8257120068</v>
      </c>
      <c r="M61" s="131">
        <f>IF(B61="","",$C$37*(1+$C$13)^(-C61))</f>
        <v>0.966689329042083</v>
      </c>
      <c r="N61" s="117">
        <f>IF(B61="","",L61*M61)</f>
        <v>20243.2727571271</v>
      </c>
      <c r="O61" s="117">
        <f>IF(B61="","",IF(B61="Básico",F61,0)-IF(A61=$C$38,$C$30,0))</f>
        <v>20940.8257120068</v>
      </c>
      <c r="P61" s="130">
        <f>IF(B61="",$C$31,D61)</f>
        <v>46362.0</v>
      </c>
      <c r="Q61" s="117">
        <f>IF(B61="",0,L61)</f>
        <v>20940.8257120068</v>
      </c>
      <c r="R61" s="117">
        <f>IF(B61="",0,-F61)</f>
        <v>-20940.8257120068</v>
      </c>
      <c r="S61" s="117">
        <f>IF(B61="","",O61*M61)</f>
        <v>20243.2727571271</v>
      </c>
    </row>
    <row r="62">
      <c r="A62" s="53" t="n">
        <v>3</v>
      </c>
      <c r="B62" s="53" t="str">
        <f>IF(A62&gt;$C$38,"",IF(A62&lt;=$C$5,"Básico",IF($C$6&gt;0,"Sucesivo","Opción de compra")))</f>
        <v>Básico</v>
      </c>
      <c r="C62" s="53">
        <f>IF(B62="","",IF(B62="Opción de compra",$C$5,A62-$C$7))</f>
        <v>3</v>
      </c>
      <c r="D62" s="130">
        <f>IF(B62="","",EDATE($C$33,C62))</f>
        <v>46393.0</v>
      </c>
      <c r="E62" s="117">
        <f>IF(B62="","",I61)</f>
        <v>666853.477996343</v>
      </c>
      <c r="F62" s="117">
        <f>IF(B62="","",IF(B62="Básico",$C$24,IF(B62="Sucesivo",$C$25,$C$26)))</f>
        <v>20940.8257120068</v>
      </c>
      <c r="G62" s="117">
        <f>IF(B62="","",IF(B62="Opción de compra",0,(E62-$C$7*F62)*IF(B62="Sucesivo",$C$11,$C$9)))</f>
        <v>12836.9294514296</v>
      </c>
      <c r="H62" s="117">
        <f>IF(B62="","",F62-G62)</f>
        <v>8103.89626057723</v>
      </c>
      <c r="I62" s="117">
        <f>IF(B62="","",E62-H62)</f>
        <v>658749.581735766</v>
      </c>
      <c r="J62" s="117">
        <f>IF(B62="","",IF(OR(inp_Tipo="Arrendamiento Puro",par_BaseIVAFin="Sobre renta",B62="Opción de compra"),F62,G62)*$C$14)</f>
        <v>3350.53211392109</v>
      </c>
      <c r="K62" s="117">
        <f>IF(B62="","",F62+J62)</f>
        <v>24291.3578259279</v>
      </c>
      <c r="L62" s="117">
        <f>IF(B62="","",F62-IF(A62=$C$38,$C$30,0))</f>
        <v>20940.8257120068</v>
      </c>
      <c r="M62" s="131">
        <f>IF(B62="","",$C$37*(1+$C$13)^(-C62))</f>
        <v>0.950452433306432</v>
      </c>
      <c r="N62" s="117">
        <f>IF(B62="","",L62*M62)</f>
        <v>19903.2587534228</v>
      </c>
      <c r="O62" s="117">
        <f>IF(B62="","",IF(B62="Básico",F62,0)-IF(A62=$C$38,$C$30,0))</f>
        <v>20940.8257120068</v>
      </c>
      <c r="P62" s="130">
        <f>IF(B62="",$C$31,D62)</f>
        <v>46393.0</v>
      </c>
      <c r="Q62" s="117">
        <f>IF(B62="",0,L62)</f>
        <v>20940.8257120068</v>
      </c>
      <c r="R62" s="117">
        <f>IF(B62="",0,-F62)</f>
        <v>-20940.8257120068</v>
      </c>
      <c r="S62" s="117">
        <f>IF(B62="","",O62*M62)</f>
        <v>19903.2587534228</v>
      </c>
    </row>
    <row r="63">
      <c r="A63" s="53" t="n">
        <v>4</v>
      </c>
      <c r="B63" s="53" t="str">
        <f>IF(A63&gt;$C$38,"",IF(A63&lt;=$C$5,"Básico",IF($C$6&gt;0,"Sucesivo","Opción de compra")))</f>
        <v>Básico</v>
      </c>
      <c r="C63" s="53">
        <f>IF(B63="","",IF(B63="Opción de compra",$C$5,A63-$C$7))</f>
        <v>4</v>
      </c>
      <c r="D63" s="130">
        <f>IF(B63="","",EDATE($C$33,C63))</f>
        <v>46424.0</v>
      </c>
      <c r="E63" s="117">
        <f>IF(B63="","",I62)</f>
        <v>658749.581735766</v>
      </c>
      <c r="F63" s="117">
        <f>IF(B63="","",IF(B63="Básico",$C$24,IF(B63="Sucesivo",$C$25,$C$26)))</f>
        <v>20940.8257120068</v>
      </c>
      <c r="G63" s="117">
        <f>IF(B63="","",IF(B63="Opción de compra",0,(E63-$C$7*F63)*IF(B63="Sucesivo",$C$11,$C$9)))</f>
        <v>12680.9294484135</v>
      </c>
      <c r="H63" s="117">
        <f>IF(B63="","",F63-G63)</f>
        <v>8259.89626359334</v>
      </c>
      <c r="I63" s="117">
        <f>IF(B63="","",E63-H63)</f>
        <v>650489.685472172</v>
      </c>
      <c r="J63" s="117">
        <f>IF(B63="","",IF(OR(inp_Tipo="Arrendamiento Puro",par_BaseIVAFin="Sobre renta",B63="Opción de compra"),F63,G63)*$C$14)</f>
        <v>3350.53211392109</v>
      </c>
      <c r="K63" s="117">
        <f>IF(B63="","",F63+J63)</f>
        <v>24291.3578259279</v>
      </c>
      <c r="L63" s="117">
        <f>IF(B63="","",F63-IF(A63=$C$38,$C$30,0))</f>
        <v>20940.8257120068</v>
      </c>
      <c r="M63" s="131">
        <f>IF(B63="","",$C$37*(1+$C$13)^(-C63))</f>
        <v>0.934488258883833</v>
      </c>
      <c r="N63" s="117">
        <f>IF(B63="","",L63*M63)</f>
        <v>19568.9557592031</v>
      </c>
      <c r="O63" s="117">
        <f>IF(B63="","",IF(B63="Básico",F63,0)-IF(A63=$C$38,$C$30,0))</f>
        <v>20940.8257120068</v>
      </c>
      <c r="P63" s="130">
        <f>IF(B63="",$C$31,D63)</f>
        <v>46424.0</v>
      </c>
      <c r="Q63" s="117">
        <f>IF(B63="",0,L63)</f>
        <v>20940.8257120068</v>
      </c>
      <c r="R63" s="117">
        <f>IF(B63="",0,-F63)</f>
        <v>-20940.8257120068</v>
      </c>
      <c r="S63" s="117">
        <f>IF(B63="","",O63*M63)</f>
        <v>19568.9557592031</v>
      </c>
    </row>
    <row r="64">
      <c r="A64" s="53" t="n">
        <v>5</v>
      </c>
      <c r="B64" s="53" t="str">
        <f>IF(A64&gt;$C$38,"",IF(A64&lt;=$C$5,"Básico",IF($C$6&gt;0,"Sucesivo","Opción de compra")))</f>
        <v>Básico</v>
      </c>
      <c r="C64" s="53">
        <f>IF(B64="","",IF(B64="Opción de compra",$C$5,A64-$C$7))</f>
        <v>5</v>
      </c>
      <c r="D64" s="130">
        <f>IF(B64="","",EDATE($C$33,C64))</f>
        <v>46452.0</v>
      </c>
      <c r="E64" s="117">
        <f>IF(B64="","",I63)</f>
        <v>650489.685472172</v>
      </c>
      <c r="F64" s="117">
        <f>IF(B64="","",IF(B64="Básico",$C$24,IF(B64="Sucesivo",$C$25,$C$26)))</f>
        <v>20940.8257120068</v>
      </c>
      <c r="G64" s="117">
        <f>IF(B64="","",IF(B64="Opción de compra",0,(E64-$C$7*F64)*IF(B64="Sucesivo",$C$11,$C$9)))</f>
        <v>12521.9264453393</v>
      </c>
      <c r="H64" s="117">
        <f>IF(B64="","",F64-G64)</f>
        <v>8418.89926666752</v>
      </c>
      <c r="I64" s="117">
        <f>IF(B64="","",E64-H64)</f>
        <v>642070.786205505</v>
      </c>
      <c r="J64" s="117">
        <f>IF(B64="","",IF(OR(inp_Tipo="Arrendamiento Puro",par_BaseIVAFin="Sobre renta",B64="Opción de compra"),F64,G64)*$C$14)</f>
        <v>3350.53211392109</v>
      </c>
      <c r="K64" s="117">
        <f>IF(B64="","",F64+J64)</f>
        <v>24291.3578259279</v>
      </c>
      <c r="L64" s="117">
        <f>IF(B64="","",F64-IF(A64=$C$38,$C$30,0))</f>
        <v>20940.8257120068</v>
      </c>
      <c r="M64" s="131">
        <f>IF(B64="","",$C$37*(1+$C$13)^(-C64))</f>
        <v>0.918792225039409</v>
      </c>
      <c r="N64" s="117">
        <f>IF(B64="","",L64*M64)</f>
        <v>19240.2678500972</v>
      </c>
      <c r="O64" s="117">
        <f>IF(B64="","",IF(B64="Básico",F64,0)-IF(A64=$C$38,$C$30,0))</f>
        <v>20940.8257120068</v>
      </c>
      <c r="P64" s="130">
        <f>IF(B64="",$C$31,D64)</f>
        <v>46452.0</v>
      </c>
      <c r="Q64" s="117">
        <f>IF(B64="",0,L64)</f>
        <v>20940.8257120068</v>
      </c>
      <c r="R64" s="117">
        <f>IF(B64="",0,-F64)</f>
        <v>-20940.8257120068</v>
      </c>
      <c r="S64" s="117">
        <f>IF(B64="","",O64*M64)</f>
        <v>19240.2678500972</v>
      </c>
    </row>
    <row r="65">
      <c r="A65" s="53" t="n">
        <v>6</v>
      </c>
      <c r="B65" s="53" t="str">
        <f>IF(A65&gt;$C$38,"",IF(A65&lt;=$C$5,"Básico",IF($C$6&gt;0,"Sucesivo","Opción de compra")))</f>
        <v>Básico</v>
      </c>
      <c r="C65" s="53">
        <f>IF(B65="","",IF(B65="Opción de compra",$C$5,A65-$C$7))</f>
        <v>6</v>
      </c>
      <c r="D65" s="130">
        <f>IF(B65="","",EDATE($C$33,C65))</f>
        <v>46483.0</v>
      </c>
      <c r="E65" s="117">
        <f>IF(B65="","",I64)</f>
        <v>642070.786205505</v>
      </c>
      <c r="F65" s="117">
        <f>IF(B65="","",IF(B65="Básico",$C$24,IF(B65="Sucesivo",$C$25,$C$26)))</f>
        <v>20940.8257120068</v>
      </c>
      <c r="G65" s="117">
        <f>IF(B65="","",IF(B65="Opción de compra",0,(E65-$C$7*F65)*IF(B65="Sucesivo",$C$11,$C$9)))</f>
        <v>12359.862634456</v>
      </c>
      <c r="H65" s="117">
        <f>IF(B65="","",F65-G65)</f>
        <v>8580.96307755087</v>
      </c>
      <c r="I65" s="117">
        <f>IF(B65="","",E65-H65)</f>
        <v>633489.823127954</v>
      </c>
      <c r="J65" s="117">
        <f>IF(B65="","",IF(OR(inp_Tipo="Arrendamiento Puro",par_BaseIVAFin="Sobre renta",B65="Opción de compra"),F65,G65)*$C$14)</f>
        <v>3350.53211392109</v>
      </c>
      <c r="K65" s="117">
        <f>IF(B65="","",F65+J65)</f>
        <v>24291.3578259279</v>
      </c>
      <c r="L65" s="117">
        <f>IF(B65="","",F65-IF(A65=$C$38,$C$30,0))</f>
        <v>20940.8257120068</v>
      </c>
      <c r="M65" s="131">
        <f>IF(B65="","",$C$37*(1+$C$13)^(-C65))</f>
        <v>0.903359827978117</v>
      </c>
      <c r="N65" s="117">
        <f>IF(B65="","",L65*M65)</f>
        <v>18917.1007129182</v>
      </c>
      <c r="O65" s="117">
        <f>IF(B65="","",IF(B65="Básico",F65,0)-IF(A65=$C$38,$C$30,0))</f>
        <v>20940.8257120068</v>
      </c>
      <c r="P65" s="130">
        <f>IF(B65="",$C$31,D65)</f>
        <v>46483.0</v>
      </c>
      <c r="Q65" s="117">
        <f>IF(B65="",0,L65)</f>
        <v>20940.8257120068</v>
      </c>
      <c r="R65" s="117">
        <f>IF(B65="",0,-F65)</f>
        <v>-20940.8257120068</v>
      </c>
      <c r="S65" s="117">
        <f>IF(B65="","",O65*M65)</f>
        <v>18917.1007129182</v>
      </c>
    </row>
    <row r="66">
      <c r="A66" s="53" t="n">
        <v>7</v>
      </c>
      <c r="B66" s="53" t="str">
        <f>IF(A66&gt;$C$38,"",IF(A66&lt;=$C$5,"Básico",IF($C$6&gt;0,"Sucesivo","Opción de compra")))</f>
        <v>Básico</v>
      </c>
      <c r="C66" s="53">
        <f>IF(B66="","",IF(B66="Opción de compra",$C$5,A66-$C$7))</f>
        <v>7</v>
      </c>
      <c r="D66" s="130">
        <f>IF(B66="","",EDATE($C$33,C66))</f>
        <v>46513.0</v>
      </c>
      <c r="E66" s="117">
        <f>IF(B66="","",I65)</f>
        <v>633489.823127954</v>
      </c>
      <c r="F66" s="117">
        <f>IF(B66="","",IF(B66="Básico",$C$24,IF(B66="Sucesivo",$C$25,$C$26)))</f>
        <v>20940.8257120068</v>
      </c>
      <c r="G66" s="117">
        <f>IF(B66="","",IF(B66="Opción de compra",0,(E66-$C$7*F66)*IF(B66="Sucesivo",$C$11,$C$9)))</f>
        <v>12194.6790952131</v>
      </c>
      <c r="H66" s="117">
        <f>IF(B66="","",F66-G66)</f>
        <v>8746.14661679372</v>
      </c>
      <c r="I66" s="117">
        <f>IF(B66="","",E66-H66)</f>
        <v>624743.67651116</v>
      </c>
      <c r="J66" s="117">
        <f>IF(B66="","",IF(OR(inp_Tipo="Arrendamiento Puro",par_BaseIVAFin="Sobre renta",B66="Opción de compra"),F66,G66)*$C$14)</f>
        <v>3350.53211392109</v>
      </c>
      <c r="K66" s="117">
        <f>IF(B66="","",F66+J66)</f>
        <v>24291.3578259279</v>
      </c>
      <c r="L66" s="117">
        <f>IF(B66="","",F66-IF(A66=$C$38,$C$30,0))</f>
        <v>20940.8257120068</v>
      </c>
      <c r="M66" s="131">
        <f>IF(B66="","",$C$37*(1+$C$13)^(-C66))</f>
        <v>0.888186639552429</v>
      </c>
      <c r="N66" s="117">
        <f>IF(B66="","",L66*M66)</f>
        <v>18599.3616186005</v>
      </c>
      <c r="O66" s="117">
        <f>IF(B66="","",IF(B66="Básico",F66,0)-IF(A66=$C$38,$C$30,0))</f>
        <v>20940.8257120068</v>
      </c>
      <c r="P66" s="130">
        <f>IF(B66="",$C$31,D66)</f>
        <v>46513.0</v>
      </c>
      <c r="Q66" s="117">
        <f>IF(B66="",0,L66)</f>
        <v>20940.8257120068</v>
      </c>
      <c r="R66" s="117">
        <f>IF(B66="",0,-F66)</f>
        <v>-20940.8257120068</v>
      </c>
      <c r="S66" s="117">
        <f>IF(B66="","",O66*M66)</f>
        <v>18599.3616186005</v>
      </c>
    </row>
    <row r="67">
      <c r="A67" s="53" t="n">
        <v>8</v>
      </c>
      <c r="B67" s="53" t="str">
        <f>IF(A67&gt;$C$38,"",IF(A67&lt;=$C$5,"Básico",IF($C$6&gt;0,"Sucesivo","Opción de compra")))</f>
        <v>Básico</v>
      </c>
      <c r="C67" s="53">
        <f>IF(B67="","",IF(B67="Opción de compra",$C$5,A67-$C$7))</f>
        <v>8</v>
      </c>
      <c r="D67" s="130">
        <f>IF(B67="","",EDATE($C$33,C67))</f>
        <v>46544.0</v>
      </c>
      <c r="E67" s="117">
        <f>IF(B67="","",I66)</f>
        <v>624743.67651116</v>
      </c>
      <c r="F67" s="117">
        <f>IF(B67="","",IF(B67="Básico",$C$24,IF(B67="Sucesivo",$C$25,$C$26)))</f>
        <v>20940.8257120068</v>
      </c>
      <c r="G67" s="117">
        <f>IF(B67="","",IF(B67="Opción de compra",0,(E67-$C$7*F67)*IF(B67="Sucesivo",$C$11,$C$9)))</f>
        <v>12026.3157728398</v>
      </c>
      <c r="H67" s="117">
        <f>IF(B67="","",F67-G67)</f>
        <v>8914.509939167</v>
      </c>
      <c r="I67" s="117">
        <f>IF(B67="","",E67-H67)</f>
        <v>615829.166571993</v>
      </c>
      <c r="J67" s="117">
        <f>IF(B67="","",IF(OR(inp_Tipo="Arrendamiento Puro",par_BaseIVAFin="Sobre renta",B67="Opción de compra"),F67,G67)*$C$14)</f>
        <v>3350.53211392109</v>
      </c>
      <c r="K67" s="117">
        <f>IF(B67="","",F67+J67)</f>
        <v>24291.3578259279</v>
      </c>
      <c r="L67" s="117">
        <f>IF(B67="","",F67-IF(A67=$C$38,$C$30,0))</f>
        <v>20940.8257120068</v>
      </c>
      <c r="M67" s="131">
        <f>IF(B67="","",$C$37*(1+$C$13)^(-C67))</f>
        <v>0.873268305991737</v>
      </c>
      <c r="N67" s="117">
        <f>IF(B67="","",L67*M67)</f>
        <v>18286.9593955924</v>
      </c>
      <c r="O67" s="117">
        <f>IF(B67="","",IF(B67="Básico",F67,0)-IF(A67=$C$38,$C$30,0))</f>
        <v>20940.8257120068</v>
      </c>
      <c r="P67" s="130">
        <f>IF(B67="",$C$31,D67)</f>
        <v>46544.0</v>
      </c>
      <c r="Q67" s="117">
        <f>IF(B67="",0,L67)</f>
        <v>20940.8257120068</v>
      </c>
      <c r="R67" s="117">
        <f>IF(B67="",0,-F67)</f>
        <v>-20940.8257120068</v>
      </c>
      <c r="S67" s="117">
        <f>IF(B67="","",O67*M67)</f>
        <v>18286.9593955924</v>
      </c>
    </row>
    <row r="68">
      <c r="A68" s="53" t="n">
        <v>9</v>
      </c>
      <c r="B68" s="53" t="str">
        <f>IF(A68&gt;$C$38,"",IF(A68&lt;=$C$5,"Básico",IF($C$6&gt;0,"Sucesivo","Opción de compra")))</f>
        <v>Básico</v>
      </c>
      <c r="C68" s="53">
        <f>IF(B68="","",IF(B68="Opción de compra",$C$5,A68-$C$7))</f>
        <v>9</v>
      </c>
      <c r="D68" s="130">
        <f>IF(B68="","",EDATE($C$33,C68))</f>
        <v>46574.0</v>
      </c>
      <c r="E68" s="117">
        <f>IF(B68="","",I67)</f>
        <v>615829.166571993</v>
      </c>
      <c r="F68" s="117">
        <f>IF(B68="","",IF(B68="Básico",$C$24,IF(B68="Sucesivo",$C$25,$C$26)))</f>
        <v>20940.8257120068</v>
      </c>
      <c r="G68" s="117">
        <f>IF(B68="","",IF(B68="Opción de compra",0,(E68-$C$7*F68)*IF(B68="Sucesivo",$C$11,$C$9)))</f>
        <v>11854.7114565109</v>
      </c>
      <c r="H68" s="117">
        <f>IF(B68="","",F68-G68)</f>
        <v>9086.11425549596</v>
      </c>
      <c r="I68" s="117">
        <f>IF(B68="","",E68-H68)</f>
        <v>606743.052316497</v>
      </c>
      <c r="J68" s="117">
        <f>IF(B68="","",IF(OR(inp_Tipo="Arrendamiento Puro",par_BaseIVAFin="Sobre renta",B68="Opción de compra"),F68,G68)*$C$14)</f>
        <v>3350.53211392109</v>
      </c>
      <c r="K68" s="117">
        <f>IF(B68="","",F68+J68)</f>
        <v>24291.3578259279</v>
      </c>
      <c r="L68" s="117">
        <f>IF(B68="","",F68-IF(A68=$C$38,$C$30,0))</f>
        <v>20940.8257120068</v>
      </c>
      <c r="M68" s="131">
        <f>IF(B68="","",$C$37*(1+$C$13)^(-C68))</f>
        <v>0.85860054665308</v>
      </c>
      <c r="N68" s="117">
        <f>IF(B68="","",L68*M68)</f>
        <v>17979.8044036959</v>
      </c>
      <c r="O68" s="117">
        <f>IF(B68="","",IF(B68="Básico",F68,0)-IF(A68=$C$38,$C$30,0))</f>
        <v>20940.8257120068</v>
      </c>
      <c r="P68" s="130">
        <f>IF(B68="",$C$31,D68)</f>
        <v>46574.0</v>
      </c>
      <c r="Q68" s="117">
        <f>IF(B68="",0,L68)</f>
        <v>20940.8257120068</v>
      </c>
      <c r="R68" s="117">
        <f>IF(B68="",0,-F68)</f>
        <v>-20940.8257120068</v>
      </c>
      <c r="S68" s="117">
        <f>IF(B68="","",O68*M68)</f>
        <v>17979.8044036959</v>
      </c>
    </row>
    <row r="69">
      <c r="A69" s="53" t="n">
        <v>10</v>
      </c>
      <c r="B69" s="53" t="str">
        <f>IF(A69&gt;$C$38,"",IF(A69&lt;=$C$5,"Básico",IF($C$6&gt;0,"Sucesivo","Opción de compra")))</f>
        <v>Básico</v>
      </c>
      <c r="C69" s="53">
        <f>IF(B69="","",IF(B69="Opción de compra",$C$5,A69-$C$7))</f>
        <v>10</v>
      </c>
      <c r="D69" s="130">
        <f>IF(B69="","",EDATE($C$33,C69))</f>
        <v>46605.0</v>
      </c>
      <c r="E69" s="117">
        <f>IF(B69="","",I68)</f>
        <v>606743.052316497</v>
      </c>
      <c r="F69" s="117">
        <f>IF(B69="","",IF(B69="Básico",$C$24,IF(B69="Sucesivo",$C$25,$C$26)))</f>
        <v>20940.8257120068</v>
      </c>
      <c r="G69" s="117">
        <f>IF(B69="","",IF(B69="Opción de compra",0,(E69-$C$7*F69)*IF(B69="Sucesivo",$C$11,$C$9)))</f>
        <v>11679.8037570926</v>
      </c>
      <c r="H69" s="117">
        <f>IF(B69="","",F69-G69)</f>
        <v>9261.02195491426</v>
      </c>
      <c r="I69" s="117">
        <f>IF(B69="","",E69-H69)</f>
        <v>597482.030361583</v>
      </c>
      <c r="J69" s="117">
        <f>IF(B69="","",IF(OR(inp_Tipo="Arrendamiento Puro",par_BaseIVAFin="Sobre renta",B69="Opción de compra"),F69,G69)*$C$14)</f>
        <v>3350.53211392109</v>
      </c>
      <c r="K69" s="117">
        <f>IF(B69="","",F69+J69)</f>
        <v>24291.3578259279</v>
      </c>
      <c r="L69" s="117">
        <f>IF(B69="","",F69-IF(A69=$C$38,$C$30,0))</f>
        <v>20940.8257120068</v>
      </c>
      <c r="M69" s="131">
        <f>IF(B69="","",$C$37*(1+$C$13)^(-C69))</f>
        <v>0.844179152792869</v>
      </c>
      <c r="N69" s="117">
        <f>IF(B69="","",L69*M69)</f>
        <v>17677.8085083451</v>
      </c>
      <c r="O69" s="117">
        <f>IF(B69="","",IF(B69="Básico",F69,0)-IF(A69=$C$38,$C$30,0))</f>
        <v>20940.8257120068</v>
      </c>
      <c r="P69" s="130">
        <f>IF(B69="",$C$31,D69)</f>
        <v>46605.0</v>
      </c>
      <c r="Q69" s="117">
        <f>IF(B69="",0,L69)</f>
        <v>20940.8257120068</v>
      </c>
      <c r="R69" s="117">
        <f>IF(B69="",0,-F69)</f>
        <v>-20940.8257120068</v>
      </c>
      <c r="S69" s="117">
        <f>IF(B69="","",O69*M69)</f>
        <v>17677.8085083451</v>
      </c>
    </row>
    <row r="70">
      <c r="A70" s="53" t="n">
        <v>11</v>
      </c>
      <c r="B70" s="53" t="str">
        <f>IF(A70&gt;$C$38,"",IF(A70&lt;=$C$5,"Básico",IF($C$6&gt;0,"Sucesivo","Opción de compra")))</f>
        <v>Básico</v>
      </c>
      <c r="C70" s="53">
        <f>IF(B70="","",IF(B70="Opción de compra",$C$5,A70-$C$7))</f>
        <v>11</v>
      </c>
      <c r="D70" s="130">
        <f>IF(B70="","",EDATE($C$33,C70))</f>
        <v>46636.0</v>
      </c>
      <c r="E70" s="117">
        <f>IF(B70="","",I69)</f>
        <v>597482.030361583</v>
      </c>
      <c r="F70" s="117">
        <f>IF(B70="","",IF(B70="Básico",$C$24,IF(B70="Sucesivo",$C$25,$C$26)))</f>
        <v>20940.8257120068</v>
      </c>
      <c r="G70" s="117">
        <f>IF(B70="","",IF(B70="Opción de compra",0,(E70-$C$7*F70)*IF(B70="Sucesivo",$C$11,$C$9)))</f>
        <v>11501.5290844605</v>
      </c>
      <c r="H70" s="117">
        <f>IF(B70="","",F70-G70)</f>
        <v>9439.29662754636</v>
      </c>
      <c r="I70" s="117">
        <f>IF(B70="","",E70-H70)</f>
        <v>588042.733734037</v>
      </c>
      <c r="J70" s="117">
        <f>IF(B70="","",IF(OR(inp_Tipo="Arrendamiento Puro",par_BaseIVAFin="Sobre renta",B70="Opción de compra"),F70,G70)*$C$14)</f>
        <v>3350.53211392109</v>
      </c>
      <c r="K70" s="117">
        <f>IF(B70="","",F70+J70)</f>
        <v>24291.3578259279</v>
      </c>
      <c r="L70" s="117">
        <f>IF(B70="","",F70-IF(A70=$C$38,$C$30,0))</f>
        <v>20940.8257120068</v>
      </c>
      <c r="M70" s="131">
        <f>IF(B70="","",$C$37*(1+$C$13)^(-C70))</f>
        <v>0.829999986359232</v>
      </c>
      <c r="N70" s="117">
        <f>IF(B70="","",L70*M70)</f>
        <v>17380.8850553167</v>
      </c>
      <c r="O70" s="117">
        <f>IF(B70="","",IF(B70="Básico",F70,0)-IF(A70=$C$38,$C$30,0))</f>
        <v>20940.8257120068</v>
      </c>
      <c r="P70" s="130">
        <f>IF(B70="",$C$31,D70)</f>
        <v>46636.0</v>
      </c>
      <c r="Q70" s="117">
        <f>IF(B70="",0,L70)</f>
        <v>20940.8257120068</v>
      </c>
      <c r="R70" s="117">
        <f>IF(B70="",0,-F70)</f>
        <v>-20940.8257120068</v>
      </c>
      <c r="S70" s="117">
        <f>IF(B70="","",O70*M70)</f>
        <v>17380.8850553167</v>
      </c>
    </row>
    <row r="71">
      <c r="A71" s="53" t="n">
        <v>12</v>
      </c>
      <c r="B71" s="53" t="str">
        <f>IF(A71&gt;$C$38,"",IF(A71&lt;=$C$5,"Básico",IF($C$6&gt;0,"Sucesivo","Opción de compra")))</f>
        <v>Básico</v>
      </c>
      <c r="C71" s="53">
        <f>IF(B71="","",IF(B71="Opción de compra",$C$5,A71-$C$7))</f>
        <v>12</v>
      </c>
      <c r="D71" s="130">
        <f>IF(B71="","",EDATE($C$33,C71))</f>
        <v>46666.0</v>
      </c>
      <c r="E71" s="117">
        <f>IF(B71="","",I70)</f>
        <v>588042.733734037</v>
      </c>
      <c r="F71" s="117">
        <f>IF(B71="","",IF(B71="Básico",$C$24,IF(B71="Sucesivo",$C$25,$C$26)))</f>
        <v>20940.8257120068</v>
      </c>
      <c r="G71" s="117">
        <f>IF(B71="","",IF(B71="Opción de compra",0,(E71-$C$7*F71)*IF(B71="Sucesivo",$C$11,$C$9)))</f>
        <v>11319.8226243802</v>
      </c>
      <c r="H71" s="117">
        <f>IF(B71="","",F71-G71)</f>
        <v>9621.00308762663</v>
      </c>
      <c r="I71" s="117">
        <f>IF(B71="","",E71-H71)</f>
        <v>578421.73064641</v>
      </c>
      <c r="J71" s="117">
        <f>IF(B71="","",IF(OR(inp_Tipo="Arrendamiento Puro",par_BaseIVAFin="Sobre renta",B71="Opción de compra"),F71,G71)*$C$14)</f>
        <v>3350.53211392109</v>
      </c>
      <c r="K71" s="117">
        <f>IF(B71="","",F71+J71)</f>
        <v>24291.3578259279</v>
      </c>
      <c r="L71" s="117">
        <f>IF(B71="","",F71-IF(A71=$C$38,$C$30,0))</f>
        <v>20940.8257120068</v>
      </c>
      <c r="M71" s="131">
        <f>IF(B71="","",$C$37*(1+$C$13)^(-C71))</f>
        <v>0.816058978804652</v>
      </c>
      <c r="N71" s="117">
        <f>IF(B71="","",L71*M71)</f>
        <v>17088.9488458665</v>
      </c>
      <c r="O71" s="117">
        <f>IF(B71="","",IF(B71="Básico",F71,0)-IF(A71=$C$38,$C$30,0))</f>
        <v>20940.8257120068</v>
      </c>
      <c r="P71" s="130">
        <f>IF(B71="",$C$31,D71)</f>
        <v>46666.0</v>
      </c>
      <c r="Q71" s="117">
        <f>IF(B71="",0,L71)</f>
        <v>20940.8257120068</v>
      </c>
      <c r="R71" s="117">
        <f>IF(B71="",0,-F71)</f>
        <v>-20940.8257120068</v>
      </c>
      <c r="S71" s="117">
        <f>IF(B71="","",O71*M71)</f>
        <v>17088.9488458665</v>
      </c>
    </row>
    <row r="72">
      <c r="A72" s="53" t="n">
        <v>13</v>
      </c>
      <c r="B72" s="53" t="str">
        <f>IF(A72&gt;$C$38,"",IF(A72&lt;=$C$5,"Básico",IF($C$6&gt;0,"Sucesivo","Opción de compra")))</f>
        <v>Básico</v>
      </c>
      <c r="C72" s="53">
        <f>IF(B72="","",IF(B72="Opción de compra",$C$5,A72-$C$7))</f>
        <v>13</v>
      </c>
      <c r="D72" s="130">
        <f>IF(B72="","",EDATE($C$33,C72))</f>
        <v>46697.0</v>
      </c>
      <c r="E72" s="117">
        <f>IF(B72="","",I71)</f>
        <v>578421.73064641</v>
      </c>
      <c r="F72" s="117">
        <f>IF(B72="","",IF(B72="Básico",$C$24,IF(B72="Sucesivo",$C$25,$C$26)))</f>
        <v>20940.8257120068</v>
      </c>
      <c r="G72" s="117">
        <f>IF(B72="","",IF(B72="Opción de compra",0,(E72-$C$7*F72)*IF(B72="Sucesivo",$C$11,$C$9)))</f>
        <v>11134.6183149434</v>
      </c>
      <c r="H72" s="117">
        <f>IF(B72="","",F72-G72)</f>
        <v>9806.20739706344</v>
      </c>
      <c r="I72" s="117">
        <f>IF(B72="","",E72-H72)</f>
        <v>568615.523249347</v>
      </c>
      <c r="J72" s="117">
        <f>IF(B72="","",IF(OR(inp_Tipo="Arrendamiento Puro",par_BaseIVAFin="Sobre renta",B72="Opción de compra"),F72,G72)*$C$14)</f>
        <v>3350.53211392109</v>
      </c>
      <c r="K72" s="117">
        <f>IF(B72="","",F72+J72)</f>
        <v>24291.3578259279</v>
      </c>
      <c r="L72" s="117">
        <f>IF(B72="","",F72-IF(A72=$C$38,$C$30,0))</f>
        <v>20940.8257120068</v>
      </c>
      <c r="M72" s="131">
        <f>IF(B72="","",$C$37*(1+$C$13)^(-C72))</f>
        <v>0.802352129918544</v>
      </c>
      <c r="N72" s="117">
        <f>IF(B72="","",L72*M72)</f>
        <v>16801.9161122817</v>
      </c>
      <c r="O72" s="117">
        <f>IF(B72="","",IF(B72="Básico",F72,0)-IF(A72=$C$38,$C$30,0))</f>
        <v>20940.8257120068</v>
      </c>
      <c r="P72" s="130">
        <f>IF(B72="",$C$31,D72)</f>
        <v>46697.0</v>
      </c>
      <c r="Q72" s="117">
        <f>IF(B72="",0,L72)</f>
        <v>20940.8257120068</v>
      </c>
      <c r="R72" s="117">
        <f>IF(B72="",0,-F72)</f>
        <v>-20940.8257120068</v>
      </c>
      <c r="S72" s="117">
        <f>IF(B72="","",O72*M72)</f>
        <v>16801.9161122817</v>
      </c>
    </row>
    <row r="73">
      <c r="A73" s="53" t="n">
        <v>14</v>
      </c>
      <c r="B73" s="53" t="str">
        <f>IF(A73&gt;$C$38,"",IF(A73&lt;=$C$5,"Básico",IF($C$6&gt;0,"Sucesivo","Opción de compra")))</f>
        <v>Básico</v>
      </c>
      <c r="C73" s="53">
        <f>IF(B73="","",IF(B73="Opción de compra",$C$5,A73-$C$7))</f>
        <v>14</v>
      </c>
      <c r="D73" s="130">
        <f>IF(B73="","",EDATE($C$33,C73))</f>
        <v>46727.0</v>
      </c>
      <c r="E73" s="117">
        <f>IF(B73="","",I72)</f>
        <v>568615.523249347</v>
      </c>
      <c r="F73" s="117">
        <f>IF(B73="","",IF(B73="Básico",$C$24,IF(B73="Sucesivo",$C$25,$C$26)))</f>
        <v>20940.8257120068</v>
      </c>
      <c r="G73" s="117">
        <f>IF(B73="","",IF(B73="Opción de compra",0,(E73-$C$7*F73)*IF(B73="Sucesivo",$C$11,$C$9)))</f>
        <v>10945.8488225499</v>
      </c>
      <c r="H73" s="117">
        <f>IF(B73="","",F73-G73)</f>
        <v>9994.97688945691</v>
      </c>
      <c r="I73" s="117">
        <f>IF(B73="","",E73-H73)</f>
        <v>558620.54635989</v>
      </c>
      <c r="J73" s="117">
        <f>IF(B73="","",IF(OR(inp_Tipo="Arrendamiento Puro",par_BaseIVAFin="Sobre renta",B73="Opción de compra"),F73,G73)*$C$14)</f>
        <v>3350.53211392109</v>
      </c>
      <c r="K73" s="117">
        <f>IF(B73="","",F73+J73)</f>
        <v>24291.3578259279</v>
      </c>
      <c r="L73" s="117">
        <f>IF(B73="","",F73-IF(A73=$C$38,$C$30,0))</f>
        <v>20940.8257120068</v>
      </c>
      <c r="M73" s="131">
        <f>IF(B73="","",$C$37*(1+$C$13)^(-C73))</f>
        <v>0.788875506679437</v>
      </c>
      <c r="N73" s="117">
        <f>IF(B73="","",L73*M73)</f>
        <v>16519.7044938452</v>
      </c>
      <c r="O73" s="117">
        <f>IF(B73="","",IF(B73="Básico",F73,0)-IF(A73=$C$38,$C$30,0))</f>
        <v>20940.8257120068</v>
      </c>
      <c r="P73" s="130">
        <f>IF(B73="",$C$31,D73)</f>
        <v>46727.0</v>
      </c>
      <c r="Q73" s="117">
        <f>IF(B73="",0,L73)</f>
        <v>20940.8257120068</v>
      </c>
      <c r="R73" s="117">
        <f>IF(B73="",0,-F73)</f>
        <v>-20940.8257120068</v>
      </c>
      <c r="S73" s="117">
        <f>IF(B73="","",O73*M73)</f>
        <v>16519.7044938452</v>
      </c>
    </row>
    <row r="74">
      <c r="A74" s="53" t="n">
        <v>15</v>
      </c>
      <c r="B74" s="53" t="str">
        <f>IF(A74&gt;$C$38,"",IF(A74&lt;=$C$5,"Básico",IF($C$6&gt;0,"Sucesivo","Opción de compra")))</f>
        <v>Básico</v>
      </c>
      <c r="C74" s="53">
        <f>IF(B74="","",IF(B74="Opción de compra",$C$5,A74-$C$7))</f>
        <v>15</v>
      </c>
      <c r="D74" s="130">
        <f>IF(B74="","",EDATE($C$33,C74))</f>
        <v>46758.0</v>
      </c>
      <c r="E74" s="117">
        <f>IF(B74="","",I73)</f>
        <v>558620.54635989</v>
      </c>
      <c r="F74" s="117">
        <f>IF(B74="","",IF(B74="Básico",$C$24,IF(B74="Sucesivo",$C$25,$C$26)))</f>
        <v>20940.8257120068</v>
      </c>
      <c r="G74" s="117">
        <f>IF(B74="","",IF(B74="Opción de compra",0,(E74-$C$7*F74)*IF(B74="Sucesivo",$C$11,$C$9)))</f>
        <v>10753.4455174279</v>
      </c>
      <c r="H74" s="117">
        <f>IF(B74="","",F74-G74)</f>
        <v>10187.380194579</v>
      </c>
      <c r="I74" s="117">
        <f>IF(B74="","",E74-H74)</f>
        <v>548433.166165311</v>
      </c>
      <c r="J74" s="117">
        <f>IF(B74="","",IF(OR(inp_Tipo="Arrendamiento Puro",par_BaseIVAFin="Sobre renta",B74="Opción de compra"),F74,G74)*$C$14)</f>
        <v>3350.53211392109</v>
      </c>
      <c r="K74" s="117">
        <f>IF(B74="","",F74+J74)</f>
        <v>24291.3578259279</v>
      </c>
      <c r="L74" s="117">
        <f>IF(B74="","",F74-IF(A74=$C$38,$C$30,0))</f>
        <v>20940.8257120068</v>
      </c>
      <c r="M74" s="131">
        <f>IF(B74="","",$C$37*(1+$C$13)^(-C74))</f>
        <v>0.775625242126444</v>
      </c>
      <c r="N74" s="117">
        <f>IF(B74="","",L74*M74)</f>
        <v>16242.233013203</v>
      </c>
      <c r="O74" s="117">
        <f>IF(B74="","",IF(B74="Básico",F74,0)-IF(A74=$C$38,$C$30,0))</f>
        <v>20940.8257120068</v>
      </c>
      <c r="P74" s="130">
        <f>IF(B74="",$C$31,D74)</f>
        <v>46758.0</v>
      </c>
      <c r="Q74" s="117">
        <f>IF(B74="",0,L74)</f>
        <v>20940.8257120068</v>
      </c>
      <c r="R74" s="117">
        <f>IF(B74="",0,-F74)</f>
        <v>-20940.8257120068</v>
      </c>
      <c r="S74" s="117">
        <f>IF(B74="","",O74*M74)</f>
        <v>16242.233013203</v>
      </c>
    </row>
    <row r="75">
      <c r="A75" s="53" t="n">
        <v>16</v>
      </c>
      <c r="B75" s="53" t="str">
        <f>IF(A75&gt;$C$38,"",IF(A75&lt;=$C$5,"Básico",IF($C$6&gt;0,"Sucesivo","Opción de compra")))</f>
        <v>Básico</v>
      </c>
      <c r="C75" s="53">
        <f>IF(B75="","",IF(B75="Opción de compra",$C$5,A75-$C$7))</f>
        <v>16</v>
      </c>
      <c r="D75" s="130">
        <f>IF(B75="","",EDATE($C$33,C75))</f>
        <v>46789.0</v>
      </c>
      <c r="E75" s="117">
        <f>IF(B75="","",I74)</f>
        <v>548433.166165311</v>
      </c>
      <c r="F75" s="117">
        <f>IF(B75="","",IF(B75="Básico",$C$24,IF(B75="Sucesivo",$C$25,$C$26)))</f>
        <v>20940.8257120068</v>
      </c>
      <c r="G75" s="117">
        <f>IF(B75="","",IF(B75="Opción de compra",0,(E75-$C$7*F75)*IF(B75="Sucesivo",$C$11,$C$9)))</f>
        <v>10557.3384486822</v>
      </c>
      <c r="H75" s="117">
        <f>IF(B75="","",F75-G75)</f>
        <v>10383.4872633246</v>
      </c>
      <c r="I75" s="117">
        <f>IF(B75="","",E75-H75)</f>
        <v>538049.678901986</v>
      </c>
      <c r="J75" s="117">
        <f>IF(B75="","",IF(OR(inp_Tipo="Arrendamiento Puro",par_BaseIVAFin="Sobre renta",B75="Opción de compra"),F75,G75)*$C$14)</f>
        <v>3350.53211392109</v>
      </c>
      <c r="K75" s="117">
        <f>IF(B75="","",F75+J75)</f>
        <v>24291.3578259279</v>
      </c>
      <c r="L75" s="117">
        <f>IF(B75="","",F75-IF(A75=$C$38,$C$30,0))</f>
        <v>20940.8257120068</v>
      </c>
      <c r="M75" s="131">
        <f>IF(B75="","",$C$37*(1+$C$13)^(-C75))</f>
        <v>0.762597534249678</v>
      </c>
      <c r="N75" s="117">
        <f>IF(B75="","",L75*M75)</f>
        <v>15969.4220531287</v>
      </c>
      <c r="O75" s="117">
        <f>IF(B75="","",IF(B75="Básico",F75,0)-IF(A75=$C$38,$C$30,0))</f>
        <v>20940.8257120068</v>
      </c>
      <c r="P75" s="130">
        <f>IF(B75="",$C$31,D75)</f>
        <v>46789.0</v>
      </c>
      <c r="Q75" s="117">
        <f>IF(B75="",0,L75)</f>
        <v>20940.8257120068</v>
      </c>
      <c r="R75" s="117">
        <f>IF(B75="",0,-F75)</f>
        <v>-20940.8257120068</v>
      </c>
      <c r="S75" s="117">
        <f>IF(B75="","",O75*M75)</f>
        <v>15969.4220531287</v>
      </c>
    </row>
    <row r="76">
      <c r="A76" s="53" t="n">
        <v>17</v>
      </c>
      <c r="B76" s="53" t="str">
        <f>IF(A76&gt;$C$38,"",IF(A76&lt;=$C$5,"Básico",IF($C$6&gt;0,"Sucesivo","Opción de compra")))</f>
        <v>Básico</v>
      </c>
      <c r="C76" s="53">
        <f>IF(B76="","",IF(B76="Opción de compra",$C$5,A76-$C$7))</f>
        <v>17</v>
      </c>
      <c r="D76" s="130">
        <f>IF(B76="","",EDATE($C$33,C76))</f>
        <v>46818.0</v>
      </c>
      <c r="E76" s="117">
        <f>IF(B76="","",I75)</f>
        <v>538049.678901986</v>
      </c>
      <c r="F76" s="117">
        <f>IF(B76="","",IF(B76="Básico",$C$24,IF(B76="Sucesivo",$C$25,$C$26)))</f>
        <v>20940.8257120068</v>
      </c>
      <c r="G76" s="117">
        <f>IF(B76="","",IF(B76="Opción de compra",0,(E76-$C$7*F76)*IF(B76="Sucesivo",$C$11,$C$9)))</f>
        <v>10357.4563188632</v>
      </c>
      <c r="H76" s="117">
        <f>IF(B76="","",F76-G76)</f>
        <v>10583.3693931436</v>
      </c>
      <c r="I76" s="117">
        <f>IF(B76="","",E76-H76)</f>
        <v>527466.309508843</v>
      </c>
      <c r="J76" s="117">
        <f>IF(B76="","",IF(OR(inp_Tipo="Arrendamiento Puro",par_BaseIVAFin="Sobre renta",B76="Opción de compra"),F76,G76)*$C$14)</f>
        <v>3350.53211392109</v>
      </c>
      <c r="K76" s="117">
        <f>IF(B76="","",F76+J76)</f>
        <v>24291.3578259279</v>
      </c>
      <c r="L76" s="117">
        <f>IF(B76="","",F76-IF(A76=$C$38,$C$30,0))</f>
        <v>20940.8257120068</v>
      </c>
      <c r="M76" s="131">
        <f>IF(B76="","",$C$37*(1+$C$13)^(-C76))</f>
        <v>0.749788644899315</v>
      </c>
      <c r="N76" s="117">
        <f>IF(B76="","",L76*M76)</f>
        <v>15701.1933336783</v>
      </c>
      <c r="O76" s="117">
        <f>IF(B76="","",IF(B76="Básico",F76,0)-IF(A76=$C$38,$C$30,0))</f>
        <v>20940.8257120068</v>
      </c>
      <c r="P76" s="130">
        <f>IF(B76="",$C$31,D76)</f>
        <v>46818.0</v>
      </c>
      <c r="Q76" s="117">
        <f>IF(B76="",0,L76)</f>
        <v>20940.8257120068</v>
      </c>
      <c r="R76" s="117">
        <f>IF(B76="",0,-F76)</f>
        <v>-20940.8257120068</v>
      </c>
      <c r="S76" s="117">
        <f>IF(B76="","",O76*M76)</f>
        <v>15701.1933336783</v>
      </c>
    </row>
    <row r="77">
      <c r="A77" s="53" t="n">
        <v>18</v>
      </c>
      <c r="B77" s="53" t="str">
        <f>IF(A77&gt;$C$38,"",IF(A77&lt;=$C$5,"Básico",IF($C$6&gt;0,"Sucesivo","Opción de compra")))</f>
        <v>Básico</v>
      </c>
      <c r="C77" s="53">
        <f>IF(B77="","",IF(B77="Opción de compra",$C$5,A77-$C$7))</f>
        <v>18</v>
      </c>
      <c r="D77" s="130">
        <f>IF(B77="","",EDATE($C$33,C77))</f>
        <v>46849.0</v>
      </c>
      <c r="E77" s="117">
        <f>IF(B77="","",I76)</f>
        <v>527466.309508843</v>
      </c>
      <c r="F77" s="117">
        <f>IF(B77="","",IF(B77="Básico",$C$24,IF(B77="Sucesivo",$C$25,$C$26)))</f>
        <v>20940.8257120068</v>
      </c>
      <c r="G77" s="117">
        <f>IF(B77="","",IF(B77="Opción de compra",0,(E77-$C$7*F77)*IF(B77="Sucesivo",$C$11,$C$9)))</f>
        <v>10153.7264580452</v>
      </c>
      <c r="H77" s="117">
        <f>IF(B77="","",F77-G77)</f>
        <v>10787.0992539616</v>
      </c>
      <c r="I77" s="117">
        <f>IF(B77="","",E77-H77)</f>
        <v>516679.210254881</v>
      </c>
      <c r="J77" s="117">
        <f>IF(B77="","",IF(OR(inp_Tipo="Arrendamiento Puro",par_BaseIVAFin="Sobre renta",B77="Opción de compra"),F77,G77)*$C$14)</f>
        <v>3350.53211392109</v>
      </c>
      <c r="K77" s="117">
        <f>IF(B77="","",F77+J77)</f>
        <v>24291.3578259279</v>
      </c>
      <c r="L77" s="117">
        <f>IF(B77="","",F77-IF(A77=$C$38,$C$30,0))</f>
        <v>20940.8257120068</v>
      </c>
      <c r="M77" s="131">
        <f>IF(B77="","",$C$37*(1+$C$13)^(-C77))</f>
        <v>0.737194898712968</v>
      </c>
      <c r="N77" s="117">
        <f>IF(B77="","",L77*M77)</f>
        <v>15437.4698897288</v>
      </c>
      <c r="O77" s="117">
        <f>IF(B77="","",IF(B77="Básico",F77,0)-IF(A77=$C$38,$C$30,0))</f>
        <v>20940.8257120068</v>
      </c>
      <c r="P77" s="130">
        <f>IF(B77="",$C$31,D77)</f>
        <v>46849.0</v>
      </c>
      <c r="Q77" s="117">
        <f>IF(B77="",0,L77)</f>
        <v>20940.8257120068</v>
      </c>
      <c r="R77" s="117">
        <f>IF(B77="",0,-F77)</f>
        <v>-20940.8257120068</v>
      </c>
      <c r="S77" s="117">
        <f>IF(B77="","",O77*M77)</f>
        <v>15437.4698897288</v>
      </c>
    </row>
    <row r="78">
      <c r="A78" s="53" t="n">
        <v>19</v>
      </c>
      <c r="B78" s="53" t="str">
        <f>IF(A78&gt;$C$38,"",IF(A78&lt;=$C$5,"Básico",IF($C$6&gt;0,"Sucesivo","Opción de compra")))</f>
        <v>Básico</v>
      </c>
      <c r="C78" s="53">
        <f>IF(B78="","",IF(B78="Opción de compra",$C$5,A78-$C$7))</f>
        <v>19</v>
      </c>
      <c r="D78" s="130">
        <f>IF(B78="","",EDATE($C$33,C78))</f>
        <v>46879.0</v>
      </c>
      <c r="E78" s="117">
        <f>IF(B78="","",I77)</f>
        <v>516679.210254881</v>
      </c>
      <c r="F78" s="117">
        <f>IF(B78="","",IF(B78="Básico",$C$24,IF(B78="Sucesivo",$C$25,$C$26)))</f>
        <v>20940.8257120068</v>
      </c>
      <c r="G78" s="117">
        <f>IF(B78="","",IF(B78="Opción de compra",0,(E78-$C$7*F78)*IF(B78="Sucesivo",$C$11,$C$9)))</f>
        <v>9946.07479740646</v>
      </c>
      <c r="H78" s="117">
        <f>IF(B78="","",F78-G78)</f>
        <v>10994.7509146004</v>
      </c>
      <c r="I78" s="117">
        <f>IF(B78="","",E78-H78)</f>
        <v>505684.459340281</v>
      </c>
      <c r="J78" s="117">
        <f>IF(B78="","",IF(OR(inp_Tipo="Arrendamiento Puro",par_BaseIVAFin="Sobre renta",B78="Opción de compra"),F78,G78)*$C$14)</f>
        <v>3350.53211392109</v>
      </c>
      <c r="K78" s="117">
        <f>IF(B78="","",F78+J78)</f>
        <v>24291.3578259279</v>
      </c>
      <c r="L78" s="117">
        <f>IF(B78="","",F78-IF(A78=$C$38,$C$30,0))</f>
        <v>20940.8257120068</v>
      </c>
      <c r="M78" s="131">
        <f>IF(B78="","",$C$37*(1+$C$13)^(-C78))</f>
        <v>0.724812682061091</v>
      </c>
      <c r="N78" s="117">
        <f>IF(B78="","",L78*M78)</f>
        <v>15178.1760488935</v>
      </c>
      <c r="O78" s="117">
        <f>IF(B78="","",IF(B78="Básico",F78,0)-IF(A78=$C$38,$C$30,0))</f>
        <v>20940.8257120068</v>
      </c>
      <c r="P78" s="130">
        <f>IF(B78="",$C$31,D78)</f>
        <v>46879.0</v>
      </c>
      <c r="Q78" s="117">
        <f>IF(B78="",0,L78)</f>
        <v>20940.8257120068</v>
      </c>
      <c r="R78" s="117">
        <f>IF(B78="",0,-F78)</f>
        <v>-20940.8257120068</v>
      </c>
      <c r="S78" s="117">
        <f>IF(B78="","",O78*M78)</f>
        <v>15178.1760488935</v>
      </c>
    </row>
    <row r="79">
      <c r="A79" s="53" t="n">
        <v>20</v>
      </c>
      <c r="B79" s="53" t="str">
        <f>IF(A79&gt;$C$38,"",IF(A79&lt;=$C$5,"Básico",IF($C$6&gt;0,"Sucesivo","Opción de compra")))</f>
        <v>Básico</v>
      </c>
      <c r="C79" s="53">
        <f>IF(B79="","",IF(B79="Opción de compra",$C$5,A79-$C$7))</f>
        <v>20</v>
      </c>
      <c r="D79" s="130">
        <f>IF(B79="","",EDATE($C$33,C79))</f>
        <v>46910.0</v>
      </c>
      <c r="E79" s="117">
        <f>IF(B79="","",I78)</f>
        <v>505684.459340281</v>
      </c>
      <c r="F79" s="117">
        <f>IF(B79="","",IF(B79="Básico",$C$24,IF(B79="Sucesivo",$C$25,$C$26)))</f>
        <v>20940.8257120068</v>
      </c>
      <c r="G79" s="117">
        <f>IF(B79="","",IF(B79="Opción de compra",0,(E79-$C$7*F79)*IF(B79="Sucesivo",$C$11,$C$9)))</f>
        <v>9734.4258423004</v>
      </c>
      <c r="H79" s="117">
        <f>IF(B79="","",F79-G79)</f>
        <v>11206.3998697064</v>
      </c>
      <c r="I79" s="117">
        <f>IF(B79="","",E79-H79)</f>
        <v>494478.059470574</v>
      </c>
      <c r="J79" s="117">
        <f>IF(B79="","",IF(OR(inp_Tipo="Arrendamiento Puro",par_BaseIVAFin="Sobre renta",B79="Opción de compra"),F79,G79)*$C$14)</f>
        <v>3350.53211392109</v>
      </c>
      <c r="K79" s="117">
        <f>IF(B79="","",F79+J79)</f>
        <v>24291.3578259279</v>
      </c>
      <c r="L79" s="117">
        <f>IF(B79="","",F79-IF(A79=$C$38,$C$30,0))</f>
        <v>20940.8257120068</v>
      </c>
      <c r="M79" s="131">
        <f>IF(B79="","",$C$37*(1+$C$13)^(-C79))</f>
        <v>0.712638442010086</v>
      </c>
      <c r="N79" s="117">
        <f>IF(B79="","",L79*M79)</f>
        <v>14923.2374098093</v>
      </c>
      <c r="O79" s="117">
        <f>IF(B79="","",IF(B79="Básico",F79,0)-IF(A79=$C$38,$C$30,0))</f>
        <v>20940.8257120068</v>
      </c>
      <c r="P79" s="130">
        <f>IF(B79="",$C$31,D79)</f>
        <v>46910.0</v>
      </c>
      <c r="Q79" s="117">
        <f>IF(B79="",0,L79)</f>
        <v>20940.8257120068</v>
      </c>
      <c r="R79" s="117">
        <f>IF(B79="",0,-F79)</f>
        <v>-20940.8257120068</v>
      </c>
      <c r="S79" s="117">
        <f>IF(B79="","",O79*M79)</f>
        <v>14923.2374098093</v>
      </c>
    </row>
    <row r="80">
      <c r="A80" s="53" t="n">
        <v>21</v>
      </c>
      <c r="B80" s="53" t="str">
        <f>IF(A80&gt;$C$38,"",IF(A80&lt;=$C$5,"Básico",IF($C$6&gt;0,"Sucesivo","Opción de compra")))</f>
        <v>Básico</v>
      </c>
      <c r="C80" s="53">
        <f>IF(B80="","",IF(B80="Opción de compra",$C$5,A80-$C$7))</f>
        <v>21</v>
      </c>
      <c r="D80" s="130">
        <f>IF(B80="","",EDATE($C$33,C80))</f>
        <v>46940.0</v>
      </c>
      <c r="E80" s="117">
        <f>IF(B80="","",I79)</f>
        <v>494478.059470574</v>
      </c>
      <c r="F80" s="117">
        <f>IF(B80="","",IF(B80="Básico",$C$24,IF(B80="Sucesivo",$C$25,$C$26)))</f>
        <v>20940.8257120068</v>
      </c>
      <c r="G80" s="117">
        <f>IF(B80="","",IF(B80="Opción de compra",0,(E80-$C$7*F80)*IF(B80="Sucesivo",$C$11,$C$9)))</f>
        <v>9518.70264480855</v>
      </c>
      <c r="H80" s="117">
        <f>IF(B80="","",F80-G80)</f>
        <v>11422.1230671983</v>
      </c>
      <c r="I80" s="117">
        <f>IF(B80="","",E80-H80)</f>
        <v>483055.936403376</v>
      </c>
      <c r="J80" s="117">
        <f>IF(B80="","",IF(OR(inp_Tipo="Arrendamiento Puro",par_BaseIVAFin="Sobre renta",B80="Opción de compra"),F80,G80)*$C$14)</f>
        <v>3350.53211392109</v>
      </c>
      <c r="K80" s="117">
        <f>IF(B80="","",F80+J80)</f>
        <v>24291.3578259279</v>
      </c>
      <c r="L80" s="117">
        <f>IF(B80="","",F80-IF(A80=$C$38,$C$30,0))</f>
        <v>20940.8257120068</v>
      </c>
      <c r="M80" s="131">
        <f>IF(B80="","",$C$37*(1+$C$13)^(-C80))</f>
        <v>0.700668685302829</v>
      </c>
      <c r="N80" s="117">
        <f>IF(B80="","",L80*M80)</f>
        <v>14672.5808207875</v>
      </c>
      <c r="O80" s="117">
        <f>IF(B80="","",IF(B80="Básico",F80,0)-IF(A80=$C$38,$C$30,0))</f>
        <v>20940.8257120068</v>
      </c>
      <c r="P80" s="130">
        <f>IF(B80="",$C$31,D80)</f>
        <v>46940.0</v>
      </c>
      <c r="Q80" s="117">
        <f>IF(B80="",0,L80)</f>
        <v>20940.8257120068</v>
      </c>
      <c r="R80" s="117">
        <f>IF(B80="",0,-F80)</f>
        <v>-20940.8257120068</v>
      </c>
      <c r="S80" s="117">
        <f>IF(B80="","",O80*M80)</f>
        <v>14672.5808207875</v>
      </c>
    </row>
    <row r="81">
      <c r="A81" s="53" t="n">
        <v>22</v>
      </c>
      <c r="B81" s="53" t="str">
        <f>IF(A81&gt;$C$38,"",IF(A81&lt;=$C$5,"Básico",IF($C$6&gt;0,"Sucesivo","Opción de compra")))</f>
        <v>Básico</v>
      </c>
      <c r="C81" s="53">
        <f>IF(B81="","",IF(B81="Opción de compra",$C$5,A81-$C$7))</f>
        <v>22</v>
      </c>
      <c r="D81" s="130">
        <f>IF(B81="","",EDATE($C$33,C81))</f>
        <v>46971.0</v>
      </c>
      <c r="E81" s="117">
        <f>IF(B81="","",I80)</f>
        <v>483055.936403376</v>
      </c>
      <c r="F81" s="117">
        <f>IF(B81="","",IF(B81="Básico",$C$24,IF(B81="Sucesivo",$C$25,$C$26)))</f>
        <v>20940.8257120068</v>
      </c>
      <c r="G81" s="117">
        <f>IF(B81="","",IF(B81="Opción de compra",0,(E81-$C$7*F81)*IF(B81="Sucesivo",$C$11,$C$9)))</f>
        <v>9298.82677576499</v>
      </c>
      <c r="H81" s="117">
        <f>IF(B81="","",F81-G81)</f>
        <v>11641.9989362418</v>
      </c>
      <c r="I81" s="117">
        <f>IF(B81="","",E81-H81)</f>
        <v>471413.937467134</v>
      </c>
      <c r="J81" s="117">
        <f>IF(B81="","",IF(OR(inp_Tipo="Arrendamiento Puro",par_BaseIVAFin="Sobre renta",B81="Opción de compra"),F81,G81)*$C$14)</f>
        <v>3350.53211392109</v>
      </c>
      <c r="K81" s="117">
        <f>IF(B81="","",F81+J81)</f>
        <v>24291.3578259279</v>
      </c>
      <c r="L81" s="117">
        <f>IF(B81="","",F81-IF(A81=$C$38,$C$30,0))</f>
        <v>20940.8257120068</v>
      </c>
      <c r="M81" s="131">
        <f>IF(B81="","",$C$37*(1+$C$13)^(-C81))</f>
        <v>0.688899977356325</v>
      </c>
      <c r="N81" s="117">
        <f>IF(B81="","",L81*M81)</f>
        <v>14426.1343588243</v>
      </c>
      <c r="O81" s="117">
        <f>IF(B81="","",IF(B81="Básico",F81,0)-IF(A81=$C$38,$C$30,0))</f>
        <v>20940.8257120068</v>
      </c>
      <c r="P81" s="130">
        <f>IF(B81="",$C$31,D81)</f>
        <v>46971.0</v>
      </c>
      <c r="Q81" s="117">
        <f>IF(B81="",0,L81)</f>
        <v>20940.8257120068</v>
      </c>
      <c r="R81" s="117">
        <f>IF(B81="",0,-F81)</f>
        <v>-20940.8257120068</v>
      </c>
      <c r="S81" s="117">
        <f>IF(B81="","",O81*M81)</f>
        <v>14426.1343588243</v>
      </c>
    </row>
    <row r="82">
      <c r="A82" s="53" t="n">
        <v>23</v>
      </c>
      <c r="B82" s="53" t="str">
        <f>IF(A82&gt;$C$38,"",IF(A82&lt;=$C$5,"Básico",IF($C$6&gt;0,"Sucesivo","Opción de compra")))</f>
        <v>Básico</v>
      </c>
      <c r="C82" s="53">
        <f>IF(B82="","",IF(B82="Opción de compra",$C$5,A82-$C$7))</f>
        <v>23</v>
      </c>
      <c r="D82" s="130">
        <f>IF(B82="","",EDATE($C$33,C82))</f>
        <v>47002.0</v>
      </c>
      <c r="E82" s="117">
        <f>IF(B82="","",I81)</f>
        <v>471413.937467134</v>
      </c>
      <c r="F82" s="117">
        <f>IF(B82="","",IF(B82="Básico",$C$24,IF(B82="Sucesivo",$C$25,$C$26)))</f>
        <v>20940.8257120068</v>
      </c>
      <c r="G82" s="117">
        <f>IF(B82="","",IF(B82="Opción de compra",0,(E82-$C$7*F82)*IF(B82="Sucesivo",$C$11,$C$9)))</f>
        <v>9074.71829624233</v>
      </c>
      <c r="H82" s="117">
        <f>IF(B82="","",F82-G82)</f>
        <v>11866.1074157645</v>
      </c>
      <c r="I82" s="117">
        <f>IF(B82="","",E82-H82)</f>
        <v>459547.83005137</v>
      </c>
      <c r="J82" s="117">
        <f>IF(B82="","",IF(OR(inp_Tipo="Arrendamiento Puro",par_BaseIVAFin="Sobre renta",B82="Opción de compra"),F82,G82)*$C$14)</f>
        <v>3350.53211392109</v>
      </c>
      <c r="K82" s="117">
        <f>IF(B82="","",F82+J82)</f>
        <v>24291.3578259279</v>
      </c>
      <c r="L82" s="117">
        <f>IF(B82="","",F82-IF(A82=$C$38,$C$30,0))</f>
        <v>20940.8257120068</v>
      </c>
      <c r="M82" s="131">
        <f>IF(B82="","",$C$37*(1+$C$13)^(-C82))</f>
        <v>0.67732894127619</v>
      </c>
      <c r="N82" s="117">
        <f>IF(B82="","",L82*M82)</f>
        <v>14183.8273089628</v>
      </c>
      <c r="O82" s="117">
        <f>IF(B82="","",IF(B82="Básico",F82,0)-IF(A82=$C$38,$C$30,0))</f>
        <v>20940.8257120068</v>
      </c>
      <c r="P82" s="130">
        <f>IF(B82="",$C$31,D82)</f>
        <v>47002.0</v>
      </c>
      <c r="Q82" s="117">
        <f>IF(B82="",0,L82)</f>
        <v>20940.8257120068</v>
      </c>
      <c r="R82" s="117">
        <f>IF(B82="",0,-F82)</f>
        <v>-20940.8257120068</v>
      </c>
      <c r="S82" s="117">
        <f>IF(B82="","",O82*M82)</f>
        <v>14183.8273089628</v>
      </c>
    </row>
    <row r="83">
      <c r="A83" s="53" t="n">
        <v>24</v>
      </c>
      <c r="B83" s="53" t="str">
        <f>IF(A83&gt;$C$38,"",IF(A83&lt;=$C$5,"Básico",IF($C$6&gt;0,"Sucesivo","Opción de compra")))</f>
        <v>Básico</v>
      </c>
      <c r="C83" s="53">
        <f>IF(B83="","",IF(B83="Opción de compra",$C$5,A83-$C$7))</f>
        <v>24</v>
      </c>
      <c r="D83" s="130">
        <f>IF(B83="","",EDATE($C$33,C83))</f>
        <v>47032.0</v>
      </c>
      <c r="E83" s="117">
        <f>IF(B83="","",I82)</f>
        <v>459547.83005137</v>
      </c>
      <c r="F83" s="117">
        <f>IF(B83="","",IF(B83="Básico",$C$24,IF(B83="Sucesivo",$C$25,$C$26)))</f>
        <v>20940.8257120068</v>
      </c>
      <c r="G83" s="117">
        <f>IF(B83="","",IF(B83="Opción de compra",0,(E83-$C$7*F83)*IF(B83="Sucesivo",$C$11,$C$9)))</f>
        <v>8846.29572848887</v>
      </c>
      <c r="H83" s="117">
        <f>IF(B83="","",F83-G83)</f>
        <v>12094.529983518</v>
      </c>
      <c r="I83" s="117">
        <f>IF(B83="","",E83-H83)</f>
        <v>447453.300067852</v>
      </c>
      <c r="J83" s="117">
        <f>IF(B83="","",IF(OR(inp_Tipo="Arrendamiento Puro",par_BaseIVAFin="Sobre renta",B83="Opción de compra"),F83,G83)*$C$14)</f>
        <v>3350.53211392109</v>
      </c>
      <c r="K83" s="117">
        <f>IF(B83="","",F83+J83)</f>
        <v>24291.3578259279</v>
      </c>
      <c r="L83" s="117">
        <f>IF(B83="","",F83-IF(A83=$C$38,$C$30,0))</f>
        <v>20940.8257120068</v>
      </c>
      <c r="M83" s="131">
        <f>IF(B83="","",$C$37*(1+$C$13)^(-C83))</f>
        <v>0.665952256887692</v>
      </c>
      <c r="N83" s="117">
        <f>IF(B83="","",L83*M83)</f>
        <v>13945.5901440028</v>
      </c>
      <c r="O83" s="117">
        <f>IF(B83="","",IF(B83="Básico",F83,0)-IF(A83=$C$38,$C$30,0))</f>
        <v>20940.8257120068</v>
      </c>
      <c r="P83" s="130">
        <f>IF(B83="",$C$31,D83)</f>
        <v>47032.0</v>
      </c>
      <c r="Q83" s="117">
        <f>IF(B83="",0,L83)</f>
        <v>20940.8257120068</v>
      </c>
      <c r="R83" s="117">
        <f>IF(B83="",0,-F83)</f>
        <v>-20940.8257120068</v>
      </c>
      <c r="S83" s="117">
        <f>IF(B83="","",O83*M83)</f>
        <v>13945.5901440028</v>
      </c>
    </row>
    <row r="84">
      <c r="A84" s="53" t="n">
        <v>25</v>
      </c>
      <c r="B84" s="53" t="str">
        <f>IF(A84&gt;$C$38,"",IF(A84&lt;=$C$5,"Básico",IF($C$6&gt;0,"Sucesivo","Opción de compra")))</f>
        <v>Básico</v>
      </c>
      <c r="C84" s="53">
        <f>IF(B84="","",IF(B84="Opción de compra",$C$5,A84-$C$7))</f>
        <v>25</v>
      </c>
      <c r="D84" s="130">
        <f>IF(B84="","",EDATE($C$33,C84))</f>
        <v>47063.0</v>
      </c>
      <c r="E84" s="117">
        <f>IF(B84="","",I83)</f>
        <v>447453.300067852</v>
      </c>
      <c r="F84" s="117">
        <f>IF(B84="","",IF(B84="Básico",$C$24,IF(B84="Sucesivo",$C$25,$C$26)))</f>
        <v>20940.8257120068</v>
      </c>
      <c r="G84" s="117">
        <f>IF(B84="","",IF(B84="Opción de compra",0,(E84-$C$7*F84)*IF(B84="Sucesivo",$C$11,$C$9)))</f>
        <v>8613.47602630615</v>
      </c>
      <c r="H84" s="117">
        <f>IF(B84="","",F84-G84)</f>
        <v>12327.3496857007</v>
      </c>
      <c r="I84" s="117">
        <f>IF(B84="","",E84-H84)</f>
        <v>435125.950382151</v>
      </c>
      <c r="J84" s="117">
        <f>IF(B84="","",IF(OR(inp_Tipo="Arrendamiento Puro",par_BaseIVAFin="Sobre renta",B84="Opción de compra"),F84,G84)*$C$14)</f>
        <v>3350.53211392109</v>
      </c>
      <c r="K84" s="117">
        <f>IF(B84="","",F84+J84)</f>
        <v>24291.3578259279</v>
      </c>
      <c r="L84" s="117">
        <f>IF(B84="","",F84-IF(A84=$C$38,$C$30,0))</f>
        <v>20940.8257120068</v>
      </c>
      <c r="M84" s="131">
        <f>IF(B84="","",$C$37*(1+$C$13)^(-C84))</f>
        <v>0.654766659783065</v>
      </c>
      <c r="N84" s="117">
        <f>IF(B84="","",L84*M84)</f>
        <v>13711.35450455</v>
      </c>
      <c r="O84" s="117">
        <f>IF(B84="","",IF(B84="Básico",F84,0)-IF(A84=$C$38,$C$30,0))</f>
        <v>20940.8257120068</v>
      </c>
      <c r="P84" s="130">
        <f>IF(B84="",$C$31,D84)</f>
        <v>47063.0</v>
      </c>
      <c r="Q84" s="117">
        <f>IF(B84="",0,L84)</f>
        <v>20940.8257120068</v>
      </c>
      <c r="R84" s="117">
        <f>IF(B84="",0,-F84)</f>
        <v>-20940.8257120068</v>
      </c>
      <c r="S84" s="117">
        <f>IF(B84="","",O84*M84)</f>
        <v>13711.35450455</v>
      </c>
    </row>
    <row r="85">
      <c r="A85" s="53" t="n">
        <v>26</v>
      </c>
      <c r="B85" s="53" t="str">
        <f>IF(A85&gt;$C$38,"",IF(A85&lt;=$C$5,"Básico",IF($C$6&gt;0,"Sucesivo","Opción de compra")))</f>
        <v>Básico</v>
      </c>
      <c r="C85" s="53">
        <f>IF(B85="","",IF(B85="Opción de compra",$C$5,A85-$C$7))</f>
        <v>26</v>
      </c>
      <c r="D85" s="130">
        <f>IF(B85="","",EDATE($C$33,C85))</f>
        <v>47093.0</v>
      </c>
      <c r="E85" s="117">
        <f>IF(B85="","",I84)</f>
        <v>435125.950382151</v>
      </c>
      <c r="F85" s="117">
        <f>IF(B85="","",IF(B85="Básico",$C$24,IF(B85="Sucesivo",$C$25,$C$26)))</f>
        <v>20940.8257120068</v>
      </c>
      <c r="G85" s="117">
        <f>IF(B85="","",IF(B85="Opción de compra",0,(E85-$C$7*F85)*IF(B85="Sucesivo",$C$11,$C$9)))</f>
        <v>8376.17454485641</v>
      </c>
      <c r="H85" s="117">
        <f>IF(B85="","",F85-G85)</f>
        <v>12564.6511671504</v>
      </c>
      <c r="I85" s="117">
        <f>IF(B85="","",E85-H85)</f>
        <v>422561.299215001</v>
      </c>
      <c r="J85" s="117">
        <f>IF(B85="","",IF(OR(inp_Tipo="Arrendamiento Puro",par_BaseIVAFin="Sobre renta",B85="Opción de compra"),F85,G85)*$C$14)</f>
        <v>3350.53211392109</v>
      </c>
      <c r="K85" s="117">
        <f>IF(B85="","",F85+J85)</f>
        <v>24291.3578259279</v>
      </c>
      <c r="L85" s="117">
        <f>IF(B85="","",F85-IF(A85=$C$38,$C$30,0))</f>
        <v>20940.8257120068</v>
      </c>
      <c r="M85" s="131">
        <f>IF(B85="","",$C$37*(1+$C$13)^(-C85))</f>
        <v>0.643768940384824</v>
      </c>
      <c r="N85" s="117">
        <f>IF(B85="","",L85*M85)</f>
        <v>13481.0531794019</v>
      </c>
      <c r="O85" s="117">
        <f>IF(B85="","",IF(B85="Básico",F85,0)-IF(A85=$C$38,$C$30,0))</f>
        <v>20940.8257120068</v>
      </c>
      <c r="P85" s="130">
        <f>IF(B85="",$C$31,D85)</f>
        <v>47093.0</v>
      </c>
      <c r="Q85" s="117">
        <f>IF(B85="",0,L85)</f>
        <v>20940.8257120068</v>
      </c>
      <c r="R85" s="117">
        <f>IF(B85="",0,-F85)</f>
        <v>-20940.8257120068</v>
      </c>
      <c r="S85" s="117">
        <f>IF(B85="","",O85*M85)</f>
        <v>13481.0531794019</v>
      </c>
    </row>
    <row r="86">
      <c r="A86" s="53" t="n">
        <v>27</v>
      </c>
      <c r="B86" s="53" t="str">
        <f>IF(A86&gt;$C$38,"",IF(A86&lt;=$C$5,"Básico",IF($C$6&gt;0,"Sucesivo","Opción de compra")))</f>
        <v>Básico</v>
      </c>
      <c r="C86" s="53">
        <f>IF(B86="","",IF(B86="Opción de compra",$C$5,A86-$C$7))</f>
        <v>27</v>
      </c>
      <c r="D86" s="130">
        <f>IF(B86="","",EDATE($C$33,C86))</f>
        <v>47124.0</v>
      </c>
      <c r="E86" s="117">
        <f>IF(B86="","",I85)</f>
        <v>422561.299215001</v>
      </c>
      <c r="F86" s="117">
        <f>IF(B86="","",IF(B86="Básico",$C$24,IF(B86="Sucesivo",$C$25,$C$26)))</f>
        <v>20940.8257120068</v>
      </c>
      <c r="G86" s="117">
        <f>IF(B86="","",IF(B86="Opción de compra",0,(E86-$C$7*F86)*IF(B86="Sucesivo",$C$11,$C$9)))</f>
        <v>8134.30500988876</v>
      </c>
      <c r="H86" s="117">
        <f>IF(B86="","",F86-G86)</f>
        <v>12806.5207021181</v>
      </c>
      <c r="I86" s="117">
        <f>IF(B86="","",E86-H86)</f>
        <v>409754.778512883</v>
      </c>
      <c r="J86" s="117">
        <f>IF(B86="","",IF(OR(inp_Tipo="Arrendamiento Puro",par_BaseIVAFin="Sobre renta",B86="Opción de compra"),F86,G86)*$C$14)</f>
        <v>3350.53211392109</v>
      </c>
      <c r="K86" s="117">
        <f>IF(B86="","",F86+J86)</f>
        <v>24291.3578259279</v>
      </c>
      <c r="L86" s="117">
        <f>IF(B86="","",F86-IF(A86=$C$38,$C$30,0))</f>
        <v>20940.8257120068</v>
      </c>
      <c r="M86" s="131">
        <f>IF(B86="","",$C$37*(1+$C$13)^(-C86))</f>
        <v>0.632955943024817</v>
      </c>
      <c r="N86" s="117">
        <f>IF(B86="","",L86*M86)</f>
        <v>13254.6200862616</v>
      </c>
      <c r="O86" s="117">
        <f>IF(B86="","",IF(B86="Básico",F86,0)-IF(A86=$C$38,$C$30,0))</f>
        <v>20940.8257120068</v>
      </c>
      <c r="P86" s="130">
        <f>IF(B86="",$C$31,D86)</f>
        <v>47124.0</v>
      </c>
      <c r="Q86" s="117">
        <f>IF(B86="",0,L86)</f>
        <v>20940.8257120068</v>
      </c>
      <c r="R86" s="117">
        <f>IF(B86="",0,-F86)</f>
        <v>-20940.8257120068</v>
      </c>
      <c r="S86" s="117">
        <f>IF(B86="","",O86*M86)</f>
        <v>13254.6200862616</v>
      </c>
    </row>
    <row r="87">
      <c r="A87" s="53" t="n">
        <v>28</v>
      </c>
      <c r="B87" s="53" t="str">
        <f>IF(A87&gt;$C$38,"",IF(A87&lt;=$C$5,"Básico",IF($C$6&gt;0,"Sucesivo","Opción de compra")))</f>
        <v>Básico</v>
      </c>
      <c r="C87" s="53">
        <f>IF(B87="","",IF(B87="Opción de compra",$C$5,A87-$C$7))</f>
        <v>28</v>
      </c>
      <c r="D87" s="130">
        <f>IF(B87="","",EDATE($C$33,C87))</f>
        <v>47155.0</v>
      </c>
      <c r="E87" s="117">
        <f>IF(B87="","",I86)</f>
        <v>409754.778512883</v>
      </c>
      <c r="F87" s="117">
        <f>IF(B87="","",IF(B87="Básico",$C$24,IF(B87="Sucesivo",$C$25,$C$26)))</f>
        <v>20940.8257120068</v>
      </c>
      <c r="G87" s="117">
        <f>IF(B87="","",IF(B87="Opción de compra",0,(E87-$C$7*F87)*IF(B87="Sucesivo",$C$11,$C$9)))</f>
        <v>7887.77948637299</v>
      </c>
      <c r="H87" s="117">
        <f>IF(B87="","",F87-G87)</f>
        <v>13053.0462256338</v>
      </c>
      <c r="I87" s="117">
        <f>IF(B87="","",E87-H87)</f>
        <v>396701.732287249</v>
      </c>
      <c r="J87" s="117">
        <f>IF(B87="","",IF(OR(inp_Tipo="Arrendamiento Puro",par_BaseIVAFin="Sobre renta",B87="Opción de compra"),F87,G87)*$C$14)</f>
        <v>3350.53211392109</v>
      </c>
      <c r="K87" s="117">
        <f>IF(B87="","",F87+J87)</f>
        <v>24291.3578259279</v>
      </c>
      <c r="L87" s="117">
        <f>IF(B87="","",F87-IF(A87=$C$38,$C$30,0))</f>
        <v>20940.8257120068</v>
      </c>
      <c r="M87" s="131">
        <f>IF(B87="","",$C$37*(1+$C$13)^(-C87))</f>
        <v>0.622324565038738</v>
      </c>
      <c r="N87" s="117">
        <f>IF(B87="","",L87*M87)</f>
        <v>13031.9902527767</v>
      </c>
      <c r="O87" s="117">
        <f>IF(B87="","",IF(B87="Básico",F87,0)-IF(A87=$C$38,$C$30,0))</f>
        <v>20940.8257120068</v>
      </c>
      <c r="P87" s="130">
        <f>IF(B87="",$C$31,D87)</f>
        <v>47155.0</v>
      </c>
      <c r="Q87" s="117">
        <f>IF(B87="",0,L87)</f>
        <v>20940.8257120068</v>
      </c>
      <c r="R87" s="117">
        <f>IF(B87="",0,-F87)</f>
        <v>-20940.8257120068</v>
      </c>
      <c r="S87" s="117">
        <f>IF(B87="","",O87*M87)</f>
        <v>13031.9902527767</v>
      </c>
    </row>
    <row r="88">
      <c r="A88" s="53" t="n">
        <v>29</v>
      </c>
      <c r="B88" s="53" t="str">
        <f>IF(A88&gt;$C$38,"",IF(A88&lt;=$C$5,"Básico",IF($C$6&gt;0,"Sucesivo","Opción de compra")))</f>
        <v>Básico</v>
      </c>
      <c r="C88" s="53">
        <f>IF(B88="","",IF(B88="Opción de compra",$C$5,A88-$C$7))</f>
        <v>29</v>
      </c>
      <c r="D88" s="130">
        <f>IF(B88="","",EDATE($C$33,C88))</f>
        <v>47183.0</v>
      </c>
      <c r="E88" s="117">
        <f>IF(B88="","",I87)</f>
        <v>396701.732287249</v>
      </c>
      <c r="F88" s="117">
        <f>IF(B88="","",IF(B88="Básico",$C$24,IF(B88="Sucesivo",$C$25,$C$26)))</f>
        <v>20940.8257120068</v>
      </c>
      <c r="G88" s="117">
        <f>IF(B88="","",IF(B88="Opción de compra",0,(E88-$C$7*F88)*IF(B88="Sucesivo",$C$11,$C$9)))</f>
        <v>7636.50834652954</v>
      </c>
      <c r="H88" s="117">
        <f>IF(B88="","",F88-G88)</f>
        <v>13304.3173654773</v>
      </c>
      <c r="I88" s="117">
        <f>IF(B88="","",E88-H88)</f>
        <v>383397.414921772</v>
      </c>
      <c r="J88" s="117">
        <f>IF(B88="","",IF(OR(inp_Tipo="Arrendamiento Puro",par_BaseIVAFin="Sobre renta",B88="Opción de compra"),F88,G88)*$C$14)</f>
        <v>3350.53211392109</v>
      </c>
      <c r="K88" s="117">
        <f>IF(B88="","",F88+J88)</f>
        <v>24291.3578259279</v>
      </c>
      <c r="L88" s="117">
        <f>IF(B88="","",F88-IF(A88=$C$38,$C$30,0))</f>
        <v>20940.8257120068</v>
      </c>
      <c r="M88" s="131">
        <f>IF(B88="","",$C$37*(1+$C$13)^(-C88))</f>
        <v>0.611871755875859</v>
      </c>
      <c r="N88" s="117">
        <f>IF(B88="","",L88*M88)</f>
        <v>12813.099797896</v>
      </c>
      <c r="O88" s="117">
        <f>IF(B88="","",IF(B88="Básico",F88,0)-IF(A88=$C$38,$C$30,0))</f>
        <v>20940.8257120068</v>
      </c>
      <c r="P88" s="130">
        <f>IF(B88="",$C$31,D88)</f>
        <v>47183.0</v>
      </c>
      <c r="Q88" s="117">
        <f>IF(B88="",0,L88)</f>
        <v>20940.8257120068</v>
      </c>
      <c r="R88" s="117">
        <f>IF(B88="",0,-F88)</f>
        <v>-20940.8257120068</v>
      </c>
      <c r="S88" s="117">
        <f>IF(B88="","",O88*M88)</f>
        <v>12813.099797896</v>
      </c>
    </row>
    <row r="89">
      <c r="A89" s="53" t="n">
        <v>30</v>
      </c>
      <c r="B89" s="53" t="str">
        <f>IF(A89&gt;$C$38,"",IF(A89&lt;=$C$5,"Básico",IF($C$6&gt;0,"Sucesivo","Opción de compra")))</f>
        <v>Básico</v>
      </c>
      <c r="C89" s="53">
        <f>IF(B89="","",IF(B89="Opción de compra",$C$5,A89-$C$7))</f>
        <v>30</v>
      </c>
      <c r="D89" s="130">
        <f>IF(B89="","",EDATE($C$33,C89))</f>
        <v>47214.0</v>
      </c>
      <c r="E89" s="117">
        <f>IF(B89="","",I88)</f>
        <v>383397.414921772</v>
      </c>
      <c r="F89" s="117">
        <f>IF(B89="","",IF(B89="Básico",$C$24,IF(B89="Sucesivo",$C$25,$C$26)))</f>
        <v>20940.8257120068</v>
      </c>
      <c r="G89" s="117">
        <f>IF(B89="","",IF(B89="Opción de compra",0,(E89-$C$7*F89)*IF(B89="Sucesivo",$C$11,$C$9)))</f>
        <v>7380.4002372441</v>
      </c>
      <c r="H89" s="117">
        <f>IF(B89="","",F89-G89)</f>
        <v>13560.4254747627</v>
      </c>
      <c r="I89" s="117">
        <f>IF(B89="","",E89-H89)</f>
        <v>369836.989447009</v>
      </c>
      <c r="J89" s="117">
        <f>IF(B89="","",IF(OR(inp_Tipo="Arrendamiento Puro",par_BaseIVAFin="Sobre renta",B89="Opción de compra"),F89,G89)*$C$14)</f>
        <v>3350.53211392109</v>
      </c>
      <c r="K89" s="117">
        <f>IF(B89="","",F89+J89)</f>
        <v>24291.3578259279</v>
      </c>
      <c r="L89" s="117">
        <f>IF(B89="","",F89-IF(A89=$C$38,$C$30,0))</f>
        <v>20940.8257120068</v>
      </c>
      <c r="M89" s="131">
        <f>IF(B89="","",$C$37*(1+$C$13)^(-C89))</f>
        <v>0.601594516223704</v>
      </c>
      <c r="N89" s="117">
        <f>IF(B89="","",L89*M89)</f>
        <v>12597.8859135397</v>
      </c>
      <c r="O89" s="117">
        <f>IF(B89="","",IF(B89="Básico",F89,0)-IF(A89=$C$38,$C$30,0))</f>
        <v>20940.8257120068</v>
      </c>
      <c r="P89" s="130">
        <f>IF(B89="",$C$31,D89)</f>
        <v>47214.0</v>
      </c>
      <c r="Q89" s="117">
        <f>IF(B89="",0,L89)</f>
        <v>20940.8257120068</v>
      </c>
      <c r="R89" s="117">
        <f>IF(B89="",0,-F89)</f>
        <v>-20940.8257120068</v>
      </c>
      <c r="S89" s="117">
        <f>IF(B89="","",O89*M89)</f>
        <v>12597.8859135397</v>
      </c>
    </row>
    <row r="90">
      <c r="A90" s="53" t="n">
        <v>31</v>
      </c>
      <c r="B90" s="53" t="str">
        <f>IF(A90&gt;$C$38,"",IF(A90&lt;=$C$5,"Básico",IF($C$6&gt;0,"Sucesivo","Opción de compra")))</f>
        <v>Básico</v>
      </c>
      <c r="C90" s="53">
        <f>IF(B90="","",IF(B90="Opción de compra",$C$5,A90-$C$7))</f>
        <v>31</v>
      </c>
      <c r="D90" s="130">
        <f>IF(B90="","",EDATE($C$33,C90))</f>
        <v>47244.0</v>
      </c>
      <c r="E90" s="117">
        <f>IF(B90="","",I89)</f>
        <v>369836.989447009</v>
      </c>
      <c r="F90" s="117">
        <f>IF(B90="","",IF(B90="Básico",$C$24,IF(B90="Sucesivo",$C$25,$C$26)))</f>
        <v>20940.8257120068</v>
      </c>
      <c r="G90" s="117">
        <f>IF(B90="","",IF(B90="Opción de compra",0,(E90-$C$7*F90)*IF(B90="Sucesivo",$C$11,$C$9)))</f>
        <v>7119.36204685492</v>
      </c>
      <c r="H90" s="117">
        <f>IF(B90="","",F90-G90)</f>
        <v>13821.4636651519</v>
      </c>
      <c r="I90" s="117">
        <f>IF(B90="","",E90-H90)</f>
        <v>356015.525781857</v>
      </c>
      <c r="J90" s="117">
        <f>IF(B90="","",IF(OR(inp_Tipo="Arrendamiento Puro",par_BaseIVAFin="Sobre renta",B90="Opción de compra"),F90,G90)*$C$14)</f>
        <v>3350.53211392109</v>
      </c>
      <c r="K90" s="117">
        <f>IF(B90="","",F90+J90)</f>
        <v>24291.3578259279</v>
      </c>
      <c r="L90" s="117">
        <f>IF(B90="","",F90-IF(A90=$C$38,$C$30,0))</f>
        <v>20940.8257120068</v>
      </c>
      <c r="M90" s="131">
        <f>IF(B90="","",$C$37*(1+$C$13)^(-C90))</f>
        <v>0.591489897147435</v>
      </c>
      <c r="N90" s="117">
        <f>IF(B90="","",L90*M90)</f>
        <v>12386.2868465773</v>
      </c>
      <c r="O90" s="117">
        <f>IF(B90="","",IF(B90="Básico",F90,0)-IF(A90=$C$38,$C$30,0))</f>
        <v>20940.8257120068</v>
      </c>
      <c r="P90" s="130">
        <f>IF(B90="",$C$31,D90)</f>
        <v>47244.0</v>
      </c>
      <c r="Q90" s="117">
        <f>IF(B90="",0,L90)</f>
        <v>20940.8257120068</v>
      </c>
      <c r="R90" s="117">
        <f>IF(B90="",0,-F90)</f>
        <v>-20940.8257120068</v>
      </c>
      <c r="S90" s="117">
        <f>IF(B90="","",O90*M90)</f>
        <v>12386.2868465773</v>
      </c>
    </row>
    <row r="91">
      <c r="A91" s="53" t="n">
        <v>32</v>
      </c>
      <c r="B91" s="53" t="str">
        <f>IF(A91&gt;$C$38,"",IF(A91&lt;=$C$5,"Básico",IF($C$6&gt;0,"Sucesivo","Opción de compra")))</f>
        <v>Básico</v>
      </c>
      <c r="C91" s="53">
        <f>IF(B91="","",IF(B91="Opción de compra",$C$5,A91-$C$7))</f>
        <v>32</v>
      </c>
      <c r="D91" s="130">
        <f>IF(B91="","",EDATE($C$33,C91))</f>
        <v>47275.0</v>
      </c>
      <c r="E91" s="117">
        <f>IF(B91="","",I90)</f>
        <v>356015.525781857</v>
      </c>
      <c r="F91" s="117">
        <f>IF(B91="","",IF(B91="Básico",$C$24,IF(B91="Sucesivo",$C$25,$C$26)))</f>
        <v>20940.8257120068</v>
      </c>
      <c r="G91" s="117">
        <f>IF(B91="","",IF(B91="Opción de compra",0,(E91-$C$7*F91)*IF(B91="Sucesivo",$C$11,$C$9)))</f>
        <v>6853.29887130074</v>
      </c>
      <c r="H91" s="117">
        <f>IF(B91="","",F91-G91)</f>
        <v>14087.5268407061</v>
      </c>
      <c r="I91" s="117">
        <f>IF(B91="","",E91-H91)</f>
        <v>341927.998941151</v>
      </c>
      <c r="J91" s="117">
        <f>IF(B91="","",IF(OR(inp_Tipo="Arrendamiento Puro",par_BaseIVAFin="Sobre renta",B91="Opción de compra"),F91,G91)*$C$14)</f>
        <v>3350.53211392109</v>
      </c>
      <c r="K91" s="117">
        <f>IF(B91="","",F91+J91)</f>
        <v>24291.3578259279</v>
      </c>
      <c r="L91" s="117">
        <f>IF(B91="","",F91-IF(A91=$C$38,$C$30,0))</f>
        <v>20940.8257120068</v>
      </c>
      <c r="M91" s="131">
        <f>IF(B91="","",$C$37*(1+$C$13)^(-C91))</f>
        <v>0.581554999243689</v>
      </c>
      <c r="N91" s="117">
        <f>IF(B91="","",L91*M91)</f>
        <v>12178.2418811084</v>
      </c>
      <c r="O91" s="117">
        <f>IF(B91="","",IF(B91="Básico",F91,0)-IF(A91=$C$38,$C$30,0))</f>
        <v>20940.8257120068</v>
      </c>
      <c r="P91" s="130">
        <f>IF(B91="",$C$31,D91)</f>
        <v>47275.0</v>
      </c>
      <c r="Q91" s="117">
        <f>IF(B91="",0,L91)</f>
        <v>20940.8257120068</v>
      </c>
      <c r="R91" s="117">
        <f>IF(B91="",0,-F91)</f>
        <v>-20940.8257120068</v>
      </c>
      <c r="S91" s="117">
        <f>IF(B91="","",O91*M91)</f>
        <v>12178.2418811084</v>
      </c>
    </row>
    <row r="92">
      <c r="A92" s="53" t="n">
        <v>33</v>
      </c>
      <c r="B92" s="53" t="str">
        <f>IF(A92&gt;$C$38,"",IF(A92&lt;=$C$5,"Básico",IF($C$6&gt;0,"Sucesivo","Opción de compra")))</f>
        <v>Básico</v>
      </c>
      <c r="C92" s="53">
        <f>IF(B92="","",IF(B92="Opción de compra",$C$5,A92-$C$7))</f>
        <v>33</v>
      </c>
      <c r="D92" s="130">
        <f>IF(B92="","",EDATE($C$33,C92))</f>
        <v>47305.0</v>
      </c>
      <c r="E92" s="117">
        <f>IF(B92="","",I91)</f>
        <v>341927.998941151</v>
      </c>
      <c r="F92" s="117">
        <f>IF(B92="","",IF(B92="Básico",$C$24,IF(B92="Sucesivo",$C$25,$C$26)))</f>
        <v>20940.8257120068</v>
      </c>
      <c r="G92" s="117">
        <f>IF(B92="","",IF(B92="Opción de compra",0,(E92-$C$7*F92)*IF(B92="Sucesivo",$C$11,$C$9)))</f>
        <v>6582.11397961715</v>
      </c>
      <c r="H92" s="117">
        <f>IF(B92="","",F92-G92)</f>
        <v>14358.7117323897</v>
      </c>
      <c r="I92" s="117">
        <f>IF(B92="","",E92-H92)</f>
        <v>327569.287208761</v>
      </c>
      <c r="J92" s="117">
        <f>IF(B92="","",IF(OR(inp_Tipo="Arrendamiento Puro",par_BaseIVAFin="Sobre renta",B92="Opción de compra"),F92,G92)*$C$14)</f>
        <v>3350.53211392109</v>
      </c>
      <c r="K92" s="117">
        <f>IF(B92="","",F92+J92)</f>
        <v>24291.3578259279</v>
      </c>
      <c r="L92" s="117">
        <f>IF(B92="","",F92-IF(A92=$C$38,$C$30,0))</f>
        <v>20940.8257120068</v>
      </c>
      <c r="M92" s="131">
        <f>IF(B92="","",$C$37*(1+$C$13)^(-C92))</f>
        <v>0.571786971808625</v>
      </c>
      <c r="N92" s="117">
        <f>IF(B92="","",L92*M92)</f>
        <v>11973.6913210406</v>
      </c>
      <c r="O92" s="117">
        <f>IF(B92="","",IF(B92="Básico",F92,0)-IF(A92=$C$38,$C$30,0))</f>
        <v>20940.8257120068</v>
      </c>
      <c r="P92" s="130">
        <f>IF(B92="",$C$31,D92)</f>
        <v>47305.0</v>
      </c>
      <c r="Q92" s="117">
        <f>IF(B92="",0,L92)</f>
        <v>20940.8257120068</v>
      </c>
      <c r="R92" s="117">
        <f>IF(B92="",0,-F92)</f>
        <v>-20940.8257120068</v>
      </c>
      <c r="S92" s="117">
        <f>IF(B92="","",O92*M92)</f>
        <v>11973.6913210406</v>
      </c>
    </row>
    <row r="93">
      <c r="A93" s="53" t="n">
        <v>34</v>
      </c>
      <c r="B93" s="53" t="str">
        <f>IF(A93&gt;$C$38,"",IF(A93&lt;=$C$5,"Básico",IF($C$6&gt;0,"Sucesivo","Opción de compra")))</f>
        <v>Básico</v>
      </c>
      <c r="C93" s="53">
        <f>IF(B93="","",IF(B93="Opción de compra",$C$5,A93-$C$7))</f>
        <v>34</v>
      </c>
      <c r="D93" s="130">
        <f>IF(B93="","",EDATE($C$33,C93))</f>
        <v>47336.0</v>
      </c>
      <c r="E93" s="117">
        <f>IF(B93="","",I92)</f>
        <v>327569.287208761</v>
      </c>
      <c r="F93" s="117">
        <f>IF(B93="","",IF(B93="Básico",$C$24,IF(B93="Sucesivo",$C$25,$C$26)))</f>
        <v>20940.8257120068</v>
      </c>
      <c r="G93" s="117">
        <f>IF(B93="","",IF(B93="Opción de compra",0,(E93-$C$7*F93)*IF(B93="Sucesivo",$C$11,$C$9)))</f>
        <v>6305.70877876865</v>
      </c>
      <c r="H93" s="117">
        <f>IF(B93="","",F93-G93)</f>
        <v>14635.1169332382</v>
      </c>
      <c r="I93" s="117">
        <f>IF(B93="","",E93-H93)</f>
        <v>312934.170275523</v>
      </c>
      <c r="J93" s="117">
        <f>IF(B93="","",IF(OR(inp_Tipo="Arrendamiento Puro",par_BaseIVAFin="Sobre renta",B93="Opción de compra"),F93,G93)*$C$14)</f>
        <v>3350.53211392109</v>
      </c>
      <c r="K93" s="117">
        <f>IF(B93="","",F93+J93)</f>
        <v>24291.3578259279</v>
      </c>
      <c r="L93" s="117">
        <f>IF(B93="","",F93-IF(A93=$C$38,$C$30,0))</f>
        <v>20940.8257120068</v>
      </c>
      <c r="M93" s="131">
        <f>IF(B93="","",$C$37*(1+$C$13)^(-C93))</f>
        <v>0.562183012019951</v>
      </c>
      <c r="N93" s="117">
        <f>IF(B93="","",L93*M93)</f>
        <v>11772.5764729608</v>
      </c>
      <c r="O93" s="117">
        <f>IF(B93="","",IF(B93="Básico",F93,0)-IF(A93=$C$38,$C$30,0))</f>
        <v>20940.8257120068</v>
      </c>
      <c r="P93" s="130">
        <f>IF(B93="",$C$31,D93)</f>
        <v>47336.0</v>
      </c>
      <c r="Q93" s="117">
        <f>IF(B93="",0,L93)</f>
        <v>20940.8257120068</v>
      </c>
      <c r="R93" s="117">
        <f>IF(B93="",0,-F93)</f>
        <v>-20940.8257120068</v>
      </c>
      <c r="S93" s="117">
        <f>IF(B93="","",O93*M93)</f>
        <v>11772.5764729608</v>
      </c>
    </row>
    <row r="94">
      <c r="A94" s="53" t="n">
        <v>35</v>
      </c>
      <c r="B94" s="53" t="str">
        <f>IF(A94&gt;$C$38,"",IF(A94&lt;=$C$5,"Básico",IF($C$6&gt;0,"Sucesivo","Opción de compra")))</f>
        <v>Básico</v>
      </c>
      <c r="C94" s="53">
        <f>IF(B94="","",IF(B94="Opción de compra",$C$5,A94-$C$7))</f>
        <v>35</v>
      </c>
      <c r="D94" s="130">
        <f>IF(B94="","",EDATE($C$33,C94))</f>
        <v>47367.0</v>
      </c>
      <c r="E94" s="117">
        <f>IF(B94="","",I93)</f>
        <v>312934.170275523</v>
      </c>
      <c r="F94" s="117">
        <f>IF(B94="","",IF(B94="Básico",$C$24,IF(B94="Sucesivo",$C$25,$C$26)))</f>
        <v>20940.8257120068</v>
      </c>
      <c r="G94" s="117">
        <f>IF(B94="","",IF(B94="Opción de compra",0,(E94-$C$7*F94)*IF(B94="Sucesivo",$C$11,$C$9)))</f>
        <v>6023.98277780382</v>
      </c>
      <c r="H94" s="117">
        <f>IF(B94="","",F94-G94)</f>
        <v>14916.842934203</v>
      </c>
      <c r="I94" s="117">
        <f>IF(B94="","",E94-H94)</f>
        <v>298017.32734132</v>
      </c>
      <c r="J94" s="117">
        <f>IF(B94="","",IF(OR(inp_Tipo="Arrendamiento Puro",par_BaseIVAFin="Sobre renta",B94="Opción de compra"),F94,G94)*$C$14)</f>
        <v>3350.53211392109</v>
      </c>
      <c r="K94" s="117">
        <f>IF(B94="","",F94+J94)</f>
        <v>24291.3578259279</v>
      </c>
      <c r="L94" s="117">
        <f>IF(B94="","",F94-IF(A94=$C$38,$C$30,0))</f>
        <v>20940.8257120068</v>
      </c>
      <c r="M94" s="131">
        <f>IF(B94="","",$C$37*(1+$C$13)^(-C94))</f>
        <v>0.552740364132684</v>
      </c>
      <c r="N94" s="117">
        <f>IF(B94="","",L94*M94)</f>
        <v>11574.8396292937</v>
      </c>
      <c r="O94" s="117">
        <f>IF(B94="","",IF(B94="Básico",F94,0)-IF(A94=$C$38,$C$30,0))</f>
        <v>20940.8257120068</v>
      </c>
      <c r="P94" s="130">
        <f>IF(B94="",$C$31,D94)</f>
        <v>47367.0</v>
      </c>
      <c r="Q94" s="117">
        <f>IF(B94="",0,L94)</f>
        <v>20940.8257120068</v>
      </c>
      <c r="R94" s="117">
        <f>IF(B94="",0,-F94)</f>
        <v>-20940.8257120068</v>
      </c>
      <c r="S94" s="117">
        <f>IF(B94="","",O94*M94)</f>
        <v>11574.8396292937</v>
      </c>
    </row>
    <row r="95">
      <c r="A95" s="53" t="n">
        <v>36</v>
      </c>
      <c r="B95" s="53" t="str">
        <f>IF(A95&gt;$C$38,"",IF(A95&lt;=$C$5,"Básico",IF($C$6&gt;0,"Sucesivo","Opción de compra")))</f>
        <v>Básico</v>
      </c>
      <c r="C95" s="53">
        <f>IF(B95="","",IF(B95="Opción de compra",$C$5,A95-$C$7))</f>
        <v>36</v>
      </c>
      <c r="D95" s="130">
        <f>IF(B95="","",EDATE($C$33,C95))</f>
        <v>47397.0</v>
      </c>
      <c r="E95" s="117">
        <f>IF(B95="","",I94)</f>
        <v>298017.32734132</v>
      </c>
      <c r="F95" s="117">
        <f>IF(B95="","",IF(B95="Básico",$C$24,IF(B95="Sucesivo",$C$25,$C$26)))</f>
        <v>20940.8257120068</v>
      </c>
      <c r="G95" s="117">
        <f>IF(B95="","",IF(B95="Opción de compra",0,(E95-$C$7*F95)*IF(B95="Sucesivo",$C$11,$C$9)))</f>
        <v>5736.83355132041</v>
      </c>
      <c r="H95" s="117">
        <f>IF(B95="","",F95-G95)</f>
        <v>15203.9921606864</v>
      </c>
      <c r="I95" s="117">
        <f>IF(B95="","",E95-H95)</f>
        <v>282813.335180633</v>
      </c>
      <c r="J95" s="117">
        <f>IF(B95="","",IF(OR(inp_Tipo="Arrendamiento Puro",par_BaseIVAFin="Sobre renta",B95="Opción de compra"),F95,G95)*$C$14)</f>
        <v>3350.53211392109</v>
      </c>
      <c r="K95" s="117">
        <f>IF(B95="","",F95+J95)</f>
        <v>24291.3578259279</v>
      </c>
      <c r="L95" s="117">
        <f>IF(B95="","",F95-IF(A95=$C$38,$C$30,0))</f>
        <v>20940.8257120068</v>
      </c>
      <c r="M95" s="131">
        <f>IF(B95="","",$C$37*(1+$C$13)^(-C95))</f>
        <v>0.543456318688424</v>
      </c>
      <c r="N95" s="117">
        <f>IF(B95="","",L95*M95)</f>
        <v>11380.4240517431</v>
      </c>
      <c r="O95" s="117">
        <f>IF(B95="","",IF(B95="Básico",F95,0)-IF(A95=$C$38,$C$30,0))</f>
        <v>20940.8257120068</v>
      </c>
      <c r="P95" s="130">
        <f>IF(B95="",$C$31,D95)</f>
        <v>47397.0</v>
      </c>
      <c r="Q95" s="117">
        <f>IF(B95="",0,L95)</f>
        <v>20940.8257120068</v>
      </c>
      <c r="R95" s="117">
        <f>IF(B95="",0,-F95)</f>
        <v>-20940.8257120068</v>
      </c>
      <c r="S95" s="117">
        <f>IF(B95="","",O95*M95)</f>
        <v>11380.4240517431</v>
      </c>
    </row>
    <row r="96">
      <c r="A96" s="53" t="n">
        <v>37</v>
      </c>
      <c r="B96" s="53" t="str">
        <f>IF(A96&gt;$C$38,"",IF(A96&lt;=$C$5,"Básico",IF($C$6&gt;0,"Sucesivo","Opción de compra")))</f>
        <v>Básico</v>
      </c>
      <c r="C96" s="53">
        <f>IF(B96="","",IF(B96="Opción de compra",$C$5,A96-$C$7))</f>
        <v>37</v>
      </c>
      <c r="D96" s="130">
        <f>IF(B96="","",EDATE($C$33,C96))</f>
        <v>47428.0</v>
      </c>
      <c r="E96" s="117">
        <f>IF(B96="","",I95)</f>
        <v>282813.335180633</v>
      </c>
      <c r="F96" s="117">
        <f>IF(B96="","",IF(B96="Básico",$C$24,IF(B96="Sucesivo",$C$25,$C$26)))</f>
        <v>20940.8257120068</v>
      </c>
      <c r="G96" s="117">
        <f>IF(B96="","",IF(B96="Opción de compra",0,(E96-$C$7*F96)*IF(B96="Sucesivo",$C$11,$C$9)))</f>
        <v>5444.15670222719</v>
      </c>
      <c r="H96" s="117">
        <f>IF(B96="","",F96-G96)</f>
        <v>15496.6690097796</v>
      </c>
      <c r="I96" s="117">
        <f>IF(B96="","",E96-H96)</f>
        <v>267316.666170854</v>
      </c>
      <c r="J96" s="117">
        <f>IF(B96="","",IF(OR(inp_Tipo="Arrendamiento Puro",par_BaseIVAFin="Sobre renta",B96="Opción de compra"),F96,G96)*$C$14)</f>
        <v>3350.53211392109</v>
      </c>
      <c r="K96" s="117">
        <f>IF(B96="","",F96+J96)</f>
        <v>24291.3578259279</v>
      </c>
      <c r="L96" s="117">
        <f>IF(B96="","",F96-IF(A96=$C$38,$C$30,0))</f>
        <v>20940.8257120068</v>
      </c>
      <c r="M96" s="131">
        <f>IF(B96="","",$C$37*(1+$C$13)^(-C96))</f>
        <v>0.534328211737901</v>
      </c>
      <c r="N96" s="117">
        <f>IF(B96="","",L96*M96)</f>
        <v>11189.2739550117</v>
      </c>
      <c r="O96" s="117">
        <f>IF(B96="","",IF(B96="Básico",F96,0)-IF(A96=$C$38,$C$30,0))</f>
        <v>20940.8257120068</v>
      </c>
      <c r="P96" s="130">
        <f>IF(B96="",$C$31,D96)</f>
        <v>47428.0</v>
      </c>
      <c r="Q96" s="117">
        <f>IF(B96="",0,L96)</f>
        <v>20940.8257120068</v>
      </c>
      <c r="R96" s="117">
        <f>IF(B96="",0,-F96)</f>
        <v>-20940.8257120068</v>
      </c>
      <c r="S96" s="117">
        <f>IF(B96="","",O96*M96)</f>
        <v>11189.2739550117</v>
      </c>
    </row>
    <row r="97">
      <c r="A97" s="53" t="n">
        <v>38</v>
      </c>
      <c r="B97" s="53" t="str">
        <f>IF(A97&gt;$C$38,"",IF(A97&lt;=$C$5,"Básico",IF($C$6&gt;0,"Sucesivo","Opción de compra")))</f>
        <v>Básico</v>
      </c>
      <c r="C97" s="53">
        <f>IF(B97="","",IF(B97="Opción de compra",$C$5,A97-$C$7))</f>
        <v>38</v>
      </c>
      <c r="D97" s="130">
        <f>IF(B97="","",EDATE($C$33,C97))</f>
        <v>47458.0</v>
      </c>
      <c r="E97" s="117">
        <f>IF(B97="","",I96)</f>
        <v>267316.666170854</v>
      </c>
      <c r="F97" s="117">
        <f>IF(B97="","",IF(B97="Básico",$C$24,IF(B97="Sucesivo",$C$25,$C$26)))</f>
        <v>20940.8257120068</v>
      </c>
      <c r="G97" s="117">
        <f>IF(B97="","",IF(B97="Opción de compra",0,(E97-$C$7*F97)*IF(B97="Sucesivo",$C$11,$C$9)))</f>
        <v>5145.84582378894</v>
      </c>
      <c r="H97" s="117">
        <f>IF(B97="","",F97-G97)</f>
        <v>15794.9798882179</v>
      </c>
      <c r="I97" s="117">
        <f>IF(B97="","",E97-H97)</f>
        <v>251521.686282636</v>
      </c>
      <c r="J97" s="117">
        <f>IF(B97="","",IF(OR(inp_Tipo="Arrendamiento Puro",par_BaseIVAFin="Sobre renta",B97="Opción de compra"),F97,G97)*$C$14)</f>
        <v>3350.53211392109</v>
      </c>
      <c r="K97" s="117">
        <f>IF(B97="","",F97+J97)</f>
        <v>24291.3578259279</v>
      </c>
      <c r="L97" s="117">
        <f>IF(B97="","",F97-IF(A97=$C$38,$C$30,0))</f>
        <v>20940.8257120068</v>
      </c>
      <c r="M97" s="131">
        <f>IF(B97="","",$C$37*(1+$C$13)^(-C97))</f>
        <v>0.525353424076593</v>
      </c>
      <c r="N97" s="117">
        <f>IF(B97="","",L97*M97)</f>
        <v>11001.3344907939</v>
      </c>
      <c r="O97" s="117">
        <f>IF(B97="","",IF(B97="Básico",F97,0)-IF(A97=$C$38,$C$30,0))</f>
        <v>20940.8257120068</v>
      </c>
      <c r="P97" s="130">
        <f>IF(B97="",$C$31,D97)</f>
        <v>47458.0</v>
      </c>
      <c r="Q97" s="117">
        <f>IF(B97="",0,L97)</f>
        <v>20940.8257120068</v>
      </c>
      <c r="R97" s="117">
        <f>IF(B97="",0,-F97)</f>
        <v>-20940.8257120068</v>
      </c>
      <c r="S97" s="117">
        <f>IF(B97="","",O97*M97)</f>
        <v>11001.3344907939</v>
      </c>
    </row>
    <row r="98">
      <c r="A98" s="53" t="n">
        <v>39</v>
      </c>
      <c r="B98" s="53" t="str">
        <f>IF(A98&gt;$C$38,"",IF(A98&lt;=$C$5,"Básico",IF($C$6&gt;0,"Sucesivo","Opción de compra")))</f>
        <v>Básico</v>
      </c>
      <c r="C98" s="53">
        <f>IF(B98="","",IF(B98="Opción de compra",$C$5,A98-$C$7))</f>
        <v>39</v>
      </c>
      <c r="D98" s="130">
        <f>IF(B98="","",EDATE($C$33,C98))</f>
        <v>47489.0</v>
      </c>
      <c r="E98" s="117">
        <f>IF(B98="","",I97)</f>
        <v>251521.686282636</v>
      </c>
      <c r="F98" s="117">
        <f>IF(B98="","",IF(B98="Básico",$C$24,IF(B98="Sucesivo",$C$25,$C$26)))</f>
        <v>20940.8257120068</v>
      </c>
      <c r="G98" s="117">
        <f>IF(B98="","",IF(B98="Opción de compra",0,(E98-$C$7*F98)*IF(B98="Sucesivo",$C$11,$C$9)))</f>
        <v>4841.79246094074</v>
      </c>
      <c r="H98" s="117">
        <f>IF(B98="","",F98-G98)</f>
        <v>16099.0332510661</v>
      </c>
      <c r="I98" s="117">
        <f>IF(B98="","",E98-H98)</f>
        <v>235422.65303157</v>
      </c>
      <c r="J98" s="117">
        <f>IF(B98="","",IF(OR(inp_Tipo="Arrendamiento Puro",par_BaseIVAFin="Sobre renta",B98="Opción de compra"),F98,G98)*$C$14)</f>
        <v>3350.53211392109</v>
      </c>
      <c r="K98" s="117">
        <f>IF(B98="","",F98+J98)</f>
        <v>24291.3578259279</v>
      </c>
      <c r="L98" s="117">
        <f>IF(B98="","",F98-IF(A98=$C$38,$C$30,0))</f>
        <v>20940.8257120068</v>
      </c>
      <c r="M98" s="131">
        <f>IF(B98="","",$C$37*(1+$C$13)^(-C98))</f>
        <v>0.516529380493168</v>
      </c>
      <c r="N98" s="117">
        <f>IF(B98="","",L98*M98)</f>
        <v>10816.5517320383</v>
      </c>
      <c r="O98" s="117">
        <f>IF(B98="","",IF(B98="Básico",F98,0)-IF(A98=$C$38,$C$30,0))</f>
        <v>20940.8257120068</v>
      </c>
      <c r="P98" s="130">
        <f>IF(B98="",$C$31,D98)</f>
        <v>47489.0</v>
      </c>
      <c r="Q98" s="117">
        <f>IF(B98="",0,L98)</f>
        <v>20940.8257120068</v>
      </c>
      <c r="R98" s="117">
        <f>IF(B98="",0,-F98)</f>
        <v>-20940.8257120068</v>
      </c>
      <c r="S98" s="117">
        <f>IF(B98="","",O98*M98)</f>
        <v>10816.5517320383</v>
      </c>
    </row>
    <row r="99">
      <c r="A99" s="53" t="n">
        <v>40</v>
      </c>
      <c r="B99" s="53" t="str">
        <f>IF(A99&gt;$C$38,"",IF(A99&lt;=$C$5,"Básico",IF($C$6&gt;0,"Sucesivo","Opción de compra")))</f>
        <v>Básico</v>
      </c>
      <c r="C99" s="53">
        <f>IF(B99="","",IF(B99="Opción de compra",$C$5,A99-$C$7))</f>
        <v>40</v>
      </c>
      <c r="D99" s="130">
        <f>IF(B99="","",EDATE($C$33,C99))</f>
        <v>47520.0</v>
      </c>
      <c r="E99" s="117">
        <f>IF(B99="","",I98)</f>
        <v>235422.65303157</v>
      </c>
      <c r="F99" s="117">
        <f>IF(B99="","",IF(B99="Básico",$C$24,IF(B99="Sucesivo",$C$25,$C$26)))</f>
        <v>20940.8257120068</v>
      </c>
      <c r="G99" s="117">
        <f>IF(B99="","",IF(B99="Opción de compra",0,(E99-$C$7*F99)*IF(B99="Sucesivo",$C$11,$C$9)))</f>
        <v>4531.88607085772</v>
      </c>
      <c r="H99" s="117">
        <f>IF(B99="","",F99-G99)</f>
        <v>16408.9396411491</v>
      </c>
      <c r="I99" s="117">
        <f>IF(B99="","",E99-H99)</f>
        <v>219013.713390421</v>
      </c>
      <c r="J99" s="117">
        <f>IF(B99="","",IF(OR(inp_Tipo="Arrendamiento Puro",par_BaseIVAFin="Sobre renta",B99="Opción de compra"),F99,G99)*$C$14)</f>
        <v>3350.53211392109</v>
      </c>
      <c r="K99" s="117">
        <f>IF(B99="","",F99+J99)</f>
        <v>24291.3578259279</v>
      </c>
      <c r="L99" s="117">
        <f>IF(B99="","",F99-IF(A99=$C$38,$C$30,0))</f>
        <v>20940.8257120068</v>
      </c>
      <c r="M99" s="131">
        <f>IF(B99="","",$C$37*(1+$C$13)^(-C99))</f>
        <v>0.507853549030562</v>
      </c>
      <c r="N99" s="117">
        <f>IF(B99="","",L99*M99)</f>
        <v>10634.8726574731</v>
      </c>
      <c r="O99" s="117">
        <f>IF(B99="","",IF(B99="Básico",F99,0)-IF(A99=$C$38,$C$30,0))</f>
        <v>20940.8257120068</v>
      </c>
      <c r="P99" s="130">
        <f>IF(B99="",$C$31,D99)</f>
        <v>47520.0</v>
      </c>
      <c r="Q99" s="117">
        <f>IF(B99="",0,L99)</f>
        <v>20940.8257120068</v>
      </c>
      <c r="R99" s="117">
        <f>IF(B99="",0,-F99)</f>
        <v>-20940.8257120068</v>
      </c>
      <c r="S99" s="117">
        <f>IF(B99="","",O99*M99)</f>
        <v>10634.8726574731</v>
      </c>
    </row>
    <row r="100">
      <c r="A100" s="53" t="n">
        <v>41</v>
      </c>
      <c r="B100" s="53" t="str">
        <f>IF(A100&gt;$C$38,"",IF(A100&lt;=$C$5,"Básico",IF($C$6&gt;0,"Sucesivo","Opción de compra")))</f>
        <v>Básico</v>
      </c>
      <c r="C100" s="53">
        <f>IF(B100="","",IF(B100="Opción de compra",$C$5,A100-$C$7))</f>
        <v>41</v>
      </c>
      <c r="D100" s="130">
        <f>IF(B100="","",EDATE($C$33,C100))</f>
        <v>47548.0</v>
      </c>
      <c r="E100" s="117">
        <f>IF(B100="","",I99)</f>
        <v>219013.713390421</v>
      </c>
      <c r="F100" s="117">
        <f>IF(B100="","",IF(B100="Básico",$C$24,IF(B100="Sucesivo",$C$25,$C$26)))</f>
        <v>20940.8257120068</v>
      </c>
      <c r="G100" s="117">
        <f>IF(B100="","",IF(B100="Opción de compra",0,(E100-$C$7*F100)*IF(B100="Sucesivo",$C$11,$C$9)))</f>
        <v>4216.0139827656</v>
      </c>
      <c r="H100" s="117">
        <f>IF(B100="","",F100-G100)</f>
        <v>16724.8117292412</v>
      </c>
      <c r="I100" s="117">
        <f>IF(B100="","",E100-H100)</f>
        <v>202288.90166118</v>
      </c>
      <c r="J100" s="117">
        <f>IF(B100="","",IF(OR(inp_Tipo="Arrendamiento Puro",par_BaseIVAFin="Sobre renta",B100="Opción de compra"),F100,G100)*$C$14)</f>
        <v>3350.53211392109</v>
      </c>
      <c r="K100" s="117">
        <f>IF(B100="","",F100+J100)</f>
        <v>24291.3578259279</v>
      </c>
      <c r="L100" s="117">
        <f>IF(B100="","",F100-IF(A100=$C$38,$C$30,0))</f>
        <v>20940.8257120068</v>
      </c>
      <c r="M100" s="131">
        <f>IF(B100="","",$C$37*(1+$C$13)^(-C100))</f>
        <v>0.499323440259463</v>
      </c>
      <c r="N100" s="117">
        <f>IF(B100="","",L100*M100)</f>
        <v>10456.2451363931</v>
      </c>
      <c r="O100" s="117">
        <f>IF(B100="","",IF(B100="Básico",F100,0)-IF(A100=$C$38,$C$30,0))</f>
        <v>20940.8257120068</v>
      </c>
      <c r="P100" s="130">
        <f>IF(B100="",$C$31,D100)</f>
        <v>47548.0</v>
      </c>
      <c r="Q100" s="117">
        <f>IF(B100="",0,L100)</f>
        <v>20940.8257120068</v>
      </c>
      <c r="R100" s="117">
        <f>IF(B100="",0,-F100)</f>
        <v>-20940.8257120068</v>
      </c>
      <c r="S100" s="117">
        <f>IF(B100="","",O100*M100)</f>
        <v>10456.2451363931</v>
      </c>
    </row>
    <row r="101">
      <c r="A101" s="53" t="n">
        <v>42</v>
      </c>
      <c r="B101" s="53" t="str">
        <f>IF(A101&gt;$C$38,"",IF(A101&lt;=$C$5,"Básico",IF($C$6&gt;0,"Sucesivo","Opción de compra")))</f>
        <v>Básico</v>
      </c>
      <c r="C101" s="53">
        <f>IF(B101="","",IF(B101="Opción de compra",$C$5,A101-$C$7))</f>
        <v>42</v>
      </c>
      <c r="D101" s="130">
        <f>IF(B101="","",EDATE($C$33,C101))</f>
        <v>47579.0</v>
      </c>
      <c r="E101" s="117">
        <f>IF(B101="","",I100)</f>
        <v>202288.90166118</v>
      </c>
      <c r="F101" s="117">
        <f>IF(B101="","",IF(B101="Básico",$C$24,IF(B101="Sucesivo",$C$25,$C$26)))</f>
        <v>20940.8257120068</v>
      </c>
      <c r="G101" s="117">
        <f>IF(B101="","",IF(B101="Opción de compra",0,(E101-$C$7*F101)*IF(B101="Sucesivo",$C$11,$C$9)))</f>
        <v>3894.06135697771</v>
      </c>
      <c r="H101" s="117">
        <f>IF(B101="","",F101-G101)</f>
        <v>17046.7643550291</v>
      </c>
      <c r="I101" s="117">
        <f>IF(B101="","",E101-H101)</f>
        <v>185242.13730615</v>
      </c>
      <c r="J101" s="117">
        <f>IF(B101="","",IF(OR(inp_Tipo="Arrendamiento Puro",par_BaseIVAFin="Sobre renta",B101="Opción de compra"),F101,G101)*$C$14)</f>
        <v>3350.53211392109</v>
      </c>
      <c r="K101" s="117">
        <f>IF(B101="","",F101+J101)</f>
        <v>24291.3578259279</v>
      </c>
      <c r="L101" s="117">
        <f>IF(B101="","",F101-IF(A101=$C$38,$C$30,0))</f>
        <v>20940.8257120068</v>
      </c>
      <c r="M101" s="131">
        <f>IF(B101="","",$C$37*(1+$C$13)^(-C101))</f>
        <v>0.490936606563995</v>
      </c>
      <c r="N101" s="117">
        <f>IF(B101="","",L101*M101)</f>
        <v>10280.6179137007</v>
      </c>
      <c r="O101" s="117">
        <f>IF(B101="","",IF(B101="Básico",F101,0)-IF(A101=$C$38,$C$30,0))</f>
        <v>20940.8257120068</v>
      </c>
      <c r="P101" s="130">
        <f>IF(B101="",$C$31,D101)</f>
        <v>47579.0</v>
      </c>
      <c r="Q101" s="117">
        <f>IF(B101="",0,L101)</f>
        <v>20940.8257120068</v>
      </c>
      <c r="R101" s="117">
        <f>IF(B101="",0,-F101)</f>
        <v>-20940.8257120068</v>
      </c>
      <c r="S101" s="117">
        <f>IF(B101="","",O101*M101)</f>
        <v>10280.6179137007</v>
      </c>
    </row>
    <row r="102">
      <c r="A102" s="53" t="n">
        <v>43</v>
      </c>
      <c r="B102" s="53" t="str">
        <f>IF(A102&gt;$C$38,"",IF(A102&lt;=$C$5,"Básico",IF($C$6&gt;0,"Sucesivo","Opción de compra")))</f>
        <v>Básico</v>
      </c>
      <c r="C102" s="53">
        <f>IF(B102="","",IF(B102="Opción de compra",$C$5,A102-$C$7))</f>
        <v>43</v>
      </c>
      <c r="D102" s="130">
        <f>IF(B102="","",EDATE($C$33,C102))</f>
        <v>47609.0</v>
      </c>
      <c r="E102" s="117">
        <f>IF(B102="","",I101)</f>
        <v>185242.13730615</v>
      </c>
      <c r="F102" s="117">
        <f>IF(B102="","",IF(B102="Básico",$C$24,IF(B102="Sucesivo",$C$25,$C$26)))</f>
        <v>20940.8257120068</v>
      </c>
      <c r="G102" s="117">
        <f>IF(B102="","",IF(B102="Opción de compra",0,(E102-$C$7*F102)*IF(B102="Sucesivo",$C$11,$C$9)))</f>
        <v>3565.9111431434</v>
      </c>
      <c r="H102" s="117">
        <f>IF(B102="","",F102-G102)</f>
        <v>17374.9145688634</v>
      </c>
      <c r="I102" s="117">
        <f>IF(B102="","",E102-H102)</f>
        <v>167867.222737287</v>
      </c>
      <c r="J102" s="117">
        <f>IF(B102="","",IF(OR(inp_Tipo="Arrendamiento Puro",par_BaseIVAFin="Sobre renta",B102="Opción de compra"),F102,G102)*$C$14)</f>
        <v>3350.53211392109</v>
      </c>
      <c r="K102" s="117">
        <f>IF(B102="","",F102+J102)</f>
        <v>24291.3578259279</v>
      </c>
      <c r="L102" s="117">
        <f>IF(B102="","",F102-IF(A102=$C$38,$C$30,0))</f>
        <v>20940.8257120068</v>
      </c>
      <c r="M102" s="131">
        <f>IF(B102="","",$C$37*(1+$C$13)^(-C102))</f>
        <v>0.482690641439405</v>
      </c>
      <c r="N102" s="117">
        <f>IF(B102="","",L102*M102)</f>
        <v>10107.9405951994</v>
      </c>
      <c r="O102" s="117">
        <f>IF(B102="","",IF(B102="Básico",F102,0)-IF(A102=$C$38,$C$30,0))</f>
        <v>20940.8257120068</v>
      </c>
      <c r="P102" s="130">
        <f>IF(B102="",$C$31,D102)</f>
        <v>47609.0</v>
      </c>
      <c r="Q102" s="117">
        <f>IF(B102="",0,L102)</f>
        <v>20940.8257120068</v>
      </c>
      <c r="R102" s="117">
        <f>IF(B102="",0,-F102)</f>
        <v>-20940.8257120068</v>
      </c>
      <c r="S102" s="117">
        <f>IF(B102="","",O102*M102)</f>
        <v>10107.9405951994</v>
      </c>
    </row>
    <row r="103">
      <c r="A103" s="53" t="n">
        <v>44</v>
      </c>
      <c r="B103" s="53" t="str">
        <f>IF(A103&gt;$C$38,"",IF(A103&lt;=$C$5,"Básico",IF($C$6&gt;0,"Sucesivo","Opción de compra")))</f>
        <v>Básico</v>
      </c>
      <c r="C103" s="53">
        <f>IF(B103="","",IF(B103="Opción de compra",$C$5,A103-$C$7))</f>
        <v>44</v>
      </c>
      <c r="D103" s="130">
        <f>IF(B103="","",EDATE($C$33,C103))</f>
        <v>47640.0</v>
      </c>
      <c r="E103" s="117">
        <f>IF(B103="","",I102)</f>
        <v>167867.222737287</v>
      </c>
      <c r="F103" s="117">
        <f>IF(B103="","",IF(B103="Básico",$C$24,IF(B103="Sucesivo",$C$25,$C$26)))</f>
        <v>20940.8257120068</v>
      </c>
      <c r="G103" s="117">
        <f>IF(B103="","",IF(B103="Opción de compra",0,(E103-$C$7*F103)*IF(B103="Sucesivo",$C$11,$C$9)))</f>
        <v>3231.44403769277</v>
      </c>
      <c r="H103" s="117">
        <f>IF(B103="","",F103-G103)</f>
        <v>17709.3816743141</v>
      </c>
      <c r="I103" s="117">
        <f>IF(B103="","",E103-H103)</f>
        <v>150157.841062973</v>
      </c>
      <c r="J103" s="117">
        <f>IF(B103="","",IF(OR(inp_Tipo="Arrendamiento Puro",par_BaseIVAFin="Sobre renta",B103="Opción de compra"),F103,G103)*$C$14)</f>
        <v>3350.53211392109</v>
      </c>
      <c r="K103" s="117">
        <f>IF(B103="","",F103+J103)</f>
        <v>24291.3578259279</v>
      </c>
      <c r="L103" s="117">
        <f>IF(B103="","",F103-IF(A103=$C$38,$C$30,0))</f>
        <v>20940.8257120068</v>
      </c>
      <c r="M103" s="131">
        <f>IF(B103="","",$C$37*(1+$C$13)^(-C103))</f>
        <v>0.474583178801545</v>
      </c>
      <c r="N103" s="117">
        <f>IF(B103="","",L103*M103)</f>
        <v>9938.16363313333</v>
      </c>
      <c r="O103" s="117">
        <f>IF(B103="","",IF(B103="Básico",F103,0)-IF(A103=$C$38,$C$30,0))</f>
        <v>20940.8257120068</v>
      </c>
      <c r="P103" s="130">
        <f>IF(B103="",$C$31,D103)</f>
        <v>47640.0</v>
      </c>
      <c r="Q103" s="117">
        <f>IF(B103="",0,L103)</f>
        <v>20940.8257120068</v>
      </c>
      <c r="R103" s="117">
        <f>IF(B103="",0,-F103)</f>
        <v>-20940.8257120068</v>
      </c>
      <c r="S103" s="117">
        <f>IF(B103="","",O103*M103)</f>
        <v>9938.16363313333</v>
      </c>
    </row>
    <row r="104">
      <c r="A104" s="53" t="n">
        <v>45</v>
      </c>
      <c r="B104" s="53" t="str">
        <f>IF(A104&gt;$C$38,"",IF(A104&lt;=$C$5,"Básico",IF($C$6&gt;0,"Sucesivo","Opción de compra")))</f>
        <v>Básico</v>
      </c>
      <c r="C104" s="53">
        <f>IF(B104="","",IF(B104="Opción de compra",$C$5,A104-$C$7))</f>
        <v>45</v>
      </c>
      <c r="D104" s="130">
        <f>IF(B104="","",EDATE($C$33,C104))</f>
        <v>47670.0</v>
      </c>
      <c r="E104" s="117">
        <f>IF(B104="","",I103)</f>
        <v>150157.841062973</v>
      </c>
      <c r="F104" s="117">
        <f>IF(B104="","",IF(B104="Básico",$C$24,IF(B104="Sucesivo",$C$25,$C$26)))</f>
        <v>20940.8257120068</v>
      </c>
      <c r="G104" s="117">
        <f>IF(B104="","",IF(B104="Opción de compra",0,(E104-$C$7*F104)*IF(B104="Sucesivo",$C$11,$C$9)))</f>
        <v>2890.53844046223</v>
      </c>
      <c r="H104" s="117">
        <f>IF(B104="","",F104-G104)</f>
        <v>18050.2872715446</v>
      </c>
      <c r="I104" s="117">
        <f>IF(B104="","",E104-H104)</f>
        <v>132107.553791428</v>
      </c>
      <c r="J104" s="117">
        <f>IF(B104="","",IF(OR(inp_Tipo="Arrendamiento Puro",par_BaseIVAFin="Sobre renta",B104="Opción de compra"),F104,G104)*$C$14)</f>
        <v>3350.53211392109</v>
      </c>
      <c r="K104" s="117">
        <f>IF(B104="","",F104+J104)</f>
        <v>24291.3578259279</v>
      </c>
      <c r="L104" s="117">
        <f>IF(B104="","",F104-IF(A104=$C$38,$C$30,0))</f>
        <v>20940.8257120068</v>
      </c>
      <c r="M104" s="131">
        <f>IF(B104="","",$C$37*(1+$C$13)^(-C104))</f>
        <v>0.466611892307951</v>
      </c>
      <c r="N104" s="117">
        <f>IF(B104="","",L104*M104)</f>
        <v>9771.23831197051</v>
      </c>
      <c r="O104" s="117">
        <f>IF(B104="","",IF(B104="Básico",F104,0)-IF(A104=$C$38,$C$30,0))</f>
        <v>20940.8257120068</v>
      </c>
      <c r="P104" s="130">
        <f>IF(B104="",$C$31,D104)</f>
        <v>47670.0</v>
      </c>
      <c r="Q104" s="117">
        <f>IF(B104="",0,L104)</f>
        <v>20940.8257120068</v>
      </c>
      <c r="R104" s="117">
        <f>IF(B104="",0,-F104)</f>
        <v>-20940.8257120068</v>
      </c>
      <c r="S104" s="117">
        <f>IF(B104="","",O104*M104)</f>
        <v>9771.23831197051</v>
      </c>
    </row>
    <row r="105">
      <c r="A105" s="53" t="n">
        <v>46</v>
      </c>
      <c r="B105" s="53" t="str">
        <f>IF(A105&gt;$C$38,"",IF(A105&lt;=$C$5,"Básico",IF($C$6&gt;0,"Sucesivo","Opción de compra")))</f>
        <v>Básico</v>
      </c>
      <c r="C105" s="53">
        <f>IF(B105="","",IF(B105="Opción de compra",$C$5,A105-$C$7))</f>
        <v>46</v>
      </c>
      <c r="D105" s="130">
        <f>IF(B105="","",EDATE($C$33,C105))</f>
        <v>47701.0</v>
      </c>
      <c r="E105" s="117">
        <f>IF(B105="","",I104)</f>
        <v>132107.553791428</v>
      </c>
      <c r="F105" s="117">
        <f>IF(B105="","",IF(B105="Básico",$C$24,IF(B105="Sucesivo",$C$25,$C$26)))</f>
        <v>20940.8257120068</v>
      </c>
      <c r="G105" s="117">
        <f>IF(B105="","",IF(B105="Opción de compra",0,(E105-$C$7*F105)*IF(B105="Sucesivo",$C$11,$C$9)))</f>
        <v>2543.07041048499</v>
      </c>
      <c r="H105" s="117">
        <f>IF(B105="","",F105-G105)</f>
        <v>18397.7553015218</v>
      </c>
      <c r="I105" s="117">
        <f>IF(B105="","",E105-H105)</f>
        <v>113709.798489906</v>
      </c>
      <c r="J105" s="117">
        <f>IF(B105="","",IF(OR(inp_Tipo="Arrendamiento Puro",par_BaseIVAFin="Sobre renta",B105="Opción de compra"),F105,G105)*$C$14)</f>
        <v>3350.53211392109</v>
      </c>
      <c r="K105" s="117">
        <f>IF(B105="","",F105+J105)</f>
        <v>24291.3578259279</v>
      </c>
      <c r="L105" s="117">
        <f>IF(B105="","",F105-IF(A105=$C$38,$C$30,0))</f>
        <v>20940.8257120068</v>
      </c>
      <c r="M105" s="131">
        <f>IF(B105="","",$C$37*(1+$C$13)^(-C105))</f>
        <v>0.458774494690325</v>
      </c>
      <c r="N105" s="117">
        <f>IF(B105="","",L105*M105)</f>
        <v>9607.11673442409</v>
      </c>
      <c r="O105" s="117">
        <f>IF(B105="","",IF(B105="Básico",F105,0)-IF(A105=$C$38,$C$30,0))</f>
        <v>20940.8257120068</v>
      </c>
      <c r="P105" s="130">
        <f>IF(B105="",$C$31,D105)</f>
        <v>47701.0</v>
      </c>
      <c r="Q105" s="117">
        <f>IF(B105="",0,L105)</f>
        <v>20940.8257120068</v>
      </c>
      <c r="R105" s="117">
        <f>IF(B105="",0,-F105)</f>
        <v>-20940.8257120068</v>
      </c>
      <c r="S105" s="117">
        <f>IF(B105="","",O105*M105)</f>
        <v>9607.11673442409</v>
      </c>
    </row>
    <row r="106">
      <c r="A106" s="53" t="n">
        <v>47</v>
      </c>
      <c r="B106" s="53" t="str">
        <f>IF(A106&gt;$C$38,"",IF(A106&lt;=$C$5,"Básico",IF($C$6&gt;0,"Sucesivo","Opción de compra")))</f>
        <v>Básico</v>
      </c>
      <c r="C106" s="53">
        <f>IF(B106="","",IF(B106="Opción de compra",$C$5,A106-$C$7))</f>
        <v>47</v>
      </c>
      <c r="D106" s="130">
        <f>IF(B106="","",EDATE($C$33,C106))</f>
        <v>47732.0</v>
      </c>
      <c r="E106" s="117">
        <f>IF(B106="","",I105)</f>
        <v>113709.798489906</v>
      </c>
      <c r="F106" s="117">
        <f>IF(B106="","",IF(B106="Básico",$C$24,IF(B106="Sucesivo",$C$25,$C$26)))</f>
        <v>20940.8257120068</v>
      </c>
      <c r="G106" s="117">
        <f>IF(B106="","",IF(B106="Opción de compra",0,(E106-$C$7*F106)*IF(B106="Sucesivo",$C$11,$C$9)))</f>
        <v>2188.9136209307</v>
      </c>
      <c r="H106" s="117">
        <f>IF(B106="","",F106-G106)</f>
        <v>18751.9120910761</v>
      </c>
      <c r="I106" s="117">
        <f>IF(B106="","",E106-H106)</f>
        <v>94957.8863988304</v>
      </c>
      <c r="J106" s="117">
        <f>IF(B106="","",IF(OR(inp_Tipo="Arrendamiento Puro",par_BaseIVAFin="Sobre renta",B106="Opción de compra"),F106,G106)*$C$14)</f>
        <v>3350.53211392109</v>
      </c>
      <c r="K106" s="117">
        <f>IF(B106="","",F106+J106)</f>
        <v>24291.3578259279</v>
      </c>
      <c r="L106" s="117">
        <f>IF(B106="","",F106-IF(A106=$C$38,$C$30,0))</f>
        <v>20940.8257120068</v>
      </c>
      <c r="M106" s="131">
        <f>IF(B106="","",$C$37*(1+$C$13)^(-C106))</f>
        <v>0.45106873709823</v>
      </c>
      <c r="N106" s="117">
        <f>IF(B106="","",L106*M106)</f>
        <v>9445.75180770906</v>
      </c>
      <c r="O106" s="117">
        <f>IF(B106="","",IF(B106="Básico",F106,0)-IF(A106=$C$38,$C$30,0))</f>
        <v>20940.8257120068</v>
      </c>
      <c r="P106" s="130">
        <f>IF(B106="",$C$31,D106)</f>
        <v>47732.0</v>
      </c>
      <c r="Q106" s="117">
        <f>IF(B106="",0,L106)</f>
        <v>20940.8257120068</v>
      </c>
      <c r="R106" s="117">
        <f>IF(B106="",0,-F106)</f>
        <v>-20940.8257120068</v>
      </c>
      <c r="S106" s="117">
        <f>IF(B106="","",O106*M106)</f>
        <v>9445.75180770906</v>
      </c>
    </row>
    <row r="107">
      <c r="A107" s="53" t="n">
        <v>48</v>
      </c>
      <c r="B107" s="53" t="str">
        <f>IF(A107&gt;$C$38,"",IF(A107&lt;=$C$5,"Básico",IF($C$6&gt;0,"Sucesivo","Opción de compra")))</f>
        <v>Básico</v>
      </c>
      <c r="C107" s="53">
        <f>IF(B107="","",IF(B107="Opción de compra",$C$5,A107-$C$7))</f>
        <v>48</v>
      </c>
      <c r="D107" s="130">
        <f>IF(B107="","",EDATE($C$33,C107))</f>
        <v>47762.0</v>
      </c>
      <c r="E107" s="117">
        <f>IF(B107="","",I106)</f>
        <v>94957.8863988304</v>
      </c>
      <c r="F107" s="117">
        <f>IF(B107="","",IF(B107="Básico",$C$24,IF(B107="Sucesivo",$C$25,$C$26)))</f>
        <v>20940.8257120068</v>
      </c>
      <c r="G107" s="117">
        <f>IF(B107="","",IF(B107="Opción de compra",0,(E107-$C$7*F107)*IF(B107="Sucesivo",$C$11,$C$9)))</f>
        <v>1827.93931317748</v>
      </c>
      <c r="H107" s="117">
        <f>IF(B107="","",F107-G107)</f>
        <v>19112.8863988293</v>
      </c>
      <c r="I107" s="117">
        <f>IF(B107="","",E107-H107)</f>
        <v>75845.000000001</v>
      </c>
      <c r="J107" s="117">
        <f>IF(B107="","",IF(OR(inp_Tipo="Arrendamiento Puro",par_BaseIVAFin="Sobre renta",B107="Opción de compra"),F107,G107)*$C$14)</f>
        <v>3350.53211392109</v>
      </c>
      <c r="K107" s="117">
        <f>IF(B107="","",F107+J107)</f>
        <v>24291.3578259279</v>
      </c>
      <c r="L107" s="117">
        <f>IF(B107="","",F107-IF(A107=$C$38,$C$30,0))</f>
        <v>20940.8257120068</v>
      </c>
      <c r="M107" s="131">
        <f>IF(B107="","",$C$37*(1+$C$13)^(-C107))</f>
        <v>0.443492408453811</v>
      </c>
      <c r="N107" s="117">
        <f>IF(B107="","",L107*M107)</f>
        <v>9287.09723002939</v>
      </c>
      <c r="O107" s="117">
        <f>IF(B107="","",IF(B107="Básico",F107,0)-IF(A107=$C$38,$C$30,0))</f>
        <v>20940.8257120068</v>
      </c>
      <c r="P107" s="130">
        <f>IF(B107="",$C$31,D107)</f>
        <v>47762.0</v>
      </c>
      <c r="Q107" s="117">
        <f>IF(B107="",0,L107)</f>
        <v>20940.8257120068</v>
      </c>
      <c r="R107" s="117">
        <f>IF(B107="",0,-F107)</f>
        <v>-20940.8257120068</v>
      </c>
      <c r="S107" s="117">
        <f>IF(B107="","",O107*M107)</f>
        <v>9287.09723002939</v>
      </c>
    </row>
    <row r="108">
      <c r="A108" s="53" t="n">
        <v>49</v>
      </c>
      <c r="B108" s="53" t="str">
        <f>IF(A108&gt;$C$38,"",IF(A108&lt;=$C$5,"Básico",IF($C$6&gt;0,"Sucesivo","Opción de compra")))</f>
        <v>Opción de compra</v>
      </c>
      <c r="C108" s="53">
        <f>IF(B108="","",IF(B108="Opción de compra",$C$5,A108-$C$7))</f>
        <v>48</v>
      </c>
      <c r="D108" s="130">
        <f>IF(B108="","",EDATE($C$33,C108))</f>
        <v>47762.0</v>
      </c>
      <c r="E108" s="117">
        <f>IF(B108="","",I107)</f>
        <v>75845.000000001</v>
      </c>
      <c r="F108" s="117">
        <f>IF(B108="","",IF(B108="Básico",$C$24,IF(B108="Sucesivo",$C$25,$C$26)))</f>
        <v>75845</v>
      </c>
      <c r="G108" s="117">
        <f>IF(B108="","",IF(B108="Opción de compra",0,(E108-$C$7*F108)*IF(B108="Sucesivo",$C$11,$C$9)))</f>
        <v>0</v>
      </c>
      <c r="H108" s="117">
        <f>IF(B108="","",F108-G108)</f>
        <v>75845</v>
      </c>
      <c r="I108" s="117">
        <f>IF(B108="","",E108-H108)</f>
        <v>1.00408215075731e-09</v>
      </c>
      <c r="J108" s="117">
        <f>IF(B108="","",IF(OR(inp_Tipo="Arrendamiento Puro",par_BaseIVAFin="Sobre renta",B108="Opción de compra"),F108,G108)*$C$14)</f>
        <v>12135.2</v>
      </c>
      <c r="K108" s="117">
        <f>IF(B108="","",F108+J108)</f>
        <v>87980.2</v>
      </c>
      <c r="L108" s="117">
        <f>IF(B108="","",F108-IF(A108=$C$38,$C$30,0))</f>
        <v>75845</v>
      </c>
      <c r="M108" s="131">
        <f>IF(B108="","",$C$37*(1+$C$13)^(-C108))</f>
        <v>0.443492408453811</v>
      </c>
      <c r="N108" s="117">
        <f>IF(B108="","",L108*M108)</f>
        <v>33636.6817191793</v>
      </c>
      <c r="O108" s="117">
        <f>IF(B108="","",IF(B108="Básico",F108,0)-IF(A108=$C$38,$C$30,0))</f>
        <v>0</v>
      </c>
      <c r="P108" s="130">
        <f>IF(B108="",$C$31,D108)</f>
        <v>47762.0</v>
      </c>
      <c r="Q108" s="117">
        <f>IF(B108="",0,L108)</f>
        <v>75845</v>
      </c>
      <c r="R108" s="117">
        <f>IF(B108="",0,-F108)</f>
        <v>-75845</v>
      </c>
      <c r="S108" s="117">
        <f>IF(B108="","",O108*M108)</f>
        <v>0</v>
      </c>
    </row>
    <row r="109">
      <c r="A109" s="53" t="n">
        <v>50</v>
      </c>
      <c r="B109" s="53" t="str">
        <f>IF(A109&gt;$C$38,"",IF(A109&lt;=$C$5,"Básico",IF($C$6&gt;0,"Sucesivo","Opción de compra")))</f>
        <v/>
      </c>
      <c r="C109" s="53" t="str">
        <f>IF(B109="","",IF(B109="Opción de compra",$C$5,A109-$C$7))</f>
        <v/>
      </c>
      <c r="D109" s="130" t="str">
        <f>IF(B109="","",EDATE($C$33,C109))</f>
        <v/>
      </c>
      <c r="E109" s="117" t="str">
        <f>IF(B109="","",I108)</f>
        <v/>
      </c>
      <c r="F109" s="117" t="str">
        <f>IF(B109="","",IF(B109="Básico",$C$24,IF(B109="Sucesivo",$C$25,$C$26)))</f>
        <v/>
      </c>
      <c r="G109" s="117" t="str">
        <f>IF(B109="","",IF(B109="Opción de compra",0,(E109-$C$7*F109)*IF(B109="Sucesivo",$C$11,$C$9)))</f>
        <v/>
      </c>
      <c r="H109" s="117" t="str">
        <f>IF(B109="","",F109-G109)</f>
        <v/>
      </c>
      <c r="I109" s="117" t="str">
        <f>IF(B109="","",E109-H109)</f>
        <v/>
      </c>
      <c r="J109" s="117" t="str">
        <f>IF(B109="","",IF(OR(inp_Tipo="Arrendamiento Puro",par_BaseIVAFin="Sobre renta",B109="Opción de compra"),F109,G109)*$C$14)</f>
        <v/>
      </c>
      <c r="K109" s="117" t="str">
        <f>IF(B109="","",F109+J109)</f>
        <v/>
      </c>
      <c r="L109" s="117" t="str">
        <f>IF(B109="","",F109-IF(A109=$C$38,$C$30,0))</f>
        <v/>
      </c>
      <c r="M109" s="131" t="str">
        <f>IF(B109="","",$C$37*(1+$C$13)^(-C109))</f>
        <v/>
      </c>
      <c r="N109" s="117" t="str">
        <f>IF(B109="","",L109*M109)</f>
        <v/>
      </c>
      <c r="O109" s="117" t="str">
        <f>IF(B109="","",IF(B109="Básico",F109,0)-IF(A109=$C$38,$C$30,0))</f>
        <v/>
      </c>
      <c r="P109" s="130">
        <f>IF(B109="",$C$31,D109)</f>
        <v>46301.0</v>
      </c>
      <c r="Q109" s="117">
        <f>IF(B109="",0,L109)</f>
        <v>0</v>
      </c>
      <c r="R109" s="117">
        <f>IF(B109="",0,-F109)</f>
        <v>0</v>
      </c>
      <c r="S109" s="117" t="str">
        <f>IF(B109="","",O109*M109)</f>
        <v/>
      </c>
    </row>
    <row r="110">
      <c r="A110" s="53" t="n">
        <v>51</v>
      </c>
      <c r="B110" s="53" t="str">
        <f>IF(A110&gt;$C$38,"",IF(A110&lt;=$C$5,"Básico",IF($C$6&gt;0,"Sucesivo","Opción de compra")))</f>
        <v/>
      </c>
      <c r="C110" s="53" t="str">
        <f>IF(B110="","",IF(B110="Opción de compra",$C$5,A110-$C$7))</f>
        <v/>
      </c>
      <c r="D110" s="130" t="str">
        <f>IF(B110="","",EDATE($C$33,C110))</f>
        <v/>
      </c>
      <c r="E110" s="117" t="str">
        <f>IF(B110="","",I109)</f>
        <v/>
      </c>
      <c r="F110" s="117" t="str">
        <f>IF(B110="","",IF(B110="Básico",$C$24,IF(B110="Sucesivo",$C$25,$C$26)))</f>
        <v/>
      </c>
      <c r="G110" s="117" t="str">
        <f>IF(B110="","",IF(B110="Opción de compra",0,(E110-$C$7*F110)*IF(B110="Sucesivo",$C$11,$C$9)))</f>
        <v/>
      </c>
      <c r="H110" s="117" t="str">
        <f>IF(B110="","",F110-G110)</f>
        <v/>
      </c>
      <c r="I110" s="117" t="str">
        <f>IF(B110="","",E110-H110)</f>
        <v/>
      </c>
      <c r="J110" s="117" t="str">
        <f>IF(B110="","",IF(OR(inp_Tipo="Arrendamiento Puro",par_BaseIVAFin="Sobre renta",B110="Opción de compra"),F110,G110)*$C$14)</f>
        <v/>
      </c>
      <c r="K110" s="117" t="str">
        <f>IF(B110="","",F110+J110)</f>
        <v/>
      </c>
      <c r="L110" s="117" t="str">
        <f>IF(B110="","",F110-IF(A110=$C$38,$C$30,0))</f>
        <v/>
      </c>
      <c r="M110" s="131" t="str">
        <f>IF(B110="","",$C$37*(1+$C$13)^(-C110))</f>
        <v/>
      </c>
      <c r="N110" s="117" t="str">
        <f>IF(B110="","",L110*M110)</f>
        <v/>
      </c>
      <c r="O110" s="117" t="str">
        <f>IF(B110="","",IF(B110="Básico",F110,0)-IF(A110=$C$38,$C$30,0))</f>
        <v/>
      </c>
      <c r="P110" s="130">
        <f>IF(B110="",$C$31,D110)</f>
        <v>46301.0</v>
      </c>
      <c r="Q110" s="117">
        <f>IF(B110="",0,L110)</f>
        <v>0</v>
      </c>
      <c r="R110" s="117">
        <f>IF(B110="",0,-F110)</f>
        <v>0</v>
      </c>
      <c r="S110" s="117" t="str">
        <f>IF(B110="","",O110*M110)</f>
        <v/>
      </c>
    </row>
    <row r="111">
      <c r="A111" s="53" t="n">
        <v>52</v>
      </c>
      <c r="B111" s="53" t="str">
        <f>IF(A111&gt;$C$38,"",IF(A111&lt;=$C$5,"Básico",IF($C$6&gt;0,"Sucesivo","Opción de compra")))</f>
        <v/>
      </c>
      <c r="C111" s="53" t="str">
        <f>IF(B111="","",IF(B111="Opción de compra",$C$5,A111-$C$7))</f>
        <v/>
      </c>
      <c r="D111" s="130" t="str">
        <f>IF(B111="","",EDATE($C$33,C111))</f>
        <v/>
      </c>
      <c r="E111" s="117" t="str">
        <f>IF(B111="","",I110)</f>
        <v/>
      </c>
      <c r="F111" s="117" t="str">
        <f>IF(B111="","",IF(B111="Básico",$C$24,IF(B111="Sucesivo",$C$25,$C$26)))</f>
        <v/>
      </c>
      <c r="G111" s="117" t="str">
        <f>IF(B111="","",IF(B111="Opción de compra",0,(E111-$C$7*F111)*IF(B111="Sucesivo",$C$11,$C$9)))</f>
        <v/>
      </c>
      <c r="H111" s="117" t="str">
        <f>IF(B111="","",F111-G111)</f>
        <v/>
      </c>
      <c r="I111" s="117" t="str">
        <f>IF(B111="","",E111-H111)</f>
        <v/>
      </c>
      <c r="J111" s="117" t="str">
        <f>IF(B111="","",IF(OR(inp_Tipo="Arrendamiento Puro",par_BaseIVAFin="Sobre renta",B111="Opción de compra"),F111,G111)*$C$14)</f>
        <v/>
      </c>
      <c r="K111" s="117" t="str">
        <f>IF(B111="","",F111+J111)</f>
        <v/>
      </c>
      <c r="L111" s="117" t="str">
        <f>IF(B111="","",F111-IF(A111=$C$38,$C$30,0))</f>
        <v/>
      </c>
      <c r="M111" s="131" t="str">
        <f>IF(B111="","",$C$37*(1+$C$13)^(-C111))</f>
        <v/>
      </c>
      <c r="N111" s="117" t="str">
        <f>IF(B111="","",L111*M111)</f>
        <v/>
      </c>
      <c r="O111" s="117" t="str">
        <f>IF(B111="","",IF(B111="Básico",F111,0)-IF(A111=$C$38,$C$30,0))</f>
        <v/>
      </c>
      <c r="P111" s="130">
        <f>IF(B111="",$C$31,D111)</f>
        <v>46301.0</v>
      </c>
      <c r="Q111" s="117">
        <f>IF(B111="",0,L111)</f>
        <v>0</v>
      </c>
      <c r="R111" s="117">
        <f>IF(B111="",0,-F111)</f>
        <v>0</v>
      </c>
      <c r="S111" s="117" t="str">
        <f>IF(B111="","",O111*M111)</f>
        <v/>
      </c>
    </row>
    <row r="112">
      <c r="A112" s="53" t="n">
        <v>53</v>
      </c>
      <c r="B112" s="53" t="str">
        <f>IF(A112&gt;$C$38,"",IF(A112&lt;=$C$5,"Básico",IF($C$6&gt;0,"Sucesivo","Opción de compra")))</f>
        <v/>
      </c>
      <c r="C112" s="53" t="str">
        <f>IF(B112="","",IF(B112="Opción de compra",$C$5,A112-$C$7))</f>
        <v/>
      </c>
      <c r="D112" s="130" t="str">
        <f>IF(B112="","",EDATE($C$33,C112))</f>
        <v/>
      </c>
      <c r="E112" s="117" t="str">
        <f>IF(B112="","",I111)</f>
        <v/>
      </c>
      <c r="F112" s="117" t="str">
        <f>IF(B112="","",IF(B112="Básico",$C$24,IF(B112="Sucesivo",$C$25,$C$26)))</f>
        <v/>
      </c>
      <c r="G112" s="117" t="str">
        <f>IF(B112="","",IF(B112="Opción de compra",0,(E112-$C$7*F112)*IF(B112="Sucesivo",$C$11,$C$9)))</f>
        <v/>
      </c>
      <c r="H112" s="117" t="str">
        <f>IF(B112="","",F112-G112)</f>
        <v/>
      </c>
      <c r="I112" s="117" t="str">
        <f>IF(B112="","",E112-H112)</f>
        <v/>
      </c>
      <c r="J112" s="117" t="str">
        <f>IF(B112="","",IF(OR(inp_Tipo="Arrendamiento Puro",par_BaseIVAFin="Sobre renta",B112="Opción de compra"),F112,G112)*$C$14)</f>
        <v/>
      </c>
      <c r="K112" s="117" t="str">
        <f>IF(B112="","",F112+J112)</f>
        <v/>
      </c>
      <c r="L112" s="117" t="str">
        <f>IF(B112="","",F112-IF(A112=$C$38,$C$30,0))</f>
        <v/>
      </c>
      <c r="M112" s="131" t="str">
        <f>IF(B112="","",$C$37*(1+$C$13)^(-C112))</f>
        <v/>
      </c>
      <c r="N112" s="117" t="str">
        <f>IF(B112="","",L112*M112)</f>
        <v/>
      </c>
      <c r="O112" s="117" t="str">
        <f>IF(B112="","",IF(B112="Básico",F112,0)-IF(A112=$C$38,$C$30,0))</f>
        <v/>
      </c>
      <c r="P112" s="130">
        <f>IF(B112="",$C$31,D112)</f>
        <v>46301.0</v>
      </c>
      <c r="Q112" s="117">
        <f>IF(B112="",0,L112)</f>
        <v>0</v>
      </c>
      <c r="R112" s="117">
        <f>IF(B112="",0,-F112)</f>
        <v>0</v>
      </c>
      <c r="S112" s="117" t="str">
        <f>IF(B112="","",O112*M112)</f>
        <v/>
      </c>
    </row>
    <row r="113">
      <c r="A113" s="53" t="n">
        <v>54</v>
      </c>
      <c r="B113" s="53" t="str">
        <f>IF(A113&gt;$C$38,"",IF(A113&lt;=$C$5,"Básico",IF($C$6&gt;0,"Sucesivo","Opción de compra")))</f>
        <v/>
      </c>
      <c r="C113" s="53" t="str">
        <f>IF(B113="","",IF(B113="Opción de compra",$C$5,A113-$C$7))</f>
        <v/>
      </c>
      <c r="D113" s="130" t="str">
        <f>IF(B113="","",EDATE($C$33,C113))</f>
        <v/>
      </c>
      <c r="E113" s="117" t="str">
        <f>IF(B113="","",I112)</f>
        <v/>
      </c>
      <c r="F113" s="117" t="str">
        <f>IF(B113="","",IF(B113="Básico",$C$24,IF(B113="Sucesivo",$C$25,$C$26)))</f>
        <v/>
      </c>
      <c r="G113" s="117" t="str">
        <f>IF(B113="","",IF(B113="Opción de compra",0,(E113-$C$7*F113)*IF(B113="Sucesivo",$C$11,$C$9)))</f>
        <v/>
      </c>
      <c r="H113" s="117" t="str">
        <f>IF(B113="","",F113-G113)</f>
        <v/>
      </c>
      <c r="I113" s="117" t="str">
        <f>IF(B113="","",E113-H113)</f>
        <v/>
      </c>
      <c r="J113" s="117" t="str">
        <f>IF(B113="","",IF(OR(inp_Tipo="Arrendamiento Puro",par_BaseIVAFin="Sobre renta",B113="Opción de compra"),F113,G113)*$C$14)</f>
        <v/>
      </c>
      <c r="K113" s="117" t="str">
        <f>IF(B113="","",F113+J113)</f>
        <v/>
      </c>
      <c r="L113" s="117" t="str">
        <f>IF(B113="","",F113-IF(A113=$C$38,$C$30,0))</f>
        <v/>
      </c>
      <c r="M113" s="131" t="str">
        <f>IF(B113="","",$C$37*(1+$C$13)^(-C113))</f>
        <v/>
      </c>
      <c r="N113" s="117" t="str">
        <f>IF(B113="","",L113*M113)</f>
        <v/>
      </c>
      <c r="O113" s="117" t="str">
        <f>IF(B113="","",IF(B113="Básico",F113,0)-IF(A113=$C$38,$C$30,0))</f>
        <v/>
      </c>
      <c r="P113" s="130">
        <f>IF(B113="",$C$31,D113)</f>
        <v>46301.0</v>
      </c>
      <c r="Q113" s="117">
        <f>IF(B113="",0,L113)</f>
        <v>0</v>
      </c>
      <c r="R113" s="117">
        <f>IF(B113="",0,-F113)</f>
        <v>0</v>
      </c>
      <c r="S113" s="117" t="str">
        <f>IF(B113="","",O113*M113)</f>
        <v/>
      </c>
    </row>
    <row r="114">
      <c r="A114" s="53" t="n">
        <v>55</v>
      </c>
      <c r="B114" s="53" t="str">
        <f>IF(A114&gt;$C$38,"",IF(A114&lt;=$C$5,"Básico",IF($C$6&gt;0,"Sucesivo","Opción de compra")))</f>
        <v/>
      </c>
      <c r="C114" s="53" t="str">
        <f>IF(B114="","",IF(B114="Opción de compra",$C$5,A114-$C$7))</f>
        <v/>
      </c>
      <c r="D114" s="130" t="str">
        <f>IF(B114="","",EDATE($C$33,C114))</f>
        <v/>
      </c>
      <c r="E114" s="117" t="str">
        <f>IF(B114="","",I113)</f>
        <v/>
      </c>
      <c r="F114" s="117" t="str">
        <f>IF(B114="","",IF(B114="Básico",$C$24,IF(B114="Sucesivo",$C$25,$C$26)))</f>
        <v/>
      </c>
      <c r="G114" s="117" t="str">
        <f>IF(B114="","",IF(B114="Opción de compra",0,(E114-$C$7*F114)*IF(B114="Sucesivo",$C$11,$C$9)))</f>
        <v/>
      </c>
      <c r="H114" s="117" t="str">
        <f>IF(B114="","",F114-G114)</f>
        <v/>
      </c>
      <c r="I114" s="117" t="str">
        <f>IF(B114="","",E114-H114)</f>
        <v/>
      </c>
      <c r="J114" s="117" t="str">
        <f>IF(B114="","",IF(OR(inp_Tipo="Arrendamiento Puro",par_BaseIVAFin="Sobre renta",B114="Opción de compra"),F114,G114)*$C$14)</f>
        <v/>
      </c>
      <c r="K114" s="117" t="str">
        <f>IF(B114="","",F114+J114)</f>
        <v/>
      </c>
      <c r="L114" s="117" t="str">
        <f>IF(B114="","",F114-IF(A114=$C$38,$C$30,0))</f>
        <v/>
      </c>
      <c r="M114" s="131" t="str">
        <f>IF(B114="","",$C$37*(1+$C$13)^(-C114))</f>
        <v/>
      </c>
      <c r="N114" s="117" t="str">
        <f>IF(B114="","",L114*M114)</f>
        <v/>
      </c>
      <c r="O114" s="117" t="str">
        <f>IF(B114="","",IF(B114="Básico",F114,0)-IF(A114=$C$38,$C$30,0))</f>
        <v/>
      </c>
      <c r="P114" s="130">
        <f>IF(B114="",$C$31,D114)</f>
        <v>46301.0</v>
      </c>
      <c r="Q114" s="117">
        <f>IF(B114="",0,L114)</f>
        <v>0</v>
      </c>
      <c r="R114" s="117">
        <f>IF(B114="",0,-F114)</f>
        <v>0</v>
      </c>
      <c r="S114" s="117" t="str">
        <f>IF(B114="","",O114*M114)</f>
        <v/>
      </c>
    </row>
    <row r="115">
      <c r="A115" s="53" t="n">
        <v>56</v>
      </c>
      <c r="B115" s="53" t="str">
        <f>IF(A115&gt;$C$38,"",IF(A115&lt;=$C$5,"Básico",IF($C$6&gt;0,"Sucesivo","Opción de compra")))</f>
        <v/>
      </c>
      <c r="C115" s="53" t="str">
        <f>IF(B115="","",IF(B115="Opción de compra",$C$5,A115-$C$7))</f>
        <v/>
      </c>
      <c r="D115" s="130" t="str">
        <f>IF(B115="","",EDATE($C$33,C115))</f>
        <v/>
      </c>
      <c r="E115" s="117" t="str">
        <f>IF(B115="","",I114)</f>
        <v/>
      </c>
      <c r="F115" s="117" t="str">
        <f>IF(B115="","",IF(B115="Básico",$C$24,IF(B115="Sucesivo",$C$25,$C$26)))</f>
        <v/>
      </c>
      <c r="G115" s="117" t="str">
        <f>IF(B115="","",IF(B115="Opción de compra",0,(E115-$C$7*F115)*IF(B115="Sucesivo",$C$11,$C$9)))</f>
        <v/>
      </c>
      <c r="H115" s="117" t="str">
        <f>IF(B115="","",F115-G115)</f>
        <v/>
      </c>
      <c r="I115" s="117" t="str">
        <f>IF(B115="","",E115-H115)</f>
        <v/>
      </c>
      <c r="J115" s="117" t="str">
        <f>IF(B115="","",IF(OR(inp_Tipo="Arrendamiento Puro",par_BaseIVAFin="Sobre renta",B115="Opción de compra"),F115,G115)*$C$14)</f>
        <v/>
      </c>
      <c r="K115" s="117" t="str">
        <f>IF(B115="","",F115+J115)</f>
        <v/>
      </c>
      <c r="L115" s="117" t="str">
        <f>IF(B115="","",F115-IF(A115=$C$38,$C$30,0))</f>
        <v/>
      </c>
      <c r="M115" s="131" t="str">
        <f>IF(B115="","",$C$37*(1+$C$13)^(-C115))</f>
        <v/>
      </c>
      <c r="N115" s="117" t="str">
        <f>IF(B115="","",L115*M115)</f>
        <v/>
      </c>
      <c r="O115" s="117" t="str">
        <f>IF(B115="","",IF(B115="Básico",F115,0)-IF(A115=$C$38,$C$30,0))</f>
        <v/>
      </c>
      <c r="P115" s="130">
        <f>IF(B115="",$C$31,D115)</f>
        <v>46301.0</v>
      </c>
      <c r="Q115" s="117">
        <f>IF(B115="",0,L115)</f>
        <v>0</v>
      </c>
      <c r="R115" s="117">
        <f>IF(B115="",0,-F115)</f>
        <v>0</v>
      </c>
      <c r="S115" s="117" t="str">
        <f>IF(B115="","",O115*M115)</f>
        <v/>
      </c>
    </row>
    <row r="116">
      <c r="A116" s="53" t="n">
        <v>57</v>
      </c>
      <c r="B116" s="53" t="str">
        <f>IF(A116&gt;$C$38,"",IF(A116&lt;=$C$5,"Básico",IF($C$6&gt;0,"Sucesivo","Opción de compra")))</f>
        <v/>
      </c>
      <c r="C116" s="53" t="str">
        <f>IF(B116="","",IF(B116="Opción de compra",$C$5,A116-$C$7))</f>
        <v/>
      </c>
      <c r="D116" s="130" t="str">
        <f>IF(B116="","",EDATE($C$33,C116))</f>
        <v/>
      </c>
      <c r="E116" s="117" t="str">
        <f>IF(B116="","",I115)</f>
        <v/>
      </c>
      <c r="F116" s="117" t="str">
        <f>IF(B116="","",IF(B116="Básico",$C$24,IF(B116="Sucesivo",$C$25,$C$26)))</f>
        <v/>
      </c>
      <c r="G116" s="117" t="str">
        <f>IF(B116="","",IF(B116="Opción de compra",0,(E116-$C$7*F116)*IF(B116="Sucesivo",$C$11,$C$9)))</f>
        <v/>
      </c>
      <c r="H116" s="117" t="str">
        <f>IF(B116="","",F116-G116)</f>
        <v/>
      </c>
      <c r="I116" s="117" t="str">
        <f>IF(B116="","",E116-H116)</f>
        <v/>
      </c>
      <c r="J116" s="117" t="str">
        <f>IF(B116="","",IF(OR(inp_Tipo="Arrendamiento Puro",par_BaseIVAFin="Sobre renta",B116="Opción de compra"),F116,G116)*$C$14)</f>
        <v/>
      </c>
      <c r="K116" s="117" t="str">
        <f>IF(B116="","",F116+J116)</f>
        <v/>
      </c>
      <c r="L116" s="117" t="str">
        <f>IF(B116="","",F116-IF(A116=$C$38,$C$30,0))</f>
        <v/>
      </c>
      <c r="M116" s="131" t="str">
        <f>IF(B116="","",$C$37*(1+$C$13)^(-C116))</f>
        <v/>
      </c>
      <c r="N116" s="117" t="str">
        <f>IF(B116="","",L116*M116)</f>
        <v/>
      </c>
      <c r="O116" s="117" t="str">
        <f>IF(B116="","",IF(B116="Básico",F116,0)-IF(A116=$C$38,$C$30,0))</f>
        <v/>
      </c>
      <c r="P116" s="130">
        <f>IF(B116="",$C$31,D116)</f>
        <v>46301.0</v>
      </c>
      <c r="Q116" s="117">
        <f>IF(B116="",0,L116)</f>
        <v>0</v>
      </c>
      <c r="R116" s="117">
        <f>IF(B116="",0,-F116)</f>
        <v>0</v>
      </c>
      <c r="S116" s="117" t="str">
        <f>IF(B116="","",O116*M116)</f>
        <v/>
      </c>
    </row>
    <row r="117">
      <c r="A117" s="53" t="n">
        <v>58</v>
      </c>
      <c r="B117" s="53" t="str">
        <f>IF(A117&gt;$C$38,"",IF(A117&lt;=$C$5,"Básico",IF($C$6&gt;0,"Sucesivo","Opción de compra")))</f>
        <v/>
      </c>
      <c r="C117" s="53" t="str">
        <f>IF(B117="","",IF(B117="Opción de compra",$C$5,A117-$C$7))</f>
        <v/>
      </c>
      <c r="D117" s="130" t="str">
        <f>IF(B117="","",EDATE($C$33,C117))</f>
        <v/>
      </c>
      <c r="E117" s="117" t="str">
        <f>IF(B117="","",I116)</f>
        <v/>
      </c>
      <c r="F117" s="117" t="str">
        <f>IF(B117="","",IF(B117="Básico",$C$24,IF(B117="Sucesivo",$C$25,$C$26)))</f>
        <v/>
      </c>
      <c r="G117" s="117" t="str">
        <f>IF(B117="","",IF(B117="Opción de compra",0,(E117-$C$7*F117)*IF(B117="Sucesivo",$C$11,$C$9)))</f>
        <v/>
      </c>
      <c r="H117" s="117" t="str">
        <f>IF(B117="","",F117-G117)</f>
        <v/>
      </c>
      <c r="I117" s="117" t="str">
        <f>IF(B117="","",E117-H117)</f>
        <v/>
      </c>
      <c r="J117" s="117" t="str">
        <f>IF(B117="","",IF(OR(inp_Tipo="Arrendamiento Puro",par_BaseIVAFin="Sobre renta",B117="Opción de compra"),F117,G117)*$C$14)</f>
        <v/>
      </c>
      <c r="K117" s="117" t="str">
        <f>IF(B117="","",F117+J117)</f>
        <v/>
      </c>
      <c r="L117" s="117" t="str">
        <f>IF(B117="","",F117-IF(A117=$C$38,$C$30,0))</f>
        <v/>
      </c>
      <c r="M117" s="131" t="str">
        <f>IF(B117="","",$C$37*(1+$C$13)^(-C117))</f>
        <v/>
      </c>
      <c r="N117" s="117" t="str">
        <f>IF(B117="","",L117*M117)</f>
        <v/>
      </c>
      <c r="O117" s="117" t="str">
        <f>IF(B117="","",IF(B117="Básico",F117,0)-IF(A117=$C$38,$C$30,0))</f>
        <v/>
      </c>
      <c r="P117" s="130">
        <f>IF(B117="",$C$31,D117)</f>
        <v>46301.0</v>
      </c>
      <c r="Q117" s="117">
        <f>IF(B117="",0,L117)</f>
        <v>0</v>
      </c>
      <c r="R117" s="117">
        <f>IF(B117="",0,-F117)</f>
        <v>0</v>
      </c>
      <c r="S117" s="117" t="str">
        <f>IF(B117="","",O117*M117)</f>
        <v/>
      </c>
    </row>
    <row r="118">
      <c r="A118" s="53" t="n">
        <v>59</v>
      </c>
      <c r="B118" s="53" t="str">
        <f>IF(A118&gt;$C$38,"",IF(A118&lt;=$C$5,"Básico",IF($C$6&gt;0,"Sucesivo","Opción de compra")))</f>
        <v/>
      </c>
      <c r="C118" s="53" t="str">
        <f>IF(B118="","",IF(B118="Opción de compra",$C$5,A118-$C$7))</f>
        <v/>
      </c>
      <c r="D118" s="130" t="str">
        <f>IF(B118="","",EDATE($C$33,C118))</f>
        <v/>
      </c>
      <c r="E118" s="117" t="str">
        <f>IF(B118="","",I117)</f>
        <v/>
      </c>
      <c r="F118" s="117" t="str">
        <f>IF(B118="","",IF(B118="Básico",$C$24,IF(B118="Sucesivo",$C$25,$C$26)))</f>
        <v/>
      </c>
      <c r="G118" s="117" t="str">
        <f>IF(B118="","",IF(B118="Opción de compra",0,(E118-$C$7*F118)*IF(B118="Sucesivo",$C$11,$C$9)))</f>
        <v/>
      </c>
      <c r="H118" s="117" t="str">
        <f>IF(B118="","",F118-G118)</f>
        <v/>
      </c>
      <c r="I118" s="117" t="str">
        <f>IF(B118="","",E118-H118)</f>
        <v/>
      </c>
      <c r="J118" s="117" t="str">
        <f>IF(B118="","",IF(OR(inp_Tipo="Arrendamiento Puro",par_BaseIVAFin="Sobre renta",B118="Opción de compra"),F118,G118)*$C$14)</f>
        <v/>
      </c>
      <c r="K118" s="117" t="str">
        <f>IF(B118="","",F118+J118)</f>
        <v/>
      </c>
      <c r="L118" s="117" t="str">
        <f>IF(B118="","",F118-IF(A118=$C$38,$C$30,0))</f>
        <v/>
      </c>
      <c r="M118" s="131" t="str">
        <f>IF(B118="","",$C$37*(1+$C$13)^(-C118))</f>
        <v/>
      </c>
      <c r="N118" s="117" t="str">
        <f>IF(B118="","",L118*M118)</f>
        <v/>
      </c>
      <c r="O118" s="117" t="str">
        <f>IF(B118="","",IF(B118="Básico",F118,0)-IF(A118=$C$38,$C$30,0))</f>
        <v/>
      </c>
      <c r="P118" s="130">
        <f>IF(B118="",$C$31,D118)</f>
        <v>46301.0</v>
      </c>
      <c r="Q118" s="117">
        <f>IF(B118="",0,L118)</f>
        <v>0</v>
      </c>
      <c r="R118" s="117">
        <f>IF(B118="",0,-F118)</f>
        <v>0</v>
      </c>
      <c r="S118" s="117" t="str">
        <f>IF(B118="","",O118*M118)</f>
        <v/>
      </c>
    </row>
    <row r="119">
      <c r="A119" s="53" t="n">
        <v>60</v>
      </c>
      <c r="B119" s="53" t="str">
        <f>IF(A119&gt;$C$38,"",IF(A119&lt;=$C$5,"Básico",IF($C$6&gt;0,"Sucesivo","Opción de compra")))</f>
        <v/>
      </c>
      <c r="C119" s="53" t="str">
        <f>IF(B119="","",IF(B119="Opción de compra",$C$5,A119-$C$7))</f>
        <v/>
      </c>
      <c r="D119" s="130" t="str">
        <f>IF(B119="","",EDATE($C$33,C119))</f>
        <v/>
      </c>
      <c r="E119" s="117" t="str">
        <f>IF(B119="","",I118)</f>
        <v/>
      </c>
      <c r="F119" s="117" t="str">
        <f>IF(B119="","",IF(B119="Básico",$C$24,IF(B119="Sucesivo",$C$25,$C$26)))</f>
        <v/>
      </c>
      <c r="G119" s="117" t="str">
        <f>IF(B119="","",IF(B119="Opción de compra",0,(E119-$C$7*F119)*IF(B119="Sucesivo",$C$11,$C$9)))</f>
        <v/>
      </c>
      <c r="H119" s="117" t="str">
        <f>IF(B119="","",F119-G119)</f>
        <v/>
      </c>
      <c r="I119" s="117" t="str">
        <f>IF(B119="","",E119-H119)</f>
        <v/>
      </c>
      <c r="J119" s="117" t="str">
        <f>IF(B119="","",IF(OR(inp_Tipo="Arrendamiento Puro",par_BaseIVAFin="Sobre renta",B119="Opción de compra"),F119,G119)*$C$14)</f>
        <v/>
      </c>
      <c r="K119" s="117" t="str">
        <f>IF(B119="","",F119+J119)</f>
        <v/>
      </c>
      <c r="L119" s="117" t="str">
        <f>IF(B119="","",F119-IF(A119=$C$38,$C$30,0))</f>
        <v/>
      </c>
      <c r="M119" s="131" t="str">
        <f>IF(B119="","",$C$37*(1+$C$13)^(-C119))</f>
        <v/>
      </c>
      <c r="N119" s="117" t="str">
        <f>IF(B119="","",L119*M119)</f>
        <v/>
      </c>
      <c r="O119" s="117" t="str">
        <f>IF(B119="","",IF(B119="Básico",F119,0)-IF(A119=$C$38,$C$30,0))</f>
        <v/>
      </c>
      <c r="P119" s="130">
        <f>IF(B119="",$C$31,D119)</f>
        <v>46301.0</v>
      </c>
      <c r="Q119" s="117">
        <f>IF(B119="",0,L119)</f>
        <v>0</v>
      </c>
      <c r="R119" s="117">
        <f>IF(B119="",0,-F119)</f>
        <v>0</v>
      </c>
      <c r="S119" s="117" t="str">
        <f>IF(B119="","",O119*M119)</f>
        <v/>
      </c>
    </row>
    <row r="120">
      <c r="A120" s="53" t="n">
        <v>61</v>
      </c>
      <c r="B120" s="53" t="str">
        <f>IF(A120&gt;$C$38,"",IF(A120&lt;=$C$5,"Básico",IF($C$6&gt;0,"Sucesivo","Opción de compra")))</f>
        <v/>
      </c>
      <c r="C120" s="53" t="str">
        <f>IF(B120="","",IF(B120="Opción de compra",$C$5,A120-$C$7))</f>
        <v/>
      </c>
      <c r="D120" s="130" t="str">
        <f>IF(B120="","",EDATE($C$33,C120))</f>
        <v/>
      </c>
      <c r="E120" s="117" t="str">
        <f>IF(B120="","",I119)</f>
        <v/>
      </c>
      <c r="F120" s="117" t="str">
        <f>IF(B120="","",IF(B120="Básico",$C$24,IF(B120="Sucesivo",$C$25,$C$26)))</f>
        <v/>
      </c>
      <c r="G120" s="117" t="str">
        <f>IF(B120="","",IF(B120="Opción de compra",0,(E120-$C$7*F120)*IF(B120="Sucesivo",$C$11,$C$9)))</f>
        <v/>
      </c>
      <c r="H120" s="117" t="str">
        <f>IF(B120="","",F120-G120)</f>
        <v/>
      </c>
      <c r="I120" s="117" t="str">
        <f>IF(B120="","",E120-H120)</f>
        <v/>
      </c>
      <c r="J120" s="117" t="str">
        <f>IF(B120="","",IF(OR(inp_Tipo="Arrendamiento Puro",par_BaseIVAFin="Sobre renta",B120="Opción de compra"),F120,G120)*$C$14)</f>
        <v/>
      </c>
      <c r="K120" s="117" t="str">
        <f>IF(B120="","",F120+J120)</f>
        <v/>
      </c>
      <c r="L120" s="117" t="str">
        <f>IF(B120="","",F120-IF(A120=$C$38,$C$30,0))</f>
        <v/>
      </c>
      <c r="M120" s="131" t="str">
        <f>IF(B120="","",$C$37*(1+$C$13)^(-C120))</f>
        <v/>
      </c>
      <c r="N120" s="117" t="str">
        <f>IF(B120="","",L120*M120)</f>
        <v/>
      </c>
      <c r="O120" s="117" t="str">
        <f>IF(B120="","",IF(B120="Básico",F120,0)-IF(A120=$C$38,$C$30,0))</f>
        <v/>
      </c>
      <c r="P120" s="130">
        <f>IF(B120="",$C$31,D120)</f>
        <v>46301.0</v>
      </c>
      <c r="Q120" s="117">
        <f>IF(B120="",0,L120)</f>
        <v>0</v>
      </c>
      <c r="R120" s="117">
        <f>IF(B120="",0,-F120)</f>
        <v>0</v>
      </c>
      <c r="S120" s="117" t="str">
        <f>IF(B120="","",O120*M120)</f>
        <v/>
      </c>
    </row>
    <row r="121">
      <c r="A121" s="53" t="n">
        <v>62</v>
      </c>
      <c r="B121" s="53" t="str">
        <f>IF(A121&gt;$C$38,"",IF(A121&lt;=$C$5,"Básico",IF($C$6&gt;0,"Sucesivo","Opción de compra")))</f>
        <v/>
      </c>
      <c r="C121" s="53" t="str">
        <f>IF(B121="","",IF(B121="Opción de compra",$C$5,A121-$C$7))</f>
        <v/>
      </c>
      <c r="D121" s="130" t="str">
        <f>IF(B121="","",EDATE($C$33,C121))</f>
        <v/>
      </c>
      <c r="E121" s="117" t="str">
        <f>IF(B121="","",I120)</f>
        <v/>
      </c>
      <c r="F121" s="117" t="str">
        <f>IF(B121="","",IF(B121="Básico",$C$24,IF(B121="Sucesivo",$C$25,$C$26)))</f>
        <v/>
      </c>
      <c r="G121" s="117" t="str">
        <f>IF(B121="","",IF(B121="Opción de compra",0,(E121-$C$7*F121)*IF(B121="Sucesivo",$C$11,$C$9)))</f>
        <v/>
      </c>
      <c r="H121" s="117" t="str">
        <f>IF(B121="","",F121-G121)</f>
        <v/>
      </c>
      <c r="I121" s="117" t="str">
        <f>IF(B121="","",E121-H121)</f>
        <v/>
      </c>
      <c r="J121" s="117" t="str">
        <f>IF(B121="","",IF(OR(inp_Tipo="Arrendamiento Puro",par_BaseIVAFin="Sobre renta",B121="Opción de compra"),F121,G121)*$C$14)</f>
        <v/>
      </c>
      <c r="K121" s="117" t="str">
        <f>IF(B121="","",F121+J121)</f>
        <v/>
      </c>
      <c r="L121" s="117" t="str">
        <f>IF(B121="","",F121-IF(A121=$C$38,$C$30,0))</f>
        <v/>
      </c>
      <c r="M121" s="131" t="str">
        <f>IF(B121="","",$C$37*(1+$C$13)^(-C121))</f>
        <v/>
      </c>
      <c r="N121" s="117" t="str">
        <f>IF(B121="","",L121*M121)</f>
        <v/>
      </c>
      <c r="O121" s="117" t="str">
        <f>IF(B121="","",IF(B121="Básico",F121,0)-IF(A121=$C$38,$C$30,0))</f>
        <v/>
      </c>
      <c r="P121" s="130">
        <f>IF(B121="",$C$31,D121)</f>
        <v>46301.0</v>
      </c>
      <c r="Q121" s="117">
        <f>IF(B121="",0,L121)</f>
        <v>0</v>
      </c>
      <c r="R121" s="117">
        <f>IF(B121="",0,-F121)</f>
        <v>0</v>
      </c>
      <c r="S121" s="117" t="str">
        <f>IF(B121="","",O121*M121)</f>
        <v/>
      </c>
    </row>
    <row r="122">
      <c r="A122" s="53" t="n">
        <v>63</v>
      </c>
      <c r="B122" s="53" t="str">
        <f>IF(A122&gt;$C$38,"",IF(A122&lt;=$C$5,"Básico",IF($C$6&gt;0,"Sucesivo","Opción de compra")))</f>
        <v/>
      </c>
      <c r="C122" s="53" t="str">
        <f>IF(B122="","",IF(B122="Opción de compra",$C$5,A122-$C$7))</f>
        <v/>
      </c>
      <c r="D122" s="130" t="str">
        <f>IF(B122="","",EDATE($C$33,C122))</f>
        <v/>
      </c>
      <c r="E122" s="117" t="str">
        <f>IF(B122="","",I121)</f>
        <v/>
      </c>
      <c r="F122" s="117" t="str">
        <f>IF(B122="","",IF(B122="Básico",$C$24,IF(B122="Sucesivo",$C$25,$C$26)))</f>
        <v/>
      </c>
      <c r="G122" s="117" t="str">
        <f>IF(B122="","",IF(B122="Opción de compra",0,(E122-$C$7*F122)*IF(B122="Sucesivo",$C$11,$C$9)))</f>
        <v/>
      </c>
      <c r="H122" s="117" t="str">
        <f>IF(B122="","",F122-G122)</f>
        <v/>
      </c>
      <c r="I122" s="117" t="str">
        <f>IF(B122="","",E122-H122)</f>
        <v/>
      </c>
      <c r="J122" s="117" t="str">
        <f>IF(B122="","",IF(OR(inp_Tipo="Arrendamiento Puro",par_BaseIVAFin="Sobre renta",B122="Opción de compra"),F122,G122)*$C$14)</f>
        <v/>
      </c>
      <c r="K122" s="117" t="str">
        <f>IF(B122="","",F122+J122)</f>
        <v/>
      </c>
      <c r="L122" s="117" t="str">
        <f>IF(B122="","",F122-IF(A122=$C$38,$C$30,0))</f>
        <v/>
      </c>
      <c r="M122" s="131" t="str">
        <f>IF(B122="","",$C$37*(1+$C$13)^(-C122))</f>
        <v/>
      </c>
      <c r="N122" s="117" t="str">
        <f>IF(B122="","",L122*M122)</f>
        <v/>
      </c>
      <c r="O122" s="117" t="str">
        <f>IF(B122="","",IF(B122="Básico",F122,0)-IF(A122=$C$38,$C$30,0))</f>
        <v/>
      </c>
      <c r="P122" s="130">
        <f>IF(B122="",$C$31,D122)</f>
        <v>46301.0</v>
      </c>
      <c r="Q122" s="117">
        <f>IF(B122="",0,L122)</f>
        <v>0</v>
      </c>
      <c r="R122" s="117">
        <f>IF(B122="",0,-F122)</f>
        <v>0</v>
      </c>
      <c r="S122" s="117" t="str">
        <f>IF(B122="","",O122*M122)</f>
        <v/>
      </c>
    </row>
    <row r="123">
      <c r="A123" s="53" t="n">
        <v>64</v>
      </c>
      <c r="B123" s="53" t="str">
        <f>IF(A123&gt;$C$38,"",IF(A123&lt;=$C$5,"Básico",IF($C$6&gt;0,"Sucesivo","Opción de compra")))</f>
        <v/>
      </c>
      <c r="C123" s="53" t="str">
        <f>IF(B123="","",IF(B123="Opción de compra",$C$5,A123-$C$7))</f>
        <v/>
      </c>
      <c r="D123" s="130" t="str">
        <f>IF(B123="","",EDATE($C$33,C123))</f>
        <v/>
      </c>
      <c r="E123" s="117" t="str">
        <f>IF(B123="","",I122)</f>
        <v/>
      </c>
      <c r="F123" s="117" t="str">
        <f>IF(B123="","",IF(B123="Básico",$C$24,IF(B123="Sucesivo",$C$25,$C$26)))</f>
        <v/>
      </c>
      <c r="G123" s="117" t="str">
        <f>IF(B123="","",IF(B123="Opción de compra",0,(E123-$C$7*F123)*IF(B123="Sucesivo",$C$11,$C$9)))</f>
        <v/>
      </c>
      <c r="H123" s="117" t="str">
        <f>IF(B123="","",F123-G123)</f>
        <v/>
      </c>
      <c r="I123" s="117" t="str">
        <f>IF(B123="","",E123-H123)</f>
        <v/>
      </c>
      <c r="J123" s="117" t="str">
        <f>IF(B123="","",IF(OR(inp_Tipo="Arrendamiento Puro",par_BaseIVAFin="Sobre renta",B123="Opción de compra"),F123,G123)*$C$14)</f>
        <v/>
      </c>
      <c r="K123" s="117" t="str">
        <f>IF(B123="","",F123+J123)</f>
        <v/>
      </c>
      <c r="L123" s="117" t="str">
        <f>IF(B123="","",F123-IF(A123=$C$38,$C$30,0))</f>
        <v/>
      </c>
      <c r="M123" s="131" t="str">
        <f>IF(B123="","",$C$37*(1+$C$13)^(-C123))</f>
        <v/>
      </c>
      <c r="N123" s="117" t="str">
        <f>IF(B123="","",L123*M123)</f>
        <v/>
      </c>
      <c r="O123" s="117" t="str">
        <f>IF(B123="","",IF(B123="Básico",F123,0)-IF(A123=$C$38,$C$30,0))</f>
        <v/>
      </c>
      <c r="P123" s="130">
        <f>IF(B123="",$C$31,D123)</f>
        <v>46301.0</v>
      </c>
      <c r="Q123" s="117">
        <f>IF(B123="",0,L123)</f>
        <v>0</v>
      </c>
      <c r="R123" s="117">
        <f>IF(B123="",0,-F123)</f>
        <v>0</v>
      </c>
      <c r="S123" s="117" t="str">
        <f>IF(B123="","",O123*M123)</f>
        <v/>
      </c>
    </row>
    <row r="124">
      <c r="A124" s="53" t="n">
        <v>65</v>
      </c>
      <c r="B124" s="53" t="str">
        <f>IF(A124&gt;$C$38,"",IF(A124&lt;=$C$5,"Básico",IF($C$6&gt;0,"Sucesivo","Opción de compra")))</f>
        <v/>
      </c>
      <c r="C124" s="53" t="str">
        <f>IF(B124="","",IF(B124="Opción de compra",$C$5,A124-$C$7))</f>
        <v/>
      </c>
      <c r="D124" s="130" t="str">
        <f>IF(B124="","",EDATE($C$33,C124))</f>
        <v/>
      </c>
      <c r="E124" s="117" t="str">
        <f>IF(B124="","",I123)</f>
        <v/>
      </c>
      <c r="F124" s="117" t="str">
        <f>IF(B124="","",IF(B124="Básico",$C$24,IF(B124="Sucesivo",$C$25,$C$26)))</f>
        <v/>
      </c>
      <c r="G124" s="117" t="str">
        <f>IF(B124="","",IF(B124="Opción de compra",0,(E124-$C$7*F124)*IF(B124="Sucesivo",$C$11,$C$9)))</f>
        <v/>
      </c>
      <c r="H124" s="117" t="str">
        <f>IF(B124="","",F124-G124)</f>
        <v/>
      </c>
      <c r="I124" s="117" t="str">
        <f>IF(B124="","",E124-H124)</f>
        <v/>
      </c>
      <c r="J124" s="117" t="str">
        <f>IF(B124="","",IF(OR(inp_Tipo="Arrendamiento Puro",par_BaseIVAFin="Sobre renta",B124="Opción de compra"),F124,G124)*$C$14)</f>
        <v/>
      </c>
      <c r="K124" s="117" t="str">
        <f>IF(B124="","",F124+J124)</f>
        <v/>
      </c>
      <c r="L124" s="117" t="str">
        <f>IF(B124="","",F124-IF(A124=$C$38,$C$30,0))</f>
        <v/>
      </c>
      <c r="M124" s="131" t="str">
        <f>IF(B124="","",$C$37*(1+$C$13)^(-C124))</f>
        <v/>
      </c>
      <c r="N124" s="117" t="str">
        <f>IF(B124="","",L124*M124)</f>
        <v/>
      </c>
      <c r="O124" s="117" t="str">
        <f>IF(B124="","",IF(B124="Básico",F124,0)-IF(A124=$C$38,$C$30,0))</f>
        <v/>
      </c>
      <c r="P124" s="130">
        <f>IF(B124="",$C$31,D124)</f>
        <v>46301.0</v>
      </c>
      <c r="Q124" s="117">
        <f>IF(B124="",0,L124)</f>
        <v>0</v>
      </c>
      <c r="R124" s="117">
        <f>IF(B124="",0,-F124)</f>
        <v>0</v>
      </c>
      <c r="S124" s="117" t="str">
        <f>IF(B124="","",O124*M124)</f>
        <v/>
      </c>
    </row>
    <row r="125">
      <c r="A125" s="53" t="n">
        <v>66</v>
      </c>
      <c r="B125" s="53" t="str">
        <f>IF(A125&gt;$C$38,"",IF(A125&lt;=$C$5,"Básico",IF($C$6&gt;0,"Sucesivo","Opción de compra")))</f>
        <v/>
      </c>
      <c r="C125" s="53" t="str">
        <f>IF(B125="","",IF(B125="Opción de compra",$C$5,A125-$C$7))</f>
        <v/>
      </c>
      <c r="D125" s="130" t="str">
        <f>IF(B125="","",EDATE($C$33,C125))</f>
        <v/>
      </c>
      <c r="E125" s="117" t="str">
        <f>IF(B125="","",I124)</f>
        <v/>
      </c>
      <c r="F125" s="117" t="str">
        <f>IF(B125="","",IF(B125="Básico",$C$24,IF(B125="Sucesivo",$C$25,$C$26)))</f>
        <v/>
      </c>
      <c r="G125" s="117" t="str">
        <f>IF(B125="","",IF(B125="Opción de compra",0,(E125-$C$7*F125)*IF(B125="Sucesivo",$C$11,$C$9)))</f>
        <v/>
      </c>
      <c r="H125" s="117" t="str">
        <f>IF(B125="","",F125-G125)</f>
        <v/>
      </c>
      <c r="I125" s="117" t="str">
        <f>IF(B125="","",E125-H125)</f>
        <v/>
      </c>
      <c r="J125" s="117" t="str">
        <f>IF(B125="","",IF(OR(inp_Tipo="Arrendamiento Puro",par_BaseIVAFin="Sobre renta",B125="Opción de compra"),F125,G125)*$C$14)</f>
        <v/>
      </c>
      <c r="K125" s="117" t="str">
        <f>IF(B125="","",F125+J125)</f>
        <v/>
      </c>
      <c r="L125" s="117" t="str">
        <f>IF(B125="","",F125-IF(A125=$C$38,$C$30,0))</f>
        <v/>
      </c>
      <c r="M125" s="131" t="str">
        <f>IF(B125="","",$C$37*(1+$C$13)^(-C125))</f>
        <v/>
      </c>
      <c r="N125" s="117" t="str">
        <f>IF(B125="","",L125*M125)</f>
        <v/>
      </c>
      <c r="O125" s="117" t="str">
        <f>IF(B125="","",IF(B125="Básico",F125,0)-IF(A125=$C$38,$C$30,0))</f>
        <v/>
      </c>
      <c r="P125" s="130">
        <f>IF(B125="",$C$31,D125)</f>
        <v>46301.0</v>
      </c>
      <c r="Q125" s="117">
        <f>IF(B125="",0,L125)</f>
        <v>0</v>
      </c>
      <c r="R125" s="117">
        <f>IF(B125="",0,-F125)</f>
        <v>0</v>
      </c>
      <c r="S125" s="117" t="str">
        <f>IF(B125="","",O125*M125)</f>
        <v/>
      </c>
    </row>
    <row r="126">
      <c r="A126" s="53" t="n">
        <v>67</v>
      </c>
      <c r="B126" s="53" t="str">
        <f>IF(A126&gt;$C$38,"",IF(A126&lt;=$C$5,"Básico",IF($C$6&gt;0,"Sucesivo","Opción de compra")))</f>
        <v/>
      </c>
      <c r="C126" s="53" t="str">
        <f>IF(B126="","",IF(B126="Opción de compra",$C$5,A126-$C$7))</f>
        <v/>
      </c>
      <c r="D126" s="130" t="str">
        <f>IF(B126="","",EDATE($C$33,C126))</f>
        <v/>
      </c>
      <c r="E126" s="117" t="str">
        <f>IF(B126="","",I125)</f>
        <v/>
      </c>
      <c r="F126" s="117" t="str">
        <f>IF(B126="","",IF(B126="Básico",$C$24,IF(B126="Sucesivo",$C$25,$C$26)))</f>
        <v/>
      </c>
      <c r="G126" s="117" t="str">
        <f>IF(B126="","",IF(B126="Opción de compra",0,(E126-$C$7*F126)*IF(B126="Sucesivo",$C$11,$C$9)))</f>
        <v/>
      </c>
      <c r="H126" s="117" t="str">
        <f>IF(B126="","",F126-G126)</f>
        <v/>
      </c>
      <c r="I126" s="117" t="str">
        <f>IF(B126="","",E126-H126)</f>
        <v/>
      </c>
      <c r="J126" s="117" t="str">
        <f>IF(B126="","",IF(OR(inp_Tipo="Arrendamiento Puro",par_BaseIVAFin="Sobre renta",B126="Opción de compra"),F126,G126)*$C$14)</f>
        <v/>
      </c>
      <c r="K126" s="117" t="str">
        <f>IF(B126="","",F126+J126)</f>
        <v/>
      </c>
      <c r="L126" s="117" t="str">
        <f>IF(B126="","",F126-IF(A126=$C$38,$C$30,0))</f>
        <v/>
      </c>
      <c r="M126" s="131" t="str">
        <f>IF(B126="","",$C$37*(1+$C$13)^(-C126))</f>
        <v/>
      </c>
      <c r="N126" s="117" t="str">
        <f>IF(B126="","",L126*M126)</f>
        <v/>
      </c>
      <c r="O126" s="117" t="str">
        <f>IF(B126="","",IF(B126="Básico",F126,0)-IF(A126=$C$38,$C$30,0))</f>
        <v/>
      </c>
      <c r="P126" s="130">
        <f>IF(B126="",$C$31,D126)</f>
        <v>46301.0</v>
      </c>
      <c r="Q126" s="117">
        <f>IF(B126="",0,L126)</f>
        <v>0</v>
      </c>
      <c r="R126" s="117">
        <f>IF(B126="",0,-F126)</f>
        <v>0</v>
      </c>
      <c r="S126" s="117" t="str">
        <f>IF(B126="","",O126*M126)</f>
        <v/>
      </c>
    </row>
    <row r="127">
      <c r="A127" s="53" t="n">
        <v>68</v>
      </c>
      <c r="B127" s="53" t="str">
        <f>IF(A127&gt;$C$38,"",IF(A127&lt;=$C$5,"Básico",IF($C$6&gt;0,"Sucesivo","Opción de compra")))</f>
        <v/>
      </c>
      <c r="C127" s="53" t="str">
        <f>IF(B127="","",IF(B127="Opción de compra",$C$5,A127-$C$7))</f>
        <v/>
      </c>
      <c r="D127" s="130" t="str">
        <f>IF(B127="","",EDATE($C$33,C127))</f>
        <v/>
      </c>
      <c r="E127" s="117" t="str">
        <f>IF(B127="","",I126)</f>
        <v/>
      </c>
      <c r="F127" s="117" t="str">
        <f>IF(B127="","",IF(B127="Básico",$C$24,IF(B127="Sucesivo",$C$25,$C$26)))</f>
        <v/>
      </c>
      <c r="G127" s="117" t="str">
        <f>IF(B127="","",IF(B127="Opción de compra",0,(E127-$C$7*F127)*IF(B127="Sucesivo",$C$11,$C$9)))</f>
        <v/>
      </c>
      <c r="H127" s="117" t="str">
        <f>IF(B127="","",F127-G127)</f>
        <v/>
      </c>
      <c r="I127" s="117" t="str">
        <f>IF(B127="","",E127-H127)</f>
        <v/>
      </c>
      <c r="J127" s="117" t="str">
        <f>IF(B127="","",IF(OR(inp_Tipo="Arrendamiento Puro",par_BaseIVAFin="Sobre renta",B127="Opción de compra"),F127,G127)*$C$14)</f>
        <v/>
      </c>
      <c r="K127" s="117" t="str">
        <f>IF(B127="","",F127+J127)</f>
        <v/>
      </c>
      <c r="L127" s="117" t="str">
        <f>IF(B127="","",F127-IF(A127=$C$38,$C$30,0))</f>
        <v/>
      </c>
      <c r="M127" s="131" t="str">
        <f>IF(B127="","",$C$37*(1+$C$13)^(-C127))</f>
        <v/>
      </c>
      <c r="N127" s="117" t="str">
        <f>IF(B127="","",L127*M127)</f>
        <v/>
      </c>
      <c r="O127" s="117" t="str">
        <f>IF(B127="","",IF(B127="Básico",F127,0)-IF(A127=$C$38,$C$30,0))</f>
        <v/>
      </c>
      <c r="P127" s="130">
        <f>IF(B127="",$C$31,D127)</f>
        <v>46301.0</v>
      </c>
      <c r="Q127" s="117">
        <f>IF(B127="",0,L127)</f>
        <v>0</v>
      </c>
      <c r="R127" s="117">
        <f>IF(B127="",0,-F127)</f>
        <v>0</v>
      </c>
      <c r="S127" s="117" t="str">
        <f>IF(B127="","",O127*M127)</f>
        <v/>
      </c>
    </row>
    <row r="128">
      <c r="A128" s="53" t="n">
        <v>69</v>
      </c>
      <c r="B128" s="53" t="str">
        <f>IF(A128&gt;$C$38,"",IF(A128&lt;=$C$5,"Básico",IF($C$6&gt;0,"Sucesivo","Opción de compra")))</f>
        <v/>
      </c>
      <c r="C128" s="53" t="str">
        <f>IF(B128="","",IF(B128="Opción de compra",$C$5,A128-$C$7))</f>
        <v/>
      </c>
      <c r="D128" s="130" t="str">
        <f>IF(B128="","",EDATE($C$33,C128))</f>
        <v/>
      </c>
      <c r="E128" s="117" t="str">
        <f>IF(B128="","",I127)</f>
        <v/>
      </c>
      <c r="F128" s="117" t="str">
        <f>IF(B128="","",IF(B128="Básico",$C$24,IF(B128="Sucesivo",$C$25,$C$26)))</f>
        <v/>
      </c>
      <c r="G128" s="117" t="str">
        <f>IF(B128="","",IF(B128="Opción de compra",0,(E128-$C$7*F128)*IF(B128="Sucesivo",$C$11,$C$9)))</f>
        <v/>
      </c>
      <c r="H128" s="117" t="str">
        <f>IF(B128="","",F128-G128)</f>
        <v/>
      </c>
      <c r="I128" s="117" t="str">
        <f>IF(B128="","",E128-H128)</f>
        <v/>
      </c>
      <c r="J128" s="117" t="str">
        <f>IF(B128="","",IF(OR(inp_Tipo="Arrendamiento Puro",par_BaseIVAFin="Sobre renta",B128="Opción de compra"),F128,G128)*$C$14)</f>
        <v/>
      </c>
      <c r="K128" s="117" t="str">
        <f>IF(B128="","",F128+J128)</f>
        <v/>
      </c>
      <c r="L128" s="117" t="str">
        <f>IF(B128="","",F128-IF(A128=$C$38,$C$30,0))</f>
        <v/>
      </c>
      <c r="M128" s="131" t="str">
        <f>IF(B128="","",$C$37*(1+$C$13)^(-C128))</f>
        <v/>
      </c>
      <c r="N128" s="117" t="str">
        <f>IF(B128="","",L128*M128)</f>
        <v/>
      </c>
      <c r="O128" s="117" t="str">
        <f>IF(B128="","",IF(B128="Básico",F128,0)-IF(A128=$C$38,$C$30,0))</f>
        <v/>
      </c>
      <c r="P128" s="130">
        <f>IF(B128="",$C$31,D128)</f>
        <v>46301.0</v>
      </c>
      <c r="Q128" s="117">
        <f>IF(B128="",0,L128)</f>
        <v>0</v>
      </c>
      <c r="R128" s="117">
        <f>IF(B128="",0,-F128)</f>
        <v>0</v>
      </c>
      <c r="S128" s="117" t="str">
        <f>IF(B128="","",O128*M128)</f>
        <v/>
      </c>
    </row>
    <row r="129">
      <c r="A129" s="53" t="n">
        <v>70</v>
      </c>
      <c r="B129" s="53" t="str">
        <f>IF(A129&gt;$C$38,"",IF(A129&lt;=$C$5,"Básico",IF($C$6&gt;0,"Sucesivo","Opción de compra")))</f>
        <v/>
      </c>
      <c r="C129" s="53" t="str">
        <f>IF(B129="","",IF(B129="Opción de compra",$C$5,A129-$C$7))</f>
        <v/>
      </c>
      <c r="D129" s="130" t="str">
        <f>IF(B129="","",EDATE($C$33,C129))</f>
        <v/>
      </c>
      <c r="E129" s="117" t="str">
        <f>IF(B129="","",I128)</f>
        <v/>
      </c>
      <c r="F129" s="117" t="str">
        <f>IF(B129="","",IF(B129="Básico",$C$24,IF(B129="Sucesivo",$C$25,$C$26)))</f>
        <v/>
      </c>
      <c r="G129" s="117" t="str">
        <f>IF(B129="","",IF(B129="Opción de compra",0,(E129-$C$7*F129)*IF(B129="Sucesivo",$C$11,$C$9)))</f>
        <v/>
      </c>
      <c r="H129" s="117" t="str">
        <f>IF(B129="","",F129-G129)</f>
        <v/>
      </c>
      <c r="I129" s="117" t="str">
        <f>IF(B129="","",E129-H129)</f>
        <v/>
      </c>
      <c r="J129" s="117" t="str">
        <f>IF(B129="","",IF(OR(inp_Tipo="Arrendamiento Puro",par_BaseIVAFin="Sobre renta",B129="Opción de compra"),F129,G129)*$C$14)</f>
        <v/>
      </c>
      <c r="K129" s="117" t="str">
        <f>IF(B129="","",F129+J129)</f>
        <v/>
      </c>
      <c r="L129" s="117" t="str">
        <f>IF(B129="","",F129-IF(A129=$C$38,$C$30,0))</f>
        <v/>
      </c>
      <c r="M129" s="131" t="str">
        <f>IF(B129="","",$C$37*(1+$C$13)^(-C129))</f>
        <v/>
      </c>
      <c r="N129" s="117" t="str">
        <f>IF(B129="","",L129*M129)</f>
        <v/>
      </c>
      <c r="O129" s="117" t="str">
        <f>IF(B129="","",IF(B129="Básico",F129,0)-IF(A129=$C$38,$C$30,0))</f>
        <v/>
      </c>
      <c r="P129" s="130">
        <f>IF(B129="",$C$31,D129)</f>
        <v>46301.0</v>
      </c>
      <c r="Q129" s="117">
        <f>IF(B129="",0,L129)</f>
        <v>0</v>
      </c>
      <c r="R129" s="117">
        <f>IF(B129="",0,-F129)</f>
        <v>0</v>
      </c>
      <c r="S129" s="117" t="str">
        <f>IF(B129="","",O129*M129)</f>
        <v/>
      </c>
    </row>
    <row r="130">
      <c r="A130" s="53" t="n">
        <v>71</v>
      </c>
      <c r="B130" s="53" t="str">
        <f>IF(A130&gt;$C$38,"",IF(A130&lt;=$C$5,"Básico",IF($C$6&gt;0,"Sucesivo","Opción de compra")))</f>
        <v/>
      </c>
      <c r="C130" s="53" t="str">
        <f>IF(B130="","",IF(B130="Opción de compra",$C$5,A130-$C$7))</f>
        <v/>
      </c>
      <c r="D130" s="130" t="str">
        <f>IF(B130="","",EDATE($C$33,C130))</f>
        <v/>
      </c>
      <c r="E130" s="117" t="str">
        <f>IF(B130="","",I129)</f>
        <v/>
      </c>
      <c r="F130" s="117" t="str">
        <f>IF(B130="","",IF(B130="Básico",$C$24,IF(B130="Sucesivo",$C$25,$C$26)))</f>
        <v/>
      </c>
      <c r="G130" s="117" t="str">
        <f>IF(B130="","",IF(B130="Opción de compra",0,(E130-$C$7*F130)*IF(B130="Sucesivo",$C$11,$C$9)))</f>
        <v/>
      </c>
      <c r="H130" s="117" t="str">
        <f>IF(B130="","",F130-G130)</f>
        <v/>
      </c>
      <c r="I130" s="117" t="str">
        <f>IF(B130="","",E130-H130)</f>
        <v/>
      </c>
      <c r="J130" s="117" t="str">
        <f>IF(B130="","",IF(OR(inp_Tipo="Arrendamiento Puro",par_BaseIVAFin="Sobre renta",B130="Opción de compra"),F130,G130)*$C$14)</f>
        <v/>
      </c>
      <c r="K130" s="117" t="str">
        <f>IF(B130="","",F130+J130)</f>
        <v/>
      </c>
      <c r="L130" s="117" t="str">
        <f>IF(B130="","",F130-IF(A130=$C$38,$C$30,0))</f>
        <v/>
      </c>
      <c r="M130" s="131" t="str">
        <f>IF(B130="","",$C$37*(1+$C$13)^(-C130))</f>
        <v/>
      </c>
      <c r="N130" s="117" t="str">
        <f>IF(B130="","",L130*M130)</f>
        <v/>
      </c>
      <c r="O130" s="117" t="str">
        <f>IF(B130="","",IF(B130="Básico",F130,0)-IF(A130=$C$38,$C$30,0))</f>
        <v/>
      </c>
      <c r="P130" s="130">
        <f>IF(B130="",$C$31,D130)</f>
        <v>46301.0</v>
      </c>
      <c r="Q130" s="117">
        <f>IF(B130="",0,L130)</f>
        <v>0</v>
      </c>
      <c r="R130" s="117">
        <f>IF(B130="",0,-F130)</f>
        <v>0</v>
      </c>
      <c r="S130" s="117" t="str">
        <f>IF(B130="","",O130*M130)</f>
        <v/>
      </c>
    </row>
    <row r="131">
      <c r="A131" s="53" t="n">
        <v>72</v>
      </c>
      <c r="B131" s="53" t="str">
        <f>IF(A131&gt;$C$38,"",IF(A131&lt;=$C$5,"Básico",IF($C$6&gt;0,"Sucesivo","Opción de compra")))</f>
        <v/>
      </c>
      <c r="C131" s="53" t="str">
        <f>IF(B131="","",IF(B131="Opción de compra",$C$5,A131-$C$7))</f>
        <v/>
      </c>
      <c r="D131" s="130" t="str">
        <f>IF(B131="","",EDATE($C$33,C131))</f>
        <v/>
      </c>
      <c r="E131" s="117" t="str">
        <f>IF(B131="","",I130)</f>
        <v/>
      </c>
      <c r="F131" s="117" t="str">
        <f>IF(B131="","",IF(B131="Básico",$C$24,IF(B131="Sucesivo",$C$25,$C$26)))</f>
        <v/>
      </c>
      <c r="G131" s="117" t="str">
        <f>IF(B131="","",IF(B131="Opción de compra",0,(E131-$C$7*F131)*IF(B131="Sucesivo",$C$11,$C$9)))</f>
        <v/>
      </c>
      <c r="H131" s="117" t="str">
        <f>IF(B131="","",F131-G131)</f>
        <v/>
      </c>
      <c r="I131" s="117" t="str">
        <f>IF(B131="","",E131-H131)</f>
        <v/>
      </c>
      <c r="J131" s="117" t="str">
        <f>IF(B131="","",IF(OR(inp_Tipo="Arrendamiento Puro",par_BaseIVAFin="Sobre renta",B131="Opción de compra"),F131,G131)*$C$14)</f>
        <v/>
      </c>
      <c r="K131" s="117" t="str">
        <f>IF(B131="","",F131+J131)</f>
        <v/>
      </c>
      <c r="L131" s="117" t="str">
        <f>IF(B131="","",F131-IF(A131=$C$38,$C$30,0))</f>
        <v/>
      </c>
      <c r="M131" s="131" t="str">
        <f>IF(B131="","",$C$37*(1+$C$13)^(-C131))</f>
        <v/>
      </c>
      <c r="N131" s="117" t="str">
        <f>IF(B131="","",L131*M131)</f>
        <v/>
      </c>
      <c r="O131" s="117" t="str">
        <f>IF(B131="","",IF(B131="Básico",F131,0)-IF(A131=$C$38,$C$30,0))</f>
        <v/>
      </c>
      <c r="P131" s="130">
        <f>IF(B131="",$C$31,D131)</f>
        <v>46301.0</v>
      </c>
      <c r="Q131" s="117">
        <f>IF(B131="",0,L131)</f>
        <v>0</v>
      </c>
      <c r="R131" s="117">
        <f>IF(B131="",0,-F131)</f>
        <v>0</v>
      </c>
      <c r="S131" s="117" t="str">
        <f>IF(B131="","",O131*M131)</f>
        <v/>
      </c>
    </row>
    <row r="132">
      <c r="A132" s="53" t="n">
        <v>73</v>
      </c>
      <c r="B132" s="53" t="str">
        <f>IF(A132&gt;$C$38,"",IF(A132&lt;=$C$5,"Básico",IF($C$6&gt;0,"Sucesivo","Opción de compra")))</f>
        <v/>
      </c>
      <c r="C132" s="53" t="str">
        <f>IF(B132="","",IF(B132="Opción de compra",$C$5,A132-$C$7))</f>
        <v/>
      </c>
      <c r="D132" s="130" t="str">
        <f>IF(B132="","",EDATE($C$33,C132))</f>
        <v/>
      </c>
      <c r="E132" s="117" t="str">
        <f>IF(B132="","",I131)</f>
        <v/>
      </c>
      <c r="F132" s="117" t="str">
        <f>IF(B132="","",IF(B132="Básico",$C$24,IF(B132="Sucesivo",$C$25,$C$26)))</f>
        <v/>
      </c>
      <c r="G132" s="117" t="str">
        <f>IF(B132="","",IF(B132="Opción de compra",0,(E132-$C$7*F132)*IF(B132="Sucesivo",$C$11,$C$9)))</f>
        <v/>
      </c>
      <c r="H132" s="117" t="str">
        <f>IF(B132="","",F132-G132)</f>
        <v/>
      </c>
      <c r="I132" s="117" t="str">
        <f>IF(B132="","",E132-H132)</f>
        <v/>
      </c>
      <c r="J132" s="117" t="str">
        <f>IF(B132="","",IF(OR(inp_Tipo="Arrendamiento Puro",par_BaseIVAFin="Sobre renta",B132="Opción de compra"),F132,G132)*$C$14)</f>
        <v/>
      </c>
      <c r="K132" s="117" t="str">
        <f>IF(B132="","",F132+J132)</f>
        <v/>
      </c>
      <c r="L132" s="117" t="str">
        <f>IF(B132="","",F132-IF(A132=$C$38,$C$30,0))</f>
        <v/>
      </c>
      <c r="M132" s="131" t="str">
        <f>IF(B132="","",$C$37*(1+$C$13)^(-C132))</f>
        <v/>
      </c>
      <c r="N132" s="117" t="str">
        <f>IF(B132="","",L132*M132)</f>
        <v/>
      </c>
      <c r="O132" s="117" t="str">
        <f>IF(B132="","",IF(B132="Básico",F132,0)-IF(A132=$C$38,$C$30,0))</f>
        <v/>
      </c>
      <c r="P132" s="130">
        <f>IF(B132="",$C$31,D132)</f>
        <v>46301.0</v>
      </c>
      <c r="Q132" s="117">
        <f>IF(B132="",0,L132)</f>
        <v>0</v>
      </c>
      <c r="R132" s="117">
        <f>IF(B132="",0,-F132)</f>
        <v>0</v>
      </c>
      <c r="S132" s="117" t="str">
        <f>IF(B132="","",O132*M132)</f>
        <v/>
      </c>
    </row>
    <row r="133">
      <c r="A133" s="53" t="n">
        <v>74</v>
      </c>
      <c r="B133" s="53" t="str">
        <f>IF(A133&gt;$C$38,"",IF(A133&lt;=$C$5,"Básico",IF($C$6&gt;0,"Sucesivo","Opción de compra")))</f>
        <v/>
      </c>
      <c r="C133" s="53" t="str">
        <f>IF(B133="","",IF(B133="Opción de compra",$C$5,A133-$C$7))</f>
        <v/>
      </c>
      <c r="D133" s="130" t="str">
        <f>IF(B133="","",EDATE($C$33,C133))</f>
        <v/>
      </c>
      <c r="E133" s="117" t="str">
        <f>IF(B133="","",I132)</f>
        <v/>
      </c>
      <c r="F133" s="117" t="str">
        <f>IF(B133="","",IF(B133="Básico",$C$24,IF(B133="Sucesivo",$C$25,$C$26)))</f>
        <v/>
      </c>
      <c r="G133" s="117" t="str">
        <f>IF(B133="","",IF(B133="Opción de compra",0,(E133-$C$7*F133)*IF(B133="Sucesivo",$C$11,$C$9)))</f>
        <v/>
      </c>
      <c r="H133" s="117" t="str">
        <f>IF(B133="","",F133-G133)</f>
        <v/>
      </c>
      <c r="I133" s="117" t="str">
        <f>IF(B133="","",E133-H133)</f>
        <v/>
      </c>
      <c r="J133" s="117" t="str">
        <f>IF(B133="","",IF(OR(inp_Tipo="Arrendamiento Puro",par_BaseIVAFin="Sobre renta",B133="Opción de compra"),F133,G133)*$C$14)</f>
        <v/>
      </c>
      <c r="K133" s="117" t="str">
        <f>IF(B133="","",F133+J133)</f>
        <v/>
      </c>
      <c r="L133" s="117" t="str">
        <f>IF(B133="","",F133-IF(A133=$C$38,$C$30,0))</f>
        <v/>
      </c>
      <c r="M133" s="131" t="str">
        <f>IF(B133="","",$C$37*(1+$C$13)^(-C133))</f>
        <v/>
      </c>
      <c r="N133" s="117" t="str">
        <f>IF(B133="","",L133*M133)</f>
        <v/>
      </c>
      <c r="O133" s="117" t="str">
        <f>IF(B133="","",IF(B133="Básico",F133,0)-IF(A133=$C$38,$C$30,0))</f>
        <v/>
      </c>
      <c r="P133" s="130">
        <f>IF(B133="",$C$31,D133)</f>
        <v>46301.0</v>
      </c>
      <c r="Q133" s="117">
        <f>IF(B133="",0,L133)</f>
        <v>0</v>
      </c>
      <c r="R133" s="117">
        <f>IF(B133="",0,-F133)</f>
        <v>0</v>
      </c>
      <c r="S133" s="117" t="str">
        <f>IF(B133="","",O133*M133)</f>
        <v/>
      </c>
    </row>
    <row r="134">
      <c r="A134" s="53" t="n">
        <v>75</v>
      </c>
      <c r="B134" s="53" t="str">
        <f>IF(A134&gt;$C$38,"",IF(A134&lt;=$C$5,"Básico",IF($C$6&gt;0,"Sucesivo","Opción de compra")))</f>
        <v/>
      </c>
      <c r="C134" s="53" t="str">
        <f>IF(B134="","",IF(B134="Opción de compra",$C$5,A134-$C$7))</f>
        <v/>
      </c>
      <c r="D134" s="130" t="str">
        <f>IF(B134="","",EDATE($C$33,C134))</f>
        <v/>
      </c>
      <c r="E134" s="117" t="str">
        <f>IF(B134="","",I133)</f>
        <v/>
      </c>
      <c r="F134" s="117" t="str">
        <f>IF(B134="","",IF(B134="Básico",$C$24,IF(B134="Sucesivo",$C$25,$C$26)))</f>
        <v/>
      </c>
      <c r="G134" s="117" t="str">
        <f>IF(B134="","",IF(B134="Opción de compra",0,(E134-$C$7*F134)*IF(B134="Sucesivo",$C$11,$C$9)))</f>
        <v/>
      </c>
      <c r="H134" s="117" t="str">
        <f>IF(B134="","",F134-G134)</f>
        <v/>
      </c>
      <c r="I134" s="117" t="str">
        <f>IF(B134="","",E134-H134)</f>
        <v/>
      </c>
      <c r="J134" s="117" t="str">
        <f>IF(B134="","",IF(OR(inp_Tipo="Arrendamiento Puro",par_BaseIVAFin="Sobre renta",B134="Opción de compra"),F134,G134)*$C$14)</f>
        <v/>
      </c>
      <c r="K134" s="117" t="str">
        <f>IF(B134="","",F134+J134)</f>
        <v/>
      </c>
      <c r="L134" s="117" t="str">
        <f>IF(B134="","",F134-IF(A134=$C$38,$C$30,0))</f>
        <v/>
      </c>
      <c r="M134" s="131" t="str">
        <f>IF(B134="","",$C$37*(1+$C$13)^(-C134))</f>
        <v/>
      </c>
      <c r="N134" s="117" t="str">
        <f>IF(B134="","",L134*M134)</f>
        <v/>
      </c>
      <c r="O134" s="117" t="str">
        <f>IF(B134="","",IF(B134="Básico",F134,0)-IF(A134=$C$38,$C$30,0))</f>
        <v/>
      </c>
      <c r="P134" s="130">
        <f>IF(B134="",$C$31,D134)</f>
        <v>46301.0</v>
      </c>
      <c r="Q134" s="117">
        <f>IF(B134="",0,L134)</f>
        <v>0</v>
      </c>
      <c r="R134" s="117">
        <f>IF(B134="",0,-F134)</f>
        <v>0</v>
      </c>
      <c r="S134" s="117" t="str">
        <f>IF(B134="","",O134*M134)</f>
        <v/>
      </c>
    </row>
    <row r="135">
      <c r="A135" s="53" t="n">
        <v>76</v>
      </c>
      <c r="B135" s="53" t="str">
        <f>IF(A135&gt;$C$38,"",IF(A135&lt;=$C$5,"Básico",IF($C$6&gt;0,"Sucesivo","Opción de compra")))</f>
        <v/>
      </c>
      <c r="C135" s="53" t="str">
        <f>IF(B135="","",IF(B135="Opción de compra",$C$5,A135-$C$7))</f>
        <v/>
      </c>
      <c r="D135" s="130" t="str">
        <f>IF(B135="","",EDATE($C$33,C135))</f>
        <v/>
      </c>
      <c r="E135" s="117" t="str">
        <f>IF(B135="","",I134)</f>
        <v/>
      </c>
      <c r="F135" s="117" t="str">
        <f>IF(B135="","",IF(B135="Básico",$C$24,IF(B135="Sucesivo",$C$25,$C$26)))</f>
        <v/>
      </c>
      <c r="G135" s="117" t="str">
        <f>IF(B135="","",IF(B135="Opción de compra",0,(E135-$C$7*F135)*IF(B135="Sucesivo",$C$11,$C$9)))</f>
        <v/>
      </c>
      <c r="H135" s="117" t="str">
        <f>IF(B135="","",F135-G135)</f>
        <v/>
      </c>
      <c r="I135" s="117" t="str">
        <f>IF(B135="","",E135-H135)</f>
        <v/>
      </c>
      <c r="J135" s="117" t="str">
        <f>IF(B135="","",IF(OR(inp_Tipo="Arrendamiento Puro",par_BaseIVAFin="Sobre renta",B135="Opción de compra"),F135,G135)*$C$14)</f>
        <v/>
      </c>
      <c r="K135" s="117" t="str">
        <f>IF(B135="","",F135+J135)</f>
        <v/>
      </c>
      <c r="L135" s="117" t="str">
        <f>IF(B135="","",F135-IF(A135=$C$38,$C$30,0))</f>
        <v/>
      </c>
      <c r="M135" s="131" t="str">
        <f>IF(B135="","",$C$37*(1+$C$13)^(-C135))</f>
        <v/>
      </c>
      <c r="N135" s="117" t="str">
        <f>IF(B135="","",L135*M135)</f>
        <v/>
      </c>
      <c r="O135" s="117" t="str">
        <f>IF(B135="","",IF(B135="Básico",F135,0)-IF(A135=$C$38,$C$30,0))</f>
        <v/>
      </c>
      <c r="P135" s="130">
        <f>IF(B135="",$C$31,D135)</f>
        <v>46301.0</v>
      </c>
      <c r="Q135" s="117">
        <f>IF(B135="",0,L135)</f>
        <v>0</v>
      </c>
      <c r="R135" s="117">
        <f>IF(B135="",0,-F135)</f>
        <v>0</v>
      </c>
      <c r="S135" s="117" t="str">
        <f>IF(B135="","",O135*M135)</f>
        <v/>
      </c>
    </row>
    <row r="136">
      <c r="A136" s="53" t="n">
        <v>77</v>
      </c>
      <c r="B136" s="53" t="str">
        <f>IF(A136&gt;$C$38,"",IF(A136&lt;=$C$5,"Básico",IF($C$6&gt;0,"Sucesivo","Opción de compra")))</f>
        <v/>
      </c>
      <c r="C136" s="53" t="str">
        <f>IF(B136="","",IF(B136="Opción de compra",$C$5,A136-$C$7))</f>
        <v/>
      </c>
      <c r="D136" s="130" t="str">
        <f>IF(B136="","",EDATE($C$33,C136))</f>
        <v/>
      </c>
      <c r="E136" s="117" t="str">
        <f>IF(B136="","",I135)</f>
        <v/>
      </c>
      <c r="F136" s="117" t="str">
        <f>IF(B136="","",IF(B136="Básico",$C$24,IF(B136="Sucesivo",$C$25,$C$26)))</f>
        <v/>
      </c>
      <c r="G136" s="117" t="str">
        <f>IF(B136="","",IF(B136="Opción de compra",0,(E136-$C$7*F136)*IF(B136="Sucesivo",$C$11,$C$9)))</f>
        <v/>
      </c>
      <c r="H136" s="117" t="str">
        <f>IF(B136="","",F136-G136)</f>
        <v/>
      </c>
      <c r="I136" s="117" t="str">
        <f>IF(B136="","",E136-H136)</f>
        <v/>
      </c>
      <c r="J136" s="117" t="str">
        <f>IF(B136="","",IF(OR(inp_Tipo="Arrendamiento Puro",par_BaseIVAFin="Sobre renta",B136="Opción de compra"),F136,G136)*$C$14)</f>
        <v/>
      </c>
      <c r="K136" s="117" t="str">
        <f>IF(B136="","",F136+J136)</f>
        <v/>
      </c>
      <c r="L136" s="117" t="str">
        <f>IF(B136="","",F136-IF(A136=$C$38,$C$30,0))</f>
        <v/>
      </c>
      <c r="M136" s="131" t="str">
        <f>IF(B136="","",$C$37*(1+$C$13)^(-C136))</f>
        <v/>
      </c>
      <c r="N136" s="117" t="str">
        <f>IF(B136="","",L136*M136)</f>
        <v/>
      </c>
      <c r="O136" s="117" t="str">
        <f>IF(B136="","",IF(B136="Básico",F136,0)-IF(A136=$C$38,$C$30,0))</f>
        <v/>
      </c>
      <c r="P136" s="130">
        <f>IF(B136="",$C$31,D136)</f>
        <v>46301.0</v>
      </c>
      <c r="Q136" s="117">
        <f>IF(B136="",0,L136)</f>
        <v>0</v>
      </c>
      <c r="R136" s="117">
        <f>IF(B136="",0,-F136)</f>
        <v>0</v>
      </c>
      <c r="S136" s="117" t="str">
        <f>IF(B136="","",O136*M136)</f>
        <v/>
      </c>
    </row>
    <row r="137">
      <c r="A137" s="53" t="n">
        <v>78</v>
      </c>
      <c r="B137" s="53" t="str">
        <f>IF(A137&gt;$C$38,"",IF(A137&lt;=$C$5,"Básico",IF($C$6&gt;0,"Sucesivo","Opción de compra")))</f>
        <v/>
      </c>
      <c r="C137" s="53" t="str">
        <f>IF(B137="","",IF(B137="Opción de compra",$C$5,A137-$C$7))</f>
        <v/>
      </c>
      <c r="D137" s="130" t="str">
        <f>IF(B137="","",EDATE($C$33,C137))</f>
        <v/>
      </c>
      <c r="E137" s="117" t="str">
        <f>IF(B137="","",I136)</f>
        <v/>
      </c>
      <c r="F137" s="117" t="str">
        <f>IF(B137="","",IF(B137="Básico",$C$24,IF(B137="Sucesivo",$C$25,$C$26)))</f>
        <v/>
      </c>
      <c r="G137" s="117" t="str">
        <f>IF(B137="","",IF(B137="Opción de compra",0,(E137-$C$7*F137)*IF(B137="Sucesivo",$C$11,$C$9)))</f>
        <v/>
      </c>
      <c r="H137" s="117" t="str">
        <f>IF(B137="","",F137-G137)</f>
        <v/>
      </c>
      <c r="I137" s="117" t="str">
        <f>IF(B137="","",E137-H137)</f>
        <v/>
      </c>
      <c r="J137" s="117" t="str">
        <f>IF(B137="","",IF(OR(inp_Tipo="Arrendamiento Puro",par_BaseIVAFin="Sobre renta",B137="Opción de compra"),F137,G137)*$C$14)</f>
        <v/>
      </c>
      <c r="K137" s="117" t="str">
        <f>IF(B137="","",F137+J137)</f>
        <v/>
      </c>
      <c r="L137" s="117" t="str">
        <f>IF(B137="","",F137-IF(A137=$C$38,$C$30,0))</f>
        <v/>
      </c>
      <c r="M137" s="131" t="str">
        <f>IF(B137="","",$C$37*(1+$C$13)^(-C137))</f>
        <v/>
      </c>
      <c r="N137" s="117" t="str">
        <f>IF(B137="","",L137*M137)</f>
        <v/>
      </c>
      <c r="O137" s="117" t="str">
        <f>IF(B137="","",IF(B137="Básico",F137,0)-IF(A137=$C$38,$C$30,0))</f>
        <v/>
      </c>
      <c r="P137" s="130">
        <f>IF(B137="",$C$31,D137)</f>
        <v>46301.0</v>
      </c>
      <c r="Q137" s="117">
        <f>IF(B137="",0,L137)</f>
        <v>0</v>
      </c>
      <c r="R137" s="117">
        <f>IF(B137="",0,-F137)</f>
        <v>0</v>
      </c>
      <c r="S137" s="117" t="str">
        <f>IF(B137="","",O137*M137)</f>
        <v/>
      </c>
    </row>
    <row r="138">
      <c r="A138" s="53" t="n">
        <v>79</v>
      </c>
      <c r="B138" s="53" t="str">
        <f>IF(A138&gt;$C$38,"",IF(A138&lt;=$C$5,"Básico",IF($C$6&gt;0,"Sucesivo","Opción de compra")))</f>
        <v/>
      </c>
      <c r="C138" s="53" t="str">
        <f>IF(B138="","",IF(B138="Opción de compra",$C$5,A138-$C$7))</f>
        <v/>
      </c>
      <c r="D138" s="130" t="str">
        <f>IF(B138="","",EDATE($C$33,C138))</f>
        <v/>
      </c>
      <c r="E138" s="117" t="str">
        <f>IF(B138="","",I137)</f>
        <v/>
      </c>
      <c r="F138" s="117" t="str">
        <f>IF(B138="","",IF(B138="Básico",$C$24,IF(B138="Sucesivo",$C$25,$C$26)))</f>
        <v/>
      </c>
      <c r="G138" s="117" t="str">
        <f>IF(B138="","",IF(B138="Opción de compra",0,(E138-$C$7*F138)*IF(B138="Sucesivo",$C$11,$C$9)))</f>
        <v/>
      </c>
      <c r="H138" s="117" t="str">
        <f>IF(B138="","",F138-G138)</f>
        <v/>
      </c>
      <c r="I138" s="117" t="str">
        <f>IF(B138="","",E138-H138)</f>
        <v/>
      </c>
      <c r="J138" s="117" t="str">
        <f>IF(B138="","",IF(OR(inp_Tipo="Arrendamiento Puro",par_BaseIVAFin="Sobre renta",B138="Opción de compra"),F138,G138)*$C$14)</f>
        <v/>
      </c>
      <c r="K138" s="117" t="str">
        <f>IF(B138="","",F138+J138)</f>
        <v/>
      </c>
      <c r="L138" s="117" t="str">
        <f>IF(B138="","",F138-IF(A138=$C$38,$C$30,0))</f>
        <v/>
      </c>
      <c r="M138" s="131" t="str">
        <f>IF(B138="","",$C$37*(1+$C$13)^(-C138))</f>
        <v/>
      </c>
      <c r="N138" s="117" t="str">
        <f>IF(B138="","",L138*M138)</f>
        <v/>
      </c>
      <c r="O138" s="117" t="str">
        <f>IF(B138="","",IF(B138="Básico",F138,0)-IF(A138=$C$38,$C$30,0))</f>
        <v/>
      </c>
      <c r="P138" s="130">
        <f>IF(B138="",$C$31,D138)</f>
        <v>46301.0</v>
      </c>
      <c r="Q138" s="117">
        <f>IF(B138="",0,L138)</f>
        <v>0</v>
      </c>
      <c r="R138" s="117">
        <f>IF(B138="",0,-F138)</f>
        <v>0</v>
      </c>
      <c r="S138" s="117" t="str">
        <f>IF(B138="","",O138*M138)</f>
        <v/>
      </c>
    </row>
    <row r="139">
      <c r="A139" s="53" t="n">
        <v>80</v>
      </c>
      <c r="B139" s="53" t="str">
        <f>IF(A139&gt;$C$38,"",IF(A139&lt;=$C$5,"Básico",IF($C$6&gt;0,"Sucesivo","Opción de compra")))</f>
        <v/>
      </c>
      <c r="C139" s="53" t="str">
        <f>IF(B139="","",IF(B139="Opción de compra",$C$5,A139-$C$7))</f>
        <v/>
      </c>
      <c r="D139" s="130" t="str">
        <f>IF(B139="","",EDATE($C$33,C139))</f>
        <v/>
      </c>
      <c r="E139" s="117" t="str">
        <f>IF(B139="","",I138)</f>
        <v/>
      </c>
      <c r="F139" s="117" t="str">
        <f>IF(B139="","",IF(B139="Básico",$C$24,IF(B139="Sucesivo",$C$25,$C$26)))</f>
        <v/>
      </c>
      <c r="G139" s="117" t="str">
        <f>IF(B139="","",IF(B139="Opción de compra",0,(E139-$C$7*F139)*IF(B139="Sucesivo",$C$11,$C$9)))</f>
        <v/>
      </c>
      <c r="H139" s="117" t="str">
        <f>IF(B139="","",F139-G139)</f>
        <v/>
      </c>
      <c r="I139" s="117" t="str">
        <f>IF(B139="","",E139-H139)</f>
        <v/>
      </c>
      <c r="J139" s="117" t="str">
        <f>IF(B139="","",IF(OR(inp_Tipo="Arrendamiento Puro",par_BaseIVAFin="Sobre renta",B139="Opción de compra"),F139,G139)*$C$14)</f>
        <v/>
      </c>
      <c r="K139" s="117" t="str">
        <f>IF(B139="","",F139+J139)</f>
        <v/>
      </c>
      <c r="L139" s="117" t="str">
        <f>IF(B139="","",F139-IF(A139=$C$38,$C$30,0))</f>
        <v/>
      </c>
      <c r="M139" s="131" t="str">
        <f>IF(B139="","",$C$37*(1+$C$13)^(-C139))</f>
        <v/>
      </c>
      <c r="N139" s="117" t="str">
        <f>IF(B139="","",L139*M139)</f>
        <v/>
      </c>
      <c r="O139" s="117" t="str">
        <f>IF(B139="","",IF(B139="Básico",F139,0)-IF(A139=$C$38,$C$30,0))</f>
        <v/>
      </c>
      <c r="P139" s="130">
        <f>IF(B139="",$C$31,D139)</f>
        <v>46301.0</v>
      </c>
      <c r="Q139" s="117">
        <f>IF(B139="",0,L139)</f>
        <v>0</v>
      </c>
      <c r="R139" s="117">
        <f>IF(B139="",0,-F139)</f>
        <v>0</v>
      </c>
      <c r="S139" s="117" t="str">
        <f>IF(B139="","",O139*M139)</f>
        <v/>
      </c>
    </row>
    <row r="140">
      <c r="A140" s="53" t="n">
        <v>81</v>
      </c>
      <c r="B140" s="53" t="str">
        <f>IF(A140&gt;$C$38,"",IF(A140&lt;=$C$5,"Básico",IF($C$6&gt;0,"Sucesivo","Opción de compra")))</f>
        <v/>
      </c>
      <c r="C140" s="53" t="str">
        <f>IF(B140="","",IF(B140="Opción de compra",$C$5,A140-$C$7))</f>
        <v/>
      </c>
      <c r="D140" s="130" t="str">
        <f>IF(B140="","",EDATE($C$33,C140))</f>
        <v/>
      </c>
      <c r="E140" s="117" t="str">
        <f>IF(B140="","",I139)</f>
        <v/>
      </c>
      <c r="F140" s="117" t="str">
        <f>IF(B140="","",IF(B140="Básico",$C$24,IF(B140="Sucesivo",$C$25,$C$26)))</f>
        <v/>
      </c>
      <c r="G140" s="117" t="str">
        <f>IF(B140="","",IF(B140="Opción de compra",0,(E140-$C$7*F140)*IF(B140="Sucesivo",$C$11,$C$9)))</f>
        <v/>
      </c>
      <c r="H140" s="117" t="str">
        <f>IF(B140="","",F140-G140)</f>
        <v/>
      </c>
      <c r="I140" s="117" t="str">
        <f>IF(B140="","",E140-H140)</f>
        <v/>
      </c>
      <c r="J140" s="117" t="str">
        <f>IF(B140="","",IF(OR(inp_Tipo="Arrendamiento Puro",par_BaseIVAFin="Sobre renta",B140="Opción de compra"),F140,G140)*$C$14)</f>
        <v/>
      </c>
      <c r="K140" s="117" t="str">
        <f>IF(B140="","",F140+J140)</f>
        <v/>
      </c>
      <c r="L140" s="117" t="str">
        <f>IF(B140="","",F140-IF(A140=$C$38,$C$30,0))</f>
        <v/>
      </c>
      <c r="M140" s="131" t="str">
        <f>IF(B140="","",$C$37*(1+$C$13)^(-C140))</f>
        <v/>
      </c>
      <c r="N140" s="117" t="str">
        <f>IF(B140="","",L140*M140)</f>
        <v/>
      </c>
      <c r="O140" s="117" t="str">
        <f>IF(B140="","",IF(B140="Básico",F140,0)-IF(A140=$C$38,$C$30,0))</f>
        <v/>
      </c>
      <c r="P140" s="130">
        <f>IF(B140="",$C$31,D140)</f>
        <v>46301.0</v>
      </c>
      <c r="Q140" s="117">
        <f>IF(B140="",0,L140)</f>
        <v>0</v>
      </c>
      <c r="R140" s="117">
        <f>IF(B140="",0,-F140)</f>
        <v>0</v>
      </c>
      <c r="S140" s="117" t="str">
        <f>IF(B140="","",O140*M140)</f>
        <v/>
      </c>
    </row>
    <row r="141">
      <c r="A141" s="53" t="n">
        <v>82</v>
      </c>
      <c r="B141" s="53" t="str">
        <f>IF(A141&gt;$C$38,"",IF(A141&lt;=$C$5,"Básico",IF($C$6&gt;0,"Sucesivo","Opción de compra")))</f>
        <v/>
      </c>
      <c r="C141" s="53" t="str">
        <f>IF(B141="","",IF(B141="Opción de compra",$C$5,A141-$C$7))</f>
        <v/>
      </c>
      <c r="D141" s="130" t="str">
        <f>IF(B141="","",EDATE($C$33,C141))</f>
        <v/>
      </c>
      <c r="E141" s="117" t="str">
        <f>IF(B141="","",I140)</f>
        <v/>
      </c>
      <c r="F141" s="117" t="str">
        <f>IF(B141="","",IF(B141="Básico",$C$24,IF(B141="Sucesivo",$C$25,$C$26)))</f>
        <v/>
      </c>
      <c r="G141" s="117" t="str">
        <f>IF(B141="","",IF(B141="Opción de compra",0,(E141-$C$7*F141)*IF(B141="Sucesivo",$C$11,$C$9)))</f>
        <v/>
      </c>
      <c r="H141" s="117" t="str">
        <f>IF(B141="","",F141-G141)</f>
        <v/>
      </c>
      <c r="I141" s="117" t="str">
        <f>IF(B141="","",E141-H141)</f>
        <v/>
      </c>
      <c r="J141" s="117" t="str">
        <f>IF(B141="","",IF(OR(inp_Tipo="Arrendamiento Puro",par_BaseIVAFin="Sobre renta",B141="Opción de compra"),F141,G141)*$C$14)</f>
        <v/>
      </c>
      <c r="K141" s="117" t="str">
        <f>IF(B141="","",F141+J141)</f>
        <v/>
      </c>
      <c r="L141" s="117" t="str">
        <f>IF(B141="","",F141-IF(A141=$C$38,$C$30,0))</f>
        <v/>
      </c>
      <c r="M141" s="131" t="str">
        <f>IF(B141="","",$C$37*(1+$C$13)^(-C141))</f>
        <v/>
      </c>
      <c r="N141" s="117" t="str">
        <f>IF(B141="","",L141*M141)</f>
        <v/>
      </c>
      <c r="O141" s="117" t="str">
        <f>IF(B141="","",IF(B141="Básico",F141,0)-IF(A141=$C$38,$C$30,0))</f>
        <v/>
      </c>
      <c r="P141" s="130">
        <f>IF(B141="",$C$31,D141)</f>
        <v>46301.0</v>
      </c>
      <c r="Q141" s="117">
        <f>IF(B141="",0,L141)</f>
        <v>0</v>
      </c>
      <c r="R141" s="117">
        <f>IF(B141="",0,-F141)</f>
        <v>0</v>
      </c>
      <c r="S141" s="117" t="str">
        <f>IF(B141="","",O141*M141)</f>
        <v/>
      </c>
    </row>
    <row r="142">
      <c r="A142" s="53" t="n">
        <v>83</v>
      </c>
      <c r="B142" s="53" t="str">
        <f>IF(A142&gt;$C$38,"",IF(A142&lt;=$C$5,"Básico",IF($C$6&gt;0,"Sucesivo","Opción de compra")))</f>
        <v/>
      </c>
      <c r="C142" s="53" t="str">
        <f>IF(B142="","",IF(B142="Opción de compra",$C$5,A142-$C$7))</f>
        <v/>
      </c>
      <c r="D142" s="130" t="str">
        <f>IF(B142="","",EDATE($C$33,C142))</f>
        <v/>
      </c>
      <c r="E142" s="117" t="str">
        <f>IF(B142="","",I141)</f>
        <v/>
      </c>
      <c r="F142" s="117" t="str">
        <f>IF(B142="","",IF(B142="Básico",$C$24,IF(B142="Sucesivo",$C$25,$C$26)))</f>
        <v/>
      </c>
      <c r="G142" s="117" t="str">
        <f>IF(B142="","",IF(B142="Opción de compra",0,(E142-$C$7*F142)*IF(B142="Sucesivo",$C$11,$C$9)))</f>
        <v/>
      </c>
      <c r="H142" s="117" t="str">
        <f>IF(B142="","",F142-G142)</f>
        <v/>
      </c>
      <c r="I142" s="117" t="str">
        <f>IF(B142="","",E142-H142)</f>
        <v/>
      </c>
      <c r="J142" s="117" t="str">
        <f>IF(B142="","",IF(OR(inp_Tipo="Arrendamiento Puro",par_BaseIVAFin="Sobre renta",B142="Opción de compra"),F142,G142)*$C$14)</f>
        <v/>
      </c>
      <c r="K142" s="117" t="str">
        <f>IF(B142="","",F142+J142)</f>
        <v/>
      </c>
      <c r="L142" s="117" t="str">
        <f>IF(B142="","",F142-IF(A142=$C$38,$C$30,0))</f>
        <v/>
      </c>
      <c r="M142" s="131" t="str">
        <f>IF(B142="","",$C$37*(1+$C$13)^(-C142))</f>
        <v/>
      </c>
      <c r="N142" s="117" t="str">
        <f>IF(B142="","",L142*M142)</f>
        <v/>
      </c>
      <c r="O142" s="117" t="str">
        <f>IF(B142="","",IF(B142="Básico",F142,0)-IF(A142=$C$38,$C$30,0))</f>
        <v/>
      </c>
      <c r="P142" s="130">
        <f>IF(B142="",$C$31,D142)</f>
        <v>46301.0</v>
      </c>
      <c r="Q142" s="117">
        <f>IF(B142="",0,L142)</f>
        <v>0</v>
      </c>
      <c r="R142" s="117">
        <f>IF(B142="",0,-F142)</f>
        <v>0</v>
      </c>
      <c r="S142" s="117" t="str">
        <f>IF(B142="","",O142*M142)</f>
        <v/>
      </c>
    </row>
    <row r="143">
      <c r="A143" s="53" t="n">
        <v>84</v>
      </c>
      <c r="B143" s="53" t="str">
        <f>IF(A143&gt;$C$38,"",IF(A143&lt;=$C$5,"Básico",IF($C$6&gt;0,"Sucesivo","Opción de compra")))</f>
        <v/>
      </c>
      <c r="C143" s="53" t="str">
        <f>IF(B143="","",IF(B143="Opción de compra",$C$5,A143-$C$7))</f>
        <v/>
      </c>
      <c r="D143" s="130" t="str">
        <f>IF(B143="","",EDATE($C$33,C143))</f>
        <v/>
      </c>
      <c r="E143" s="117" t="str">
        <f>IF(B143="","",I142)</f>
        <v/>
      </c>
      <c r="F143" s="117" t="str">
        <f>IF(B143="","",IF(B143="Básico",$C$24,IF(B143="Sucesivo",$C$25,$C$26)))</f>
        <v/>
      </c>
      <c r="G143" s="117" t="str">
        <f>IF(B143="","",IF(B143="Opción de compra",0,(E143-$C$7*F143)*IF(B143="Sucesivo",$C$11,$C$9)))</f>
        <v/>
      </c>
      <c r="H143" s="117" t="str">
        <f>IF(B143="","",F143-G143)</f>
        <v/>
      </c>
      <c r="I143" s="117" t="str">
        <f>IF(B143="","",E143-H143)</f>
        <v/>
      </c>
      <c r="J143" s="117" t="str">
        <f>IF(B143="","",IF(OR(inp_Tipo="Arrendamiento Puro",par_BaseIVAFin="Sobre renta",B143="Opción de compra"),F143,G143)*$C$14)</f>
        <v/>
      </c>
      <c r="K143" s="117" t="str">
        <f>IF(B143="","",F143+J143)</f>
        <v/>
      </c>
      <c r="L143" s="117" t="str">
        <f>IF(B143="","",F143-IF(A143=$C$38,$C$30,0))</f>
        <v/>
      </c>
      <c r="M143" s="131" t="str">
        <f>IF(B143="","",$C$37*(1+$C$13)^(-C143))</f>
        <v/>
      </c>
      <c r="N143" s="117" t="str">
        <f>IF(B143="","",L143*M143)</f>
        <v/>
      </c>
      <c r="O143" s="117" t="str">
        <f>IF(B143="","",IF(B143="Básico",F143,0)-IF(A143=$C$38,$C$30,0))</f>
        <v/>
      </c>
      <c r="P143" s="130">
        <f>IF(B143="",$C$31,D143)</f>
        <v>46301.0</v>
      </c>
      <c r="Q143" s="117">
        <f>IF(B143="",0,L143)</f>
        <v>0</v>
      </c>
      <c r="R143" s="117">
        <f>IF(B143="",0,-F143)</f>
        <v>0</v>
      </c>
      <c r="S143" s="117" t="str">
        <f>IF(B143="","",O143*M143)</f>
        <v/>
      </c>
    </row>
    <row r="144">
      <c r="A144" s="53" t="n">
        <v>85</v>
      </c>
      <c r="B144" s="53" t="str">
        <f>IF(A144&gt;$C$38,"",IF(A144&lt;=$C$5,"Básico",IF($C$6&gt;0,"Sucesivo","Opción de compra")))</f>
        <v/>
      </c>
      <c r="C144" s="53" t="str">
        <f>IF(B144="","",IF(B144="Opción de compra",$C$5,A144-$C$7))</f>
        <v/>
      </c>
      <c r="D144" s="130" t="str">
        <f>IF(B144="","",EDATE($C$33,C144))</f>
        <v/>
      </c>
      <c r="E144" s="117" t="str">
        <f>IF(B144="","",I143)</f>
        <v/>
      </c>
      <c r="F144" s="117" t="str">
        <f>IF(B144="","",IF(B144="Básico",$C$24,IF(B144="Sucesivo",$C$25,$C$26)))</f>
        <v/>
      </c>
      <c r="G144" s="117" t="str">
        <f>IF(B144="","",IF(B144="Opción de compra",0,(E144-$C$7*F144)*IF(B144="Sucesivo",$C$11,$C$9)))</f>
        <v/>
      </c>
      <c r="H144" s="117" t="str">
        <f>IF(B144="","",F144-G144)</f>
        <v/>
      </c>
      <c r="I144" s="117" t="str">
        <f>IF(B144="","",E144-H144)</f>
        <v/>
      </c>
      <c r="J144" s="117" t="str">
        <f>IF(B144="","",IF(OR(inp_Tipo="Arrendamiento Puro",par_BaseIVAFin="Sobre renta",B144="Opción de compra"),F144,G144)*$C$14)</f>
        <v/>
      </c>
      <c r="K144" s="117" t="str">
        <f>IF(B144="","",F144+J144)</f>
        <v/>
      </c>
      <c r="L144" s="117" t="str">
        <f>IF(B144="","",F144-IF(A144=$C$38,$C$30,0))</f>
        <v/>
      </c>
      <c r="M144" s="131" t="str">
        <f>IF(B144="","",$C$37*(1+$C$13)^(-C144))</f>
        <v/>
      </c>
      <c r="N144" s="117" t="str">
        <f>IF(B144="","",L144*M144)</f>
        <v/>
      </c>
      <c r="O144" s="117" t="str">
        <f>IF(B144="","",IF(B144="Básico",F144,0)-IF(A144=$C$38,$C$30,0))</f>
        <v/>
      </c>
      <c r="P144" s="130">
        <f>IF(B144="",$C$31,D144)</f>
        <v>46301.0</v>
      </c>
      <c r="Q144" s="117">
        <f>IF(B144="",0,L144)</f>
        <v>0</v>
      </c>
      <c r="R144" s="117">
        <f>IF(B144="",0,-F144)</f>
        <v>0</v>
      </c>
      <c r="S144" s="117" t="str">
        <f>IF(B144="","",O144*M144)</f>
        <v/>
      </c>
    </row>
    <row r="145">
      <c r="A145" s="53" t="n">
        <v>86</v>
      </c>
      <c r="B145" s="53" t="str">
        <f>IF(A145&gt;$C$38,"",IF(A145&lt;=$C$5,"Básico",IF($C$6&gt;0,"Sucesivo","Opción de compra")))</f>
        <v/>
      </c>
      <c r="C145" s="53" t="str">
        <f>IF(B145="","",IF(B145="Opción de compra",$C$5,A145-$C$7))</f>
        <v/>
      </c>
      <c r="D145" s="130" t="str">
        <f>IF(B145="","",EDATE($C$33,C145))</f>
        <v/>
      </c>
      <c r="E145" s="117" t="str">
        <f>IF(B145="","",I144)</f>
        <v/>
      </c>
      <c r="F145" s="117" t="str">
        <f>IF(B145="","",IF(B145="Básico",$C$24,IF(B145="Sucesivo",$C$25,$C$26)))</f>
        <v/>
      </c>
      <c r="G145" s="117" t="str">
        <f>IF(B145="","",IF(B145="Opción de compra",0,(E145-$C$7*F145)*IF(B145="Sucesivo",$C$11,$C$9)))</f>
        <v/>
      </c>
      <c r="H145" s="117" t="str">
        <f>IF(B145="","",F145-G145)</f>
        <v/>
      </c>
      <c r="I145" s="117" t="str">
        <f>IF(B145="","",E145-H145)</f>
        <v/>
      </c>
      <c r="J145" s="117" t="str">
        <f>IF(B145="","",IF(OR(inp_Tipo="Arrendamiento Puro",par_BaseIVAFin="Sobre renta",B145="Opción de compra"),F145,G145)*$C$14)</f>
        <v/>
      </c>
      <c r="K145" s="117" t="str">
        <f>IF(B145="","",F145+J145)</f>
        <v/>
      </c>
      <c r="L145" s="117" t="str">
        <f>IF(B145="","",F145-IF(A145=$C$38,$C$30,0))</f>
        <v/>
      </c>
      <c r="M145" s="131" t="str">
        <f>IF(B145="","",$C$37*(1+$C$13)^(-C145))</f>
        <v/>
      </c>
      <c r="N145" s="117" t="str">
        <f>IF(B145="","",L145*M145)</f>
        <v/>
      </c>
      <c r="O145" s="117" t="str">
        <f>IF(B145="","",IF(B145="Básico",F145,0)-IF(A145=$C$38,$C$30,0))</f>
        <v/>
      </c>
      <c r="P145" s="130">
        <f>IF(B145="",$C$31,D145)</f>
        <v>46301.0</v>
      </c>
      <c r="Q145" s="117">
        <f>IF(B145="",0,L145)</f>
        <v>0</v>
      </c>
      <c r="R145" s="117">
        <f>IF(B145="",0,-F145)</f>
        <v>0</v>
      </c>
      <c r="S145" s="117" t="str">
        <f>IF(B145="","",O145*M145)</f>
        <v/>
      </c>
    </row>
    <row r="146">
      <c r="A146" s="53" t="n">
        <v>87</v>
      </c>
      <c r="B146" s="53" t="str">
        <f>IF(A146&gt;$C$38,"",IF(A146&lt;=$C$5,"Básico",IF($C$6&gt;0,"Sucesivo","Opción de compra")))</f>
        <v/>
      </c>
      <c r="C146" s="53" t="str">
        <f>IF(B146="","",IF(B146="Opción de compra",$C$5,A146-$C$7))</f>
        <v/>
      </c>
      <c r="D146" s="130" t="str">
        <f>IF(B146="","",EDATE($C$33,C146))</f>
        <v/>
      </c>
      <c r="E146" s="117" t="str">
        <f>IF(B146="","",I145)</f>
        <v/>
      </c>
      <c r="F146" s="117" t="str">
        <f>IF(B146="","",IF(B146="Básico",$C$24,IF(B146="Sucesivo",$C$25,$C$26)))</f>
        <v/>
      </c>
      <c r="G146" s="117" t="str">
        <f>IF(B146="","",IF(B146="Opción de compra",0,(E146-$C$7*F146)*IF(B146="Sucesivo",$C$11,$C$9)))</f>
        <v/>
      </c>
      <c r="H146" s="117" t="str">
        <f>IF(B146="","",F146-G146)</f>
        <v/>
      </c>
      <c r="I146" s="117" t="str">
        <f>IF(B146="","",E146-H146)</f>
        <v/>
      </c>
      <c r="J146" s="117" t="str">
        <f>IF(B146="","",IF(OR(inp_Tipo="Arrendamiento Puro",par_BaseIVAFin="Sobre renta",B146="Opción de compra"),F146,G146)*$C$14)</f>
        <v/>
      </c>
      <c r="K146" s="117" t="str">
        <f>IF(B146="","",F146+J146)</f>
        <v/>
      </c>
      <c r="L146" s="117" t="str">
        <f>IF(B146="","",F146-IF(A146=$C$38,$C$30,0))</f>
        <v/>
      </c>
      <c r="M146" s="131" t="str">
        <f>IF(B146="","",$C$37*(1+$C$13)^(-C146))</f>
        <v/>
      </c>
      <c r="N146" s="117" t="str">
        <f>IF(B146="","",L146*M146)</f>
        <v/>
      </c>
      <c r="O146" s="117" t="str">
        <f>IF(B146="","",IF(B146="Básico",F146,0)-IF(A146=$C$38,$C$30,0))</f>
        <v/>
      </c>
      <c r="P146" s="130">
        <f>IF(B146="",$C$31,D146)</f>
        <v>46301.0</v>
      </c>
      <c r="Q146" s="117">
        <f>IF(B146="",0,L146)</f>
        <v>0</v>
      </c>
      <c r="R146" s="117">
        <f>IF(B146="",0,-F146)</f>
        <v>0</v>
      </c>
      <c r="S146" s="117" t="str">
        <f>IF(B146="","",O146*M146)</f>
        <v/>
      </c>
    </row>
    <row r="147">
      <c r="A147" s="53" t="n">
        <v>88</v>
      </c>
      <c r="B147" s="53" t="str">
        <f>IF(A147&gt;$C$38,"",IF(A147&lt;=$C$5,"Básico",IF($C$6&gt;0,"Sucesivo","Opción de compra")))</f>
        <v/>
      </c>
      <c r="C147" s="53" t="str">
        <f>IF(B147="","",IF(B147="Opción de compra",$C$5,A147-$C$7))</f>
        <v/>
      </c>
      <c r="D147" s="130" t="str">
        <f>IF(B147="","",EDATE($C$33,C147))</f>
        <v/>
      </c>
      <c r="E147" s="117" t="str">
        <f>IF(B147="","",I146)</f>
        <v/>
      </c>
      <c r="F147" s="117" t="str">
        <f>IF(B147="","",IF(B147="Básico",$C$24,IF(B147="Sucesivo",$C$25,$C$26)))</f>
        <v/>
      </c>
      <c r="G147" s="117" t="str">
        <f>IF(B147="","",IF(B147="Opción de compra",0,(E147-$C$7*F147)*IF(B147="Sucesivo",$C$11,$C$9)))</f>
        <v/>
      </c>
      <c r="H147" s="117" t="str">
        <f>IF(B147="","",F147-G147)</f>
        <v/>
      </c>
      <c r="I147" s="117" t="str">
        <f>IF(B147="","",E147-H147)</f>
        <v/>
      </c>
      <c r="J147" s="117" t="str">
        <f>IF(B147="","",IF(OR(inp_Tipo="Arrendamiento Puro",par_BaseIVAFin="Sobre renta",B147="Opción de compra"),F147,G147)*$C$14)</f>
        <v/>
      </c>
      <c r="K147" s="117" t="str">
        <f>IF(B147="","",F147+J147)</f>
        <v/>
      </c>
      <c r="L147" s="117" t="str">
        <f>IF(B147="","",F147-IF(A147=$C$38,$C$30,0))</f>
        <v/>
      </c>
      <c r="M147" s="131" t="str">
        <f>IF(B147="","",$C$37*(1+$C$13)^(-C147))</f>
        <v/>
      </c>
      <c r="N147" s="117" t="str">
        <f>IF(B147="","",L147*M147)</f>
        <v/>
      </c>
      <c r="O147" s="117" t="str">
        <f>IF(B147="","",IF(B147="Básico",F147,0)-IF(A147=$C$38,$C$30,0))</f>
        <v/>
      </c>
      <c r="P147" s="130">
        <f>IF(B147="",$C$31,D147)</f>
        <v>46301.0</v>
      </c>
      <c r="Q147" s="117">
        <f>IF(B147="",0,L147)</f>
        <v>0</v>
      </c>
      <c r="R147" s="117">
        <f>IF(B147="",0,-F147)</f>
        <v>0</v>
      </c>
      <c r="S147" s="117" t="str">
        <f>IF(B147="","",O147*M147)</f>
        <v/>
      </c>
    </row>
    <row r="148">
      <c r="A148" s="53" t="n">
        <v>89</v>
      </c>
      <c r="B148" s="53" t="str">
        <f>IF(A148&gt;$C$38,"",IF(A148&lt;=$C$5,"Básico",IF($C$6&gt;0,"Sucesivo","Opción de compra")))</f>
        <v/>
      </c>
      <c r="C148" s="53" t="str">
        <f>IF(B148="","",IF(B148="Opción de compra",$C$5,A148-$C$7))</f>
        <v/>
      </c>
      <c r="D148" s="130" t="str">
        <f>IF(B148="","",EDATE($C$33,C148))</f>
        <v/>
      </c>
      <c r="E148" s="117" t="str">
        <f>IF(B148="","",I147)</f>
        <v/>
      </c>
      <c r="F148" s="117" t="str">
        <f>IF(B148="","",IF(B148="Básico",$C$24,IF(B148="Sucesivo",$C$25,$C$26)))</f>
        <v/>
      </c>
      <c r="G148" s="117" t="str">
        <f>IF(B148="","",IF(B148="Opción de compra",0,(E148-$C$7*F148)*IF(B148="Sucesivo",$C$11,$C$9)))</f>
        <v/>
      </c>
      <c r="H148" s="117" t="str">
        <f>IF(B148="","",F148-G148)</f>
        <v/>
      </c>
      <c r="I148" s="117" t="str">
        <f>IF(B148="","",E148-H148)</f>
        <v/>
      </c>
      <c r="J148" s="117" t="str">
        <f>IF(B148="","",IF(OR(inp_Tipo="Arrendamiento Puro",par_BaseIVAFin="Sobre renta",B148="Opción de compra"),F148,G148)*$C$14)</f>
        <v/>
      </c>
      <c r="K148" s="117" t="str">
        <f>IF(B148="","",F148+J148)</f>
        <v/>
      </c>
      <c r="L148" s="117" t="str">
        <f>IF(B148="","",F148-IF(A148=$C$38,$C$30,0))</f>
        <v/>
      </c>
      <c r="M148" s="131" t="str">
        <f>IF(B148="","",$C$37*(1+$C$13)^(-C148))</f>
        <v/>
      </c>
      <c r="N148" s="117" t="str">
        <f>IF(B148="","",L148*M148)</f>
        <v/>
      </c>
      <c r="O148" s="117" t="str">
        <f>IF(B148="","",IF(B148="Básico",F148,0)-IF(A148=$C$38,$C$30,0))</f>
        <v/>
      </c>
      <c r="P148" s="130">
        <f>IF(B148="",$C$31,D148)</f>
        <v>46301.0</v>
      </c>
      <c r="Q148" s="117">
        <f>IF(B148="",0,L148)</f>
        <v>0</v>
      </c>
      <c r="R148" s="117">
        <f>IF(B148="",0,-F148)</f>
        <v>0</v>
      </c>
      <c r="S148" s="117" t="str">
        <f>IF(B148="","",O148*M148)</f>
        <v/>
      </c>
    </row>
    <row r="149">
      <c r="A149" s="53" t="n">
        <v>90</v>
      </c>
      <c r="B149" s="53" t="str">
        <f>IF(A149&gt;$C$38,"",IF(A149&lt;=$C$5,"Básico",IF($C$6&gt;0,"Sucesivo","Opción de compra")))</f>
        <v/>
      </c>
      <c r="C149" s="53" t="str">
        <f>IF(B149="","",IF(B149="Opción de compra",$C$5,A149-$C$7))</f>
        <v/>
      </c>
      <c r="D149" s="130" t="str">
        <f>IF(B149="","",EDATE($C$33,C149))</f>
        <v/>
      </c>
      <c r="E149" s="117" t="str">
        <f>IF(B149="","",I148)</f>
        <v/>
      </c>
      <c r="F149" s="117" t="str">
        <f>IF(B149="","",IF(B149="Básico",$C$24,IF(B149="Sucesivo",$C$25,$C$26)))</f>
        <v/>
      </c>
      <c r="G149" s="117" t="str">
        <f>IF(B149="","",IF(B149="Opción de compra",0,(E149-$C$7*F149)*IF(B149="Sucesivo",$C$11,$C$9)))</f>
        <v/>
      </c>
      <c r="H149" s="117" t="str">
        <f>IF(B149="","",F149-G149)</f>
        <v/>
      </c>
      <c r="I149" s="117" t="str">
        <f>IF(B149="","",E149-H149)</f>
        <v/>
      </c>
      <c r="J149" s="117" t="str">
        <f>IF(B149="","",IF(OR(inp_Tipo="Arrendamiento Puro",par_BaseIVAFin="Sobre renta",B149="Opción de compra"),F149,G149)*$C$14)</f>
        <v/>
      </c>
      <c r="K149" s="117" t="str">
        <f>IF(B149="","",F149+J149)</f>
        <v/>
      </c>
      <c r="L149" s="117" t="str">
        <f>IF(B149="","",F149-IF(A149=$C$38,$C$30,0))</f>
        <v/>
      </c>
      <c r="M149" s="131" t="str">
        <f>IF(B149="","",$C$37*(1+$C$13)^(-C149))</f>
        <v/>
      </c>
      <c r="N149" s="117" t="str">
        <f>IF(B149="","",L149*M149)</f>
        <v/>
      </c>
      <c r="O149" s="117" t="str">
        <f>IF(B149="","",IF(B149="Básico",F149,0)-IF(A149=$C$38,$C$30,0))</f>
        <v/>
      </c>
      <c r="P149" s="130">
        <f>IF(B149="",$C$31,D149)</f>
        <v>46301.0</v>
      </c>
      <c r="Q149" s="117">
        <f>IF(B149="",0,L149)</f>
        <v>0</v>
      </c>
      <c r="R149" s="117">
        <f>IF(B149="",0,-F149)</f>
        <v>0</v>
      </c>
      <c r="S149" s="117" t="str">
        <f>IF(B149="","",O149*M149)</f>
        <v/>
      </c>
    </row>
    <row r="150">
      <c r="A150" s="53" t="n">
        <v>91</v>
      </c>
      <c r="B150" s="53" t="str">
        <f>IF(A150&gt;$C$38,"",IF(A150&lt;=$C$5,"Básico",IF($C$6&gt;0,"Sucesivo","Opción de compra")))</f>
        <v/>
      </c>
      <c r="C150" s="53" t="str">
        <f>IF(B150="","",IF(B150="Opción de compra",$C$5,A150-$C$7))</f>
        <v/>
      </c>
      <c r="D150" s="130" t="str">
        <f>IF(B150="","",EDATE($C$33,C150))</f>
        <v/>
      </c>
      <c r="E150" s="117" t="str">
        <f>IF(B150="","",I149)</f>
        <v/>
      </c>
      <c r="F150" s="117" t="str">
        <f>IF(B150="","",IF(B150="Básico",$C$24,IF(B150="Sucesivo",$C$25,$C$26)))</f>
        <v/>
      </c>
      <c r="G150" s="117" t="str">
        <f>IF(B150="","",IF(B150="Opción de compra",0,(E150-$C$7*F150)*IF(B150="Sucesivo",$C$11,$C$9)))</f>
        <v/>
      </c>
      <c r="H150" s="117" t="str">
        <f>IF(B150="","",F150-G150)</f>
        <v/>
      </c>
      <c r="I150" s="117" t="str">
        <f>IF(B150="","",E150-H150)</f>
        <v/>
      </c>
      <c r="J150" s="117" t="str">
        <f>IF(B150="","",IF(OR(inp_Tipo="Arrendamiento Puro",par_BaseIVAFin="Sobre renta",B150="Opción de compra"),F150,G150)*$C$14)</f>
        <v/>
      </c>
      <c r="K150" s="117" t="str">
        <f>IF(B150="","",F150+J150)</f>
        <v/>
      </c>
      <c r="L150" s="117" t="str">
        <f>IF(B150="","",F150-IF(A150=$C$38,$C$30,0))</f>
        <v/>
      </c>
      <c r="M150" s="131" t="str">
        <f>IF(B150="","",$C$37*(1+$C$13)^(-C150))</f>
        <v/>
      </c>
      <c r="N150" s="117" t="str">
        <f>IF(B150="","",L150*M150)</f>
        <v/>
      </c>
      <c r="O150" s="117" t="str">
        <f>IF(B150="","",IF(B150="Básico",F150,0)-IF(A150=$C$38,$C$30,0))</f>
        <v/>
      </c>
      <c r="P150" s="130">
        <f>IF(B150="",$C$31,D150)</f>
        <v>46301.0</v>
      </c>
      <c r="Q150" s="117">
        <f>IF(B150="",0,L150)</f>
        <v>0</v>
      </c>
      <c r="R150" s="117">
        <f>IF(B150="",0,-F150)</f>
        <v>0</v>
      </c>
      <c r="S150" s="117" t="str">
        <f>IF(B150="","",O150*M150)</f>
        <v/>
      </c>
    </row>
    <row r="151">
      <c r="A151" s="53" t="n">
        <v>92</v>
      </c>
      <c r="B151" s="53" t="str">
        <f>IF(A151&gt;$C$38,"",IF(A151&lt;=$C$5,"Básico",IF($C$6&gt;0,"Sucesivo","Opción de compra")))</f>
        <v/>
      </c>
      <c r="C151" s="53" t="str">
        <f>IF(B151="","",IF(B151="Opción de compra",$C$5,A151-$C$7))</f>
        <v/>
      </c>
      <c r="D151" s="130" t="str">
        <f>IF(B151="","",EDATE($C$33,C151))</f>
        <v/>
      </c>
      <c r="E151" s="117" t="str">
        <f>IF(B151="","",I150)</f>
        <v/>
      </c>
      <c r="F151" s="117" t="str">
        <f>IF(B151="","",IF(B151="Básico",$C$24,IF(B151="Sucesivo",$C$25,$C$26)))</f>
        <v/>
      </c>
      <c r="G151" s="117" t="str">
        <f>IF(B151="","",IF(B151="Opción de compra",0,(E151-$C$7*F151)*IF(B151="Sucesivo",$C$11,$C$9)))</f>
        <v/>
      </c>
      <c r="H151" s="117" t="str">
        <f>IF(B151="","",F151-G151)</f>
        <v/>
      </c>
      <c r="I151" s="117" t="str">
        <f>IF(B151="","",E151-H151)</f>
        <v/>
      </c>
      <c r="J151" s="117" t="str">
        <f>IF(B151="","",IF(OR(inp_Tipo="Arrendamiento Puro",par_BaseIVAFin="Sobre renta",B151="Opción de compra"),F151,G151)*$C$14)</f>
        <v/>
      </c>
      <c r="K151" s="117" t="str">
        <f>IF(B151="","",F151+J151)</f>
        <v/>
      </c>
      <c r="L151" s="117" t="str">
        <f>IF(B151="","",F151-IF(A151=$C$38,$C$30,0))</f>
        <v/>
      </c>
      <c r="M151" s="131" t="str">
        <f>IF(B151="","",$C$37*(1+$C$13)^(-C151))</f>
        <v/>
      </c>
      <c r="N151" s="117" t="str">
        <f>IF(B151="","",L151*M151)</f>
        <v/>
      </c>
      <c r="O151" s="117" t="str">
        <f>IF(B151="","",IF(B151="Básico",F151,0)-IF(A151=$C$38,$C$30,0))</f>
        <v/>
      </c>
      <c r="P151" s="130">
        <f>IF(B151="",$C$31,D151)</f>
        <v>46301.0</v>
      </c>
      <c r="Q151" s="117">
        <f>IF(B151="",0,L151)</f>
        <v>0</v>
      </c>
      <c r="R151" s="117">
        <f>IF(B151="",0,-F151)</f>
        <v>0</v>
      </c>
      <c r="S151" s="117" t="str">
        <f>IF(B151="","",O151*M151)</f>
        <v/>
      </c>
    </row>
    <row r="152">
      <c r="A152" s="53" t="n">
        <v>93</v>
      </c>
      <c r="B152" s="53" t="str">
        <f>IF(A152&gt;$C$38,"",IF(A152&lt;=$C$5,"Básico",IF($C$6&gt;0,"Sucesivo","Opción de compra")))</f>
        <v/>
      </c>
      <c r="C152" s="53" t="str">
        <f>IF(B152="","",IF(B152="Opción de compra",$C$5,A152-$C$7))</f>
        <v/>
      </c>
      <c r="D152" s="130" t="str">
        <f>IF(B152="","",EDATE($C$33,C152))</f>
        <v/>
      </c>
      <c r="E152" s="117" t="str">
        <f>IF(B152="","",I151)</f>
        <v/>
      </c>
      <c r="F152" s="117" t="str">
        <f>IF(B152="","",IF(B152="Básico",$C$24,IF(B152="Sucesivo",$C$25,$C$26)))</f>
        <v/>
      </c>
      <c r="G152" s="117" t="str">
        <f>IF(B152="","",IF(B152="Opción de compra",0,(E152-$C$7*F152)*IF(B152="Sucesivo",$C$11,$C$9)))</f>
        <v/>
      </c>
      <c r="H152" s="117" t="str">
        <f>IF(B152="","",F152-G152)</f>
        <v/>
      </c>
      <c r="I152" s="117" t="str">
        <f>IF(B152="","",E152-H152)</f>
        <v/>
      </c>
      <c r="J152" s="117" t="str">
        <f>IF(B152="","",IF(OR(inp_Tipo="Arrendamiento Puro",par_BaseIVAFin="Sobre renta",B152="Opción de compra"),F152,G152)*$C$14)</f>
        <v/>
      </c>
      <c r="K152" s="117" t="str">
        <f>IF(B152="","",F152+J152)</f>
        <v/>
      </c>
      <c r="L152" s="117" t="str">
        <f>IF(B152="","",F152-IF(A152=$C$38,$C$30,0))</f>
        <v/>
      </c>
      <c r="M152" s="131" t="str">
        <f>IF(B152="","",$C$37*(1+$C$13)^(-C152))</f>
        <v/>
      </c>
      <c r="N152" s="117" t="str">
        <f>IF(B152="","",L152*M152)</f>
        <v/>
      </c>
      <c r="O152" s="117" t="str">
        <f>IF(B152="","",IF(B152="Básico",F152,0)-IF(A152=$C$38,$C$30,0))</f>
        <v/>
      </c>
      <c r="P152" s="130">
        <f>IF(B152="",$C$31,D152)</f>
        <v>46301.0</v>
      </c>
      <c r="Q152" s="117">
        <f>IF(B152="",0,L152)</f>
        <v>0</v>
      </c>
      <c r="R152" s="117">
        <f>IF(B152="",0,-F152)</f>
        <v>0</v>
      </c>
      <c r="S152" s="117" t="str">
        <f>IF(B152="","",O152*M152)</f>
        <v/>
      </c>
    </row>
    <row r="153">
      <c r="A153" s="53" t="n">
        <v>94</v>
      </c>
      <c r="B153" s="53" t="str">
        <f>IF(A153&gt;$C$38,"",IF(A153&lt;=$C$5,"Básico",IF($C$6&gt;0,"Sucesivo","Opción de compra")))</f>
        <v/>
      </c>
      <c r="C153" s="53" t="str">
        <f>IF(B153="","",IF(B153="Opción de compra",$C$5,A153-$C$7))</f>
        <v/>
      </c>
      <c r="D153" s="130" t="str">
        <f>IF(B153="","",EDATE($C$33,C153))</f>
        <v/>
      </c>
      <c r="E153" s="117" t="str">
        <f>IF(B153="","",I152)</f>
        <v/>
      </c>
      <c r="F153" s="117" t="str">
        <f>IF(B153="","",IF(B153="Básico",$C$24,IF(B153="Sucesivo",$C$25,$C$26)))</f>
        <v/>
      </c>
      <c r="G153" s="117" t="str">
        <f>IF(B153="","",IF(B153="Opción de compra",0,(E153-$C$7*F153)*IF(B153="Sucesivo",$C$11,$C$9)))</f>
        <v/>
      </c>
      <c r="H153" s="117" t="str">
        <f>IF(B153="","",F153-G153)</f>
        <v/>
      </c>
      <c r="I153" s="117" t="str">
        <f>IF(B153="","",E153-H153)</f>
        <v/>
      </c>
      <c r="J153" s="117" t="str">
        <f>IF(B153="","",IF(OR(inp_Tipo="Arrendamiento Puro",par_BaseIVAFin="Sobre renta",B153="Opción de compra"),F153,G153)*$C$14)</f>
        <v/>
      </c>
      <c r="K153" s="117" t="str">
        <f>IF(B153="","",F153+J153)</f>
        <v/>
      </c>
      <c r="L153" s="117" t="str">
        <f>IF(B153="","",F153-IF(A153=$C$38,$C$30,0))</f>
        <v/>
      </c>
      <c r="M153" s="131" t="str">
        <f>IF(B153="","",$C$37*(1+$C$13)^(-C153))</f>
        <v/>
      </c>
      <c r="N153" s="117" t="str">
        <f>IF(B153="","",L153*M153)</f>
        <v/>
      </c>
      <c r="O153" s="117" t="str">
        <f>IF(B153="","",IF(B153="Básico",F153,0)-IF(A153=$C$38,$C$30,0))</f>
        <v/>
      </c>
      <c r="P153" s="130">
        <f>IF(B153="",$C$31,D153)</f>
        <v>46301.0</v>
      </c>
      <c r="Q153" s="117">
        <f>IF(B153="",0,L153)</f>
        <v>0</v>
      </c>
      <c r="R153" s="117">
        <f>IF(B153="",0,-F153)</f>
        <v>0</v>
      </c>
      <c r="S153" s="117" t="str">
        <f>IF(B153="","",O153*M153)</f>
        <v/>
      </c>
    </row>
    <row r="154">
      <c r="A154" s="53" t="n">
        <v>95</v>
      </c>
      <c r="B154" s="53" t="str">
        <f>IF(A154&gt;$C$38,"",IF(A154&lt;=$C$5,"Básico",IF($C$6&gt;0,"Sucesivo","Opción de compra")))</f>
        <v/>
      </c>
      <c r="C154" s="53" t="str">
        <f>IF(B154="","",IF(B154="Opción de compra",$C$5,A154-$C$7))</f>
        <v/>
      </c>
      <c r="D154" s="130" t="str">
        <f>IF(B154="","",EDATE($C$33,C154))</f>
        <v/>
      </c>
      <c r="E154" s="117" t="str">
        <f>IF(B154="","",I153)</f>
        <v/>
      </c>
      <c r="F154" s="117" t="str">
        <f>IF(B154="","",IF(B154="Básico",$C$24,IF(B154="Sucesivo",$C$25,$C$26)))</f>
        <v/>
      </c>
      <c r="G154" s="117" t="str">
        <f>IF(B154="","",IF(B154="Opción de compra",0,(E154-$C$7*F154)*IF(B154="Sucesivo",$C$11,$C$9)))</f>
        <v/>
      </c>
      <c r="H154" s="117" t="str">
        <f>IF(B154="","",F154-G154)</f>
        <v/>
      </c>
      <c r="I154" s="117" t="str">
        <f>IF(B154="","",E154-H154)</f>
        <v/>
      </c>
      <c r="J154" s="117" t="str">
        <f>IF(B154="","",IF(OR(inp_Tipo="Arrendamiento Puro",par_BaseIVAFin="Sobre renta",B154="Opción de compra"),F154,G154)*$C$14)</f>
        <v/>
      </c>
      <c r="K154" s="117" t="str">
        <f>IF(B154="","",F154+J154)</f>
        <v/>
      </c>
      <c r="L154" s="117" t="str">
        <f>IF(B154="","",F154-IF(A154=$C$38,$C$30,0))</f>
        <v/>
      </c>
      <c r="M154" s="131" t="str">
        <f>IF(B154="","",$C$37*(1+$C$13)^(-C154))</f>
        <v/>
      </c>
      <c r="N154" s="117" t="str">
        <f>IF(B154="","",L154*M154)</f>
        <v/>
      </c>
      <c r="O154" s="117" t="str">
        <f>IF(B154="","",IF(B154="Básico",F154,0)-IF(A154=$C$38,$C$30,0))</f>
        <v/>
      </c>
      <c r="P154" s="130">
        <f>IF(B154="",$C$31,D154)</f>
        <v>46301.0</v>
      </c>
      <c r="Q154" s="117">
        <f>IF(B154="",0,L154)</f>
        <v>0</v>
      </c>
      <c r="R154" s="117">
        <f>IF(B154="",0,-F154)</f>
        <v>0</v>
      </c>
      <c r="S154" s="117" t="str">
        <f>IF(B154="","",O154*M154)</f>
        <v/>
      </c>
    </row>
    <row r="155">
      <c r="A155" s="53" t="n">
        <v>96</v>
      </c>
      <c r="B155" s="53" t="str">
        <f>IF(A155&gt;$C$38,"",IF(A155&lt;=$C$5,"Básico",IF($C$6&gt;0,"Sucesivo","Opción de compra")))</f>
        <v/>
      </c>
      <c r="C155" s="53" t="str">
        <f>IF(B155="","",IF(B155="Opción de compra",$C$5,A155-$C$7))</f>
        <v/>
      </c>
      <c r="D155" s="130" t="str">
        <f>IF(B155="","",EDATE($C$33,C155))</f>
        <v/>
      </c>
      <c r="E155" s="117" t="str">
        <f>IF(B155="","",I154)</f>
        <v/>
      </c>
      <c r="F155" s="117" t="str">
        <f>IF(B155="","",IF(B155="Básico",$C$24,IF(B155="Sucesivo",$C$25,$C$26)))</f>
        <v/>
      </c>
      <c r="G155" s="117" t="str">
        <f>IF(B155="","",IF(B155="Opción de compra",0,(E155-$C$7*F155)*IF(B155="Sucesivo",$C$11,$C$9)))</f>
        <v/>
      </c>
      <c r="H155" s="117" t="str">
        <f>IF(B155="","",F155-G155)</f>
        <v/>
      </c>
      <c r="I155" s="117" t="str">
        <f>IF(B155="","",E155-H155)</f>
        <v/>
      </c>
      <c r="J155" s="117" t="str">
        <f>IF(B155="","",IF(OR(inp_Tipo="Arrendamiento Puro",par_BaseIVAFin="Sobre renta",B155="Opción de compra"),F155,G155)*$C$14)</f>
        <v/>
      </c>
      <c r="K155" s="117" t="str">
        <f>IF(B155="","",F155+J155)</f>
        <v/>
      </c>
      <c r="L155" s="117" t="str">
        <f>IF(B155="","",F155-IF(A155=$C$38,$C$30,0))</f>
        <v/>
      </c>
      <c r="M155" s="131" t="str">
        <f>IF(B155="","",$C$37*(1+$C$13)^(-C155))</f>
        <v/>
      </c>
      <c r="N155" s="117" t="str">
        <f>IF(B155="","",L155*M155)</f>
        <v/>
      </c>
      <c r="O155" s="117" t="str">
        <f>IF(B155="","",IF(B155="Básico",F155,0)-IF(A155=$C$38,$C$30,0))</f>
        <v/>
      </c>
      <c r="P155" s="130">
        <f>IF(B155="",$C$31,D155)</f>
        <v>46301.0</v>
      </c>
      <c r="Q155" s="117">
        <f>IF(B155="",0,L155)</f>
        <v>0</v>
      </c>
      <c r="R155" s="117">
        <f>IF(B155="",0,-F155)</f>
        <v>0</v>
      </c>
      <c r="S155" s="117" t="str">
        <f>IF(B155="","",O155*M155)</f>
        <v/>
      </c>
    </row>
    <row r="156">
      <c r="A156" s="53" t="n">
        <v>97</v>
      </c>
      <c r="B156" s="53" t="str">
        <f>IF(A156&gt;$C$38,"",IF(A156&lt;=$C$5,"Básico",IF($C$6&gt;0,"Sucesivo","Opción de compra")))</f>
        <v/>
      </c>
      <c r="C156" s="53" t="str">
        <f>IF(B156="","",IF(B156="Opción de compra",$C$5,A156-$C$7))</f>
        <v/>
      </c>
      <c r="D156" s="130" t="str">
        <f>IF(B156="","",EDATE($C$33,C156))</f>
        <v/>
      </c>
      <c r="E156" s="117" t="str">
        <f>IF(B156="","",I155)</f>
        <v/>
      </c>
      <c r="F156" s="117" t="str">
        <f>IF(B156="","",IF(B156="Básico",$C$24,IF(B156="Sucesivo",$C$25,$C$26)))</f>
        <v/>
      </c>
      <c r="G156" s="117" t="str">
        <f>IF(B156="","",IF(B156="Opción de compra",0,(E156-$C$7*F156)*IF(B156="Sucesivo",$C$11,$C$9)))</f>
        <v/>
      </c>
      <c r="H156" s="117" t="str">
        <f>IF(B156="","",F156-G156)</f>
        <v/>
      </c>
      <c r="I156" s="117" t="str">
        <f>IF(B156="","",E156-H156)</f>
        <v/>
      </c>
      <c r="J156" s="117" t="str">
        <f>IF(B156="","",IF(OR(inp_Tipo="Arrendamiento Puro",par_BaseIVAFin="Sobre renta",B156="Opción de compra"),F156,G156)*$C$14)</f>
        <v/>
      </c>
      <c r="K156" s="117" t="str">
        <f>IF(B156="","",F156+J156)</f>
        <v/>
      </c>
      <c r="L156" s="117" t="str">
        <f>IF(B156="","",F156-IF(A156=$C$38,$C$30,0))</f>
        <v/>
      </c>
      <c r="M156" s="131" t="str">
        <f>IF(B156="","",$C$37*(1+$C$13)^(-C156))</f>
        <v/>
      </c>
      <c r="N156" s="117" t="str">
        <f>IF(B156="","",L156*M156)</f>
        <v/>
      </c>
      <c r="O156" s="117" t="str">
        <f>IF(B156="","",IF(B156="Básico",F156,0)-IF(A156=$C$38,$C$30,0))</f>
        <v/>
      </c>
      <c r="P156" s="130">
        <f>IF(B156="",$C$31,D156)</f>
        <v>46301.0</v>
      </c>
      <c r="Q156" s="117">
        <f>IF(B156="",0,L156)</f>
        <v>0</v>
      </c>
      <c r="R156" s="117">
        <f>IF(B156="",0,-F156)</f>
        <v>0</v>
      </c>
      <c r="S156" s="117" t="str">
        <f>IF(B156="","",O156*M156)</f>
        <v/>
      </c>
    </row>
    <row r="157">
      <c r="A157" s="53" t="n">
        <v>98</v>
      </c>
      <c r="B157" s="53" t="str">
        <f>IF(A157&gt;$C$38,"",IF(A157&lt;=$C$5,"Básico",IF($C$6&gt;0,"Sucesivo","Opción de compra")))</f>
        <v/>
      </c>
      <c r="C157" s="53" t="str">
        <f>IF(B157="","",IF(B157="Opción de compra",$C$5,A157-$C$7))</f>
        <v/>
      </c>
      <c r="D157" s="130" t="str">
        <f>IF(B157="","",EDATE($C$33,C157))</f>
        <v/>
      </c>
      <c r="E157" s="117" t="str">
        <f>IF(B157="","",I156)</f>
        <v/>
      </c>
      <c r="F157" s="117" t="str">
        <f>IF(B157="","",IF(B157="Básico",$C$24,IF(B157="Sucesivo",$C$25,$C$26)))</f>
        <v/>
      </c>
      <c r="G157" s="117" t="str">
        <f>IF(B157="","",IF(B157="Opción de compra",0,(E157-$C$7*F157)*IF(B157="Sucesivo",$C$11,$C$9)))</f>
        <v/>
      </c>
      <c r="H157" s="117" t="str">
        <f>IF(B157="","",F157-G157)</f>
        <v/>
      </c>
      <c r="I157" s="117" t="str">
        <f>IF(B157="","",E157-H157)</f>
        <v/>
      </c>
      <c r="J157" s="117" t="str">
        <f>IF(B157="","",IF(OR(inp_Tipo="Arrendamiento Puro",par_BaseIVAFin="Sobre renta",B157="Opción de compra"),F157,G157)*$C$14)</f>
        <v/>
      </c>
      <c r="K157" s="117" t="str">
        <f>IF(B157="","",F157+J157)</f>
        <v/>
      </c>
      <c r="L157" s="117" t="str">
        <f>IF(B157="","",F157-IF(A157=$C$38,$C$30,0))</f>
        <v/>
      </c>
      <c r="M157" s="131" t="str">
        <f>IF(B157="","",$C$37*(1+$C$13)^(-C157))</f>
        <v/>
      </c>
      <c r="N157" s="117" t="str">
        <f>IF(B157="","",L157*M157)</f>
        <v/>
      </c>
      <c r="O157" s="117" t="str">
        <f>IF(B157="","",IF(B157="Básico",F157,0)-IF(A157=$C$38,$C$30,0))</f>
        <v/>
      </c>
      <c r="P157" s="130">
        <f>IF(B157="",$C$31,D157)</f>
        <v>46301.0</v>
      </c>
      <c r="Q157" s="117">
        <f>IF(B157="",0,L157)</f>
        <v>0</v>
      </c>
      <c r="R157" s="117">
        <f>IF(B157="",0,-F157)</f>
        <v>0</v>
      </c>
      <c r="S157" s="117" t="str">
        <f>IF(B157="","",O157*M157)</f>
        <v/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 password="D3B7"/>
  <mergeCells count="27">
    <mergeCell ref="E26:H26"/>
    <mergeCell ref="E16:H16"/>
    <mergeCell ref="E7:H7"/>
    <mergeCell ref="E25:H25"/>
    <mergeCell ref="E22:H22"/>
    <mergeCell ref="E18:H18"/>
    <mergeCell ref="E12:H12"/>
    <mergeCell ref="E21:H21"/>
    <mergeCell ref="E24:H24"/>
    <mergeCell ref="E5:H5"/>
    <mergeCell ref="E14:H14"/>
    <mergeCell ref="E17:H17"/>
    <mergeCell ref="E23:H23"/>
    <mergeCell ref="E8:H8"/>
    <mergeCell ref="E4:H4"/>
    <mergeCell ref="E20:H20"/>
    <mergeCell ref="E29:H29"/>
    <mergeCell ref="E19:H19"/>
    <mergeCell ref="E10:H10"/>
    <mergeCell ref="E28:H28"/>
    <mergeCell ref="E34:I40"/>
    <mergeCell ref="E13:H13"/>
    <mergeCell ref="E9:H9"/>
    <mergeCell ref="E6:H6"/>
    <mergeCell ref="E15:H15"/>
    <mergeCell ref="E11:H11"/>
    <mergeCell ref="E27:H27"/>
  </mergeCells>
  <conditionalFormatting sqref="A60:S157">
    <cfRule type="expression" priority="1" dxfId="8">
      <formula>$B60="Sucesivo"</formula>
    </cfRule>
    <cfRule type="expression" priority="2" dxfId="8">
      <formula>$B60="Opción de compra"</formula>
    </cfRule>
  </conditionalFormatting>
  <pageMargins left="0.75" right="0.75" top="1" bottom="1" header="0.5" footer="0.5"/>
  <pageSetup orientation="landscape" fitToHeight="0" fitToWidth="1"/>
</worksheet>
</file>

<file path=xl/worksheets/sheet14.xml><?xml version="1.0" encoding="utf-8"?>
<worksheet xmlns="http://schemas.openxmlformats.org/spreadsheetml/2006/main">
  <sheetPr codeName="Hoja14">
    <tabColor rgb="00808080"/>
    <outlinePr summaryBelow="1" summaryRight="1"/>
    <pageSetUpPr/>
  </sheetPr>
  <dimension ref="B1:V84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2" customWidth="1" min="1" max="1"/>
    <col width="50" customWidth="1" min="2" max="2"/>
    <col width="22" customWidth="1" min="3" max="3"/>
    <col width="14" customWidth="1" min="4" max="4"/>
    <col width="14" customWidth="1" min="5" max="5"/>
    <col width="14" customWidth="1" min="6" max="6"/>
    <col width="18" customWidth="1" min="8" max="8"/>
    <col width="34" customWidth="1" min="9" max="9"/>
    <col width="28" customWidth="1" min="10" max="10"/>
    <col width="18" customWidth="1" min="11" max="11"/>
    <col width="28" customWidth="1" min="12" max="12"/>
    <col width="18" customWidth="1" min="13" max="13"/>
    <col width="18" customWidth="1" min="14" max="14"/>
    <col width="18" customWidth="1" min="15" max="15"/>
    <col width="18" customWidth="1" min="16" max="16"/>
    <col width="18" customWidth="1" min="17" max="17"/>
    <col width="18" customWidth="1" min="18" max="18"/>
    <col width="18" customWidth="1" min="19" max="19"/>
    <col width="18" customWidth="1" min="20" max="20"/>
    <col width="18" customWidth="1" min="21" max="21"/>
  </cols>
  <sheetData>
    <row r="1">
      <c r="B1" s="108" t="inlineStr">
        <is>
          <t>CATÁLOGOS Y PARÁMETROS – COTIZADOR FASTPLUS</t>
        </is>
      </c>
    </row>
    <row r="2">
      <c r="B2" s="109" t="inlineStr">
        <is>
          <t>Solo el administrador debe modificar esta hoja. Celdas amarillas editables.</t>
        </is>
      </c>
    </row>
    <row r="3" ht="20" customHeight="1">
      <c r="B3" s="132" t="inlineStr">
        <is>
          <t>DATOS DE LA EMPRESA Y PARÁMETROS</t>
        </is>
      </c>
      <c r="C3" s="132" t="n"/>
      <c r="D3" s="132" t="n"/>
      <c r="E3" s="132" t="n"/>
      <c r="F3" s="132" t="n"/>
      <c r="H3" s="132" t="inlineStr">
        <is>
          <t>LISTAS DESPLEGABLES</t>
        </is>
      </c>
      <c r="I3" s="132" t="n"/>
      <c r="J3" s="132" t="n"/>
      <c r="K3" s="132" t="n"/>
      <c r="L3" s="132" t="n"/>
      <c r="M3" s="132" t="n"/>
      <c r="N3" s="132" t="n"/>
      <c r="O3" s="132" t="n"/>
      <c r="P3" s="132" t="n"/>
      <c r="Q3" s="132" t="n"/>
      <c r="R3" s="132" t="n"/>
      <c r="S3" s="132" t="n"/>
      <c r="T3" s="132" t="n"/>
      <c r="U3" s="132" t="n"/>
      <c r="V3" s="132" t="n"/>
    </row>
    <row r="4" ht="30" customHeight="1">
      <c r="B4" s="53" t="inlineStr">
        <is>
          <t>Razón social del arrendador</t>
        </is>
      </c>
      <c r="C4" s="61" t="inlineStr">
        <is>
          <t>SOFOPLUS, S.A.P.I. DE C.V., E.R.</t>
        </is>
      </c>
      <c r="D4" s="133" t="n"/>
      <c r="E4" s="133" t="n"/>
      <c r="F4" s="134" t="n"/>
      <c r="H4" s="135" t="inlineStr">
        <is>
          <t>Tipo de arrendamiento</t>
        </is>
      </c>
      <c r="I4" s="135" t="inlineStr">
        <is>
          <t>Moneda</t>
        </is>
      </c>
      <c r="J4" s="135" t="inlineStr">
        <is>
          <t>Modalidad</t>
        </is>
      </c>
      <c r="K4" s="135" t="inlineStr">
        <is>
          <t>Sí / No</t>
        </is>
      </c>
      <c r="L4" s="135" t="inlineStr">
        <is>
          <t>Seguro</t>
        </is>
      </c>
      <c r="M4" s="135" t="inlineStr">
        <is>
          <t>Base IVA financiero</t>
        </is>
      </c>
      <c r="N4" s="135" t="inlineStr">
        <is>
          <t>Estatus</t>
        </is>
      </c>
      <c r="O4" s="135" t="inlineStr">
        <is>
          <t>Producto</t>
        </is>
      </c>
      <c r="P4" s="135" t="inlineStr">
        <is>
          <t>Tipo de activo</t>
        </is>
      </c>
      <c r="Q4" s="135" t="inlineStr">
        <is>
          <t>Uso del anticipo</t>
        </is>
      </c>
      <c r="R4" s="135" t="inlineStr">
        <is>
          <t>Estado del bien</t>
        </is>
      </c>
      <c r="S4" s="135" t="inlineStr">
        <is>
          <t>Originador</t>
        </is>
      </c>
      <c r="T4" s="135" t="inlineStr">
        <is>
          <t>Aseguradora por parte de</t>
        </is>
      </c>
      <c r="U4" s="135" t="inlineStr">
        <is>
          <t>Plazos</t>
        </is>
      </c>
    </row>
    <row r="5">
      <c r="B5" s="53" t="inlineStr">
        <is>
          <t>Nombre comercial del producto</t>
        </is>
      </c>
      <c r="C5" s="61" t="inlineStr">
        <is>
          <t>FASTPLUS</t>
        </is>
      </c>
      <c r="D5" s="133" t="n"/>
      <c r="E5" s="133" t="n"/>
      <c r="F5" s="134" t="n"/>
      <c r="H5" s="30" t="inlineStr">
        <is>
          <t>Arrendamiento Puro</t>
        </is>
      </c>
      <c r="I5" s="30" t="inlineStr">
        <is>
          <t>Moneda Nacional</t>
        </is>
      </c>
      <c r="J5" s="30" t="inlineStr">
        <is>
          <t>Vencido</t>
        </is>
      </c>
      <c r="K5" s="30" t="inlineStr">
        <is>
          <t>Sí</t>
        </is>
      </c>
      <c r="L5" s="30" t="inlineStr">
        <is>
          <t>No financiado</t>
        </is>
      </c>
      <c r="M5" s="30" t="inlineStr">
        <is>
          <t>Sobre renta</t>
        </is>
      </c>
      <c r="N5" s="30" t="inlineStr">
        <is>
          <t>Enviada</t>
        </is>
      </c>
      <c r="O5" s="30" t="inlineStr">
        <is>
          <t>FASTPLUS</t>
        </is>
      </c>
      <c r="P5" s="30" t="inlineStr">
        <is>
          <t>Equipo médico estándar</t>
        </is>
      </c>
      <c r="Q5" s="30" t="inlineStr">
        <is>
          <t>Como renta extraordinaria</t>
        </is>
      </c>
      <c r="R5" s="30" t="inlineStr">
        <is>
          <t>Nuevo</t>
        </is>
      </c>
      <c r="S5" s="30" t="inlineStr">
        <is>
          <t>Promotor FASTPLUS</t>
        </is>
      </c>
      <c r="T5" s="30" t="inlineStr">
        <is>
          <t>Cliente</t>
        </is>
      </c>
      <c r="U5" s="30" t="n">
        <v>12</v>
      </c>
    </row>
    <row r="6">
      <c r="B6" s="53" t="inlineStr">
        <is>
          <t>Domicilio corporativo (línea 1)</t>
        </is>
      </c>
      <c r="C6" s="61" t="inlineStr">
        <is>
          <t>Paseo de los Tamarindos No. 90 Piso 24 Torre 1</t>
        </is>
      </c>
      <c r="D6" s="133" t="n"/>
      <c r="E6" s="133" t="n"/>
      <c r="F6" s="134" t="n"/>
      <c r="H6" s="30" t="inlineStr">
        <is>
          <t>Arrendamiento Financiero</t>
        </is>
      </c>
      <c r="I6" s="30" t="inlineStr">
        <is>
          <t>Dólares Americanos</t>
        </is>
      </c>
      <c r="J6" s="30" t="inlineStr">
        <is>
          <t>Anticipado</t>
        </is>
      </c>
      <c r="K6" s="30" t="inlineStr">
        <is>
          <t>No</t>
        </is>
      </c>
      <c r="L6" s="30" t="inlineStr">
        <is>
          <t>Financiado</t>
        </is>
      </c>
      <c r="M6" s="30" t="inlineStr">
        <is>
          <t>Sobre intereses</t>
        </is>
      </c>
      <c r="N6" s="30" t="inlineStr">
        <is>
          <t>En seguimiento</t>
        </is>
      </c>
      <c r="O6" s="30" t="inlineStr">
        <is>
          <t>Arrendamiento SOFOPLUS</t>
        </is>
      </c>
      <c r="P6" s="30" t="inlineStr">
        <is>
          <t>Maquinaria y equipo</t>
        </is>
      </c>
      <c r="Q6" s="30" t="inlineStr">
        <is>
          <t>Como enganche</t>
        </is>
      </c>
      <c r="R6" s="30" t="inlineStr">
        <is>
          <t>Seminuevo</t>
        </is>
      </c>
      <c r="S6" s="30" t="inlineStr">
        <is>
          <t>Referenciador</t>
        </is>
      </c>
      <c r="T6" s="30" t="inlineStr">
        <is>
          <t>FASTPLUS</t>
        </is>
      </c>
      <c r="U6" s="30" t="n">
        <v>24</v>
      </c>
    </row>
    <row r="7">
      <c r="B7" s="53" t="inlineStr">
        <is>
          <t>Domicilio corporativo (línea 2)</t>
        </is>
      </c>
      <c r="C7" s="61" t="inlineStr">
        <is>
          <t>Col. Bosques de las Lomas</t>
        </is>
      </c>
      <c r="D7" s="133" t="n"/>
      <c r="E7" s="133" t="n"/>
      <c r="F7" s="134" t="n"/>
      <c r="N7" s="30" t="inlineStr">
        <is>
          <t>Aceptada</t>
        </is>
      </c>
      <c r="P7" s="30" t="inlineStr">
        <is>
          <t>Equipo de cómputo / tecnología</t>
        </is>
      </c>
      <c r="S7" s="30" t="inlineStr">
        <is>
          <t>Agencia / distribuidor</t>
        </is>
      </c>
      <c r="U7" s="30" t="n">
        <v>36</v>
      </c>
    </row>
    <row r="8">
      <c r="B8" s="53" t="inlineStr">
        <is>
          <t>Domicilio corporativo (línea 3)</t>
        </is>
      </c>
      <c r="C8" s="61" t="inlineStr">
        <is>
          <t>CDMX, C.P. 05120</t>
        </is>
      </c>
      <c r="D8" s="133" t="n"/>
      <c r="E8" s="133" t="n"/>
      <c r="F8" s="134" t="n"/>
      <c r="N8" s="30" t="inlineStr">
        <is>
          <t>Rechazada</t>
        </is>
      </c>
      <c r="P8" s="30" t="inlineStr">
        <is>
          <t>Automóvil</t>
        </is>
      </c>
      <c r="S8" s="30" t="inlineStr">
        <is>
          <t>Empleado SOFOPLUS</t>
        </is>
      </c>
      <c r="U8" s="30" t="n">
        <v>48</v>
      </c>
    </row>
    <row r="9">
      <c r="B9" s="53" t="inlineStr">
        <is>
          <t>Ciudad para la fecha de los documentos</t>
        </is>
      </c>
      <c r="C9" s="61" t="inlineStr">
        <is>
          <t>Ciudad de México</t>
        </is>
      </c>
      <c r="D9" s="133" t="n"/>
      <c r="E9" s="133" t="n"/>
      <c r="F9" s="134" t="n"/>
      <c r="N9" s="30" t="inlineStr">
        <is>
          <t>Vencida</t>
        </is>
      </c>
      <c r="P9" s="30" t="inlineStr">
        <is>
          <t>Automóvil eléctrico / híbrido</t>
        </is>
      </c>
    </row>
    <row r="10">
      <c r="B10" s="53" t="inlineStr">
        <is>
          <t>Sitio web / teléfono general</t>
        </is>
      </c>
      <c r="C10" s="61" t="inlineStr"/>
      <c r="D10" s="133" t="n"/>
      <c r="E10" s="133" t="n"/>
      <c r="F10" s="134" t="n"/>
      <c r="P10" s="30" t="inlineStr">
        <is>
          <t>Vehículo de carga / utilitario</t>
        </is>
      </c>
    </row>
    <row r="11">
      <c r="B11" s="53" t="inlineStr">
        <is>
          <t>Tasa de IVA rentas</t>
        </is>
      </c>
      <c r="C11" s="62" t="n">
        <v>0.16</v>
      </c>
      <c r="D11" s="133" t="n"/>
      <c r="E11" s="133" t="n"/>
      <c r="F11" s="134" t="n"/>
    </row>
    <row r="12">
      <c r="B12" s="53" t="inlineStr">
        <is>
          <t>Tasa de fondeo anual (valor por defecto)</t>
        </is>
      </c>
      <c r="C12" s="62" t="n">
        <v>0.205</v>
      </c>
      <c r="D12" s="133" t="n"/>
      <c r="E12" s="133" t="n"/>
      <c r="F12" s="134" t="n"/>
    </row>
    <row r="13" ht="20" customHeight="1">
      <c r="B13" s="53" t="inlineStr">
        <is>
          <t>TIIE 28 días (valor por defecto)</t>
        </is>
      </c>
      <c r="C13" s="136" t="n">
        <v>0.08599999999999999</v>
      </c>
      <c r="D13" s="133" t="n"/>
      <c r="E13" s="133" t="n"/>
      <c r="F13" s="134" t="n"/>
      <c r="H13" s="132" t="inlineStr">
        <is>
          <t>OFICINAS POR REGIÓN (encabezado de la propuesta)</t>
        </is>
      </c>
      <c r="I13" s="132" t="n"/>
      <c r="J13" s="132" t="n"/>
      <c r="K13" s="132" t="n"/>
      <c r="L13" s="132" t="n"/>
    </row>
    <row r="14">
      <c r="B14" s="53" t="inlineStr">
        <is>
          <t>Vigencia de la propuesta (días naturales)</t>
        </is>
      </c>
      <c r="C14" s="137" t="n">
        <v>15</v>
      </c>
      <c r="D14" s="133" t="n"/>
      <c r="E14" s="133" t="n"/>
      <c r="F14" s="134" t="n"/>
      <c r="H14" s="52" t="inlineStr">
        <is>
          <t>Región</t>
        </is>
      </c>
      <c r="I14" s="52" t="inlineStr">
        <is>
          <t>Domicilio (línea 1)</t>
        </is>
      </c>
      <c r="J14" s="52" t="inlineStr">
        <is>
          <t>Domicilio (línea 2)</t>
        </is>
      </c>
      <c r="K14" s="52" t="inlineStr">
        <is>
          <t>Domicilio (línea 3)</t>
        </is>
      </c>
      <c r="L14" s="52" t="inlineStr">
        <is>
          <t>Teléfono</t>
        </is>
      </c>
    </row>
    <row r="15">
      <c r="B15" s="53" t="inlineStr">
        <is>
          <t>Base de días para costo de fondeo diario</t>
        </is>
      </c>
      <c r="C15" s="137" t="n">
        <v>360</v>
      </c>
      <c r="D15" s="133" t="n"/>
      <c r="E15" s="133" t="n"/>
      <c r="F15" s="134" t="n"/>
      <c r="H15" s="61" t="inlineStr">
        <is>
          <t>CDMX</t>
        </is>
      </c>
      <c r="I15" s="61" t="inlineStr">
        <is>
          <t>Paseo de los Tamarindos No. 90 Piso 24 Torre 1</t>
        </is>
      </c>
      <c r="J15" s="61" t="inlineStr">
        <is>
          <t>Col. Bosques de las Lomas</t>
        </is>
      </c>
      <c r="K15" s="61" t="inlineStr">
        <is>
          <t>CDMX, C.P. 05120</t>
        </is>
      </c>
      <c r="L15" s="61" t="n"/>
    </row>
    <row r="16">
      <c r="B16" s="53" t="inlineStr">
        <is>
          <t>IVA en arrendamiento financiero</t>
        </is>
      </c>
      <c r="C16" s="61" t="inlineStr">
        <is>
          <t>Sobre renta</t>
        </is>
      </c>
      <c r="D16" s="133" t="n"/>
      <c r="E16" s="133" t="n"/>
      <c r="F16" s="134" t="n"/>
      <c r="H16" s="61" t="inlineStr">
        <is>
          <t>GUADALAJARA</t>
        </is>
      </c>
      <c r="I16" s="61" t="n"/>
      <c r="J16" s="61" t="n"/>
      <c r="K16" s="61" t="n"/>
      <c r="L16" s="61" t="n"/>
    </row>
    <row r="17">
      <c r="B17" s="53" t="inlineStr">
        <is>
          <t>Prefijo del folio</t>
        </is>
      </c>
      <c r="C17" s="61" t="inlineStr">
        <is>
          <t>FP-</t>
        </is>
      </c>
      <c r="D17" s="133" t="n"/>
      <c r="E17" s="133" t="n"/>
      <c r="F17" s="134" t="n"/>
      <c r="H17" s="61" t="inlineStr">
        <is>
          <t>CANCÚN</t>
        </is>
      </c>
      <c r="I17" s="61" t="n"/>
      <c r="J17" s="61" t="n"/>
      <c r="K17" s="61" t="n"/>
      <c r="L17" s="61" t="n"/>
    </row>
    <row r="18">
      <c r="B18" s="53" t="inlineStr">
        <is>
          <t>Último consecutivo utilizado (lo actualiza la macro)</t>
        </is>
      </c>
      <c r="C18" s="137" t="n">
        <v>0</v>
      </c>
      <c r="D18" s="133" t="n"/>
      <c r="E18" s="133" t="n"/>
      <c r="F18" s="134" t="n"/>
      <c r="H18" s="61" t="inlineStr">
        <is>
          <t>QUERÉTARO</t>
        </is>
      </c>
      <c r="I18" s="61" t="n"/>
      <c r="J18" s="61" t="n"/>
      <c r="K18" s="61" t="n"/>
      <c r="L18" s="61" t="n"/>
    </row>
    <row r="19">
      <c r="B19" s="53" t="inlineStr">
        <is>
          <t>Carpeta para PDF (vacío = carpeta del archivo)</t>
        </is>
      </c>
      <c r="C19" s="61" t="inlineStr"/>
      <c r="D19" s="133" t="n"/>
      <c r="E19" s="133" t="n"/>
      <c r="F19" s="134" t="n"/>
      <c r="H19" s="61" t="n"/>
      <c r="I19" s="61" t="n"/>
      <c r="J19" s="61" t="n"/>
      <c r="K19" s="61" t="n"/>
      <c r="L19" s="61" t="n"/>
    </row>
    <row r="20">
      <c r="B20" s="53" t="inlineStr">
        <is>
          <t>Correo con copia (CC) al enviar cotizaciones</t>
        </is>
      </c>
      <c r="C20" s="61" t="inlineStr"/>
      <c r="D20" s="133" t="n"/>
      <c r="E20" s="133" t="n"/>
      <c r="F20" s="134" t="n"/>
      <c r="H20" s="61" t="n"/>
      <c r="I20" s="61" t="n"/>
      <c r="J20" s="61" t="n"/>
      <c r="K20" s="61" t="n"/>
      <c r="L20" s="61" t="n"/>
    </row>
    <row r="21">
      <c r="B21" s="53" t="inlineStr">
        <is>
          <t>Validación de cuenta / gastos de investigación (sin IVA)</t>
        </is>
      </c>
      <c r="C21" s="138" t="n">
        <v>0</v>
      </c>
      <c r="D21" s="133" t="n"/>
      <c r="E21" s="133" t="n"/>
      <c r="F21" s="134" t="n"/>
      <c r="H21" s="41" t="inlineStr">
        <is>
          <t>Si una región no tiene domicilio se usa el corporativo.</t>
        </is>
      </c>
    </row>
    <row r="22">
      <c r="B22" s="53" t="inlineStr">
        <is>
          <t>Límite deducible renta automóvil ($ diarios, LISR art. 28-XIII)</t>
        </is>
      </c>
      <c r="C22" s="138" t="n">
        <v>200</v>
      </c>
      <c r="D22" s="133" t="n"/>
      <c r="E22" s="133" t="n"/>
      <c r="F22" s="134" t="n"/>
    </row>
    <row r="23" ht="20" customHeight="1">
      <c r="B23" s="53" t="inlineStr">
        <is>
          <t>Límite deducible renta auto eléctrico / híbrido ($ diarios)</t>
        </is>
      </c>
      <c r="C23" s="138" t="n">
        <v>285</v>
      </c>
      <c r="D23" s="133" t="n"/>
      <c r="E23" s="133" t="n"/>
      <c r="F23" s="134" t="n"/>
      <c r="H23" s="132" t="inlineStr">
        <is>
          <t>CATÁLOGO DE PROMOTORES</t>
        </is>
      </c>
      <c r="I23" s="132" t="n"/>
      <c r="J23" s="132" t="n"/>
      <c r="K23" s="132" t="n"/>
      <c r="L23" s="132" t="n"/>
    </row>
    <row r="24">
      <c r="B24" s="53" t="inlineStr">
        <is>
          <t>Transferencia: banco</t>
        </is>
      </c>
      <c r="C24" s="61" t="inlineStr"/>
      <c r="D24" s="133" t="n"/>
      <c r="E24" s="133" t="n"/>
      <c r="F24" s="134" t="n"/>
      <c r="H24" s="52" t="inlineStr">
        <is>
          <t>Clave</t>
        </is>
      </c>
      <c r="I24" s="52" t="inlineStr">
        <is>
          <t>Nombre completo</t>
        </is>
      </c>
      <c r="J24" s="52" t="inlineStr">
        <is>
          <t>Puesto</t>
        </is>
      </c>
      <c r="K24" s="52" t="inlineStr">
        <is>
          <t>Región (oficina)</t>
        </is>
      </c>
      <c r="L24" s="52" t="inlineStr">
        <is>
          <t>Correo electrónico</t>
        </is>
      </c>
    </row>
    <row r="25">
      <c r="B25" s="53" t="inlineStr">
        <is>
          <t>Transferencia: CLABE</t>
        </is>
      </c>
      <c r="C25" s="61" t="inlineStr"/>
      <c r="D25" s="133" t="n"/>
      <c r="E25" s="133" t="n"/>
      <c r="F25" s="134" t="n"/>
      <c r="H25" s="61" t="inlineStr">
        <is>
          <t>001</t>
        </is>
      </c>
      <c r="I25" s="61" t="inlineStr">
        <is>
          <t>NOMBRE DEL PROMOTOR</t>
        </is>
      </c>
      <c r="J25" s="61" t="inlineStr">
        <is>
          <t>Promotor Fastplus</t>
        </is>
      </c>
      <c r="K25" s="61" t="inlineStr">
        <is>
          <t>CDMX</t>
        </is>
      </c>
      <c r="L25" s="61" t="inlineStr">
        <is>
          <t>promotor@empresa.com.mx</t>
        </is>
      </c>
    </row>
    <row r="26">
      <c r="B26" s="53" t="inlineStr">
        <is>
          <t>Depósito en sucursal: banco</t>
        </is>
      </c>
      <c r="C26" s="61" t="inlineStr"/>
      <c r="D26" s="133" t="n"/>
      <c r="E26" s="133" t="n"/>
      <c r="F26" s="134" t="n"/>
      <c r="H26" s="61" t="inlineStr">
        <is>
          <t>002</t>
        </is>
      </c>
      <c r="I26" s="61" t="inlineStr">
        <is>
          <t>NOMBRE DEL GERENTE</t>
        </is>
      </c>
      <c r="J26" s="61" t="inlineStr">
        <is>
          <t>Gerente De Promoción</t>
        </is>
      </c>
      <c r="K26" s="61" t="inlineStr">
        <is>
          <t>CDMX</t>
        </is>
      </c>
      <c r="L26" s="61" t="inlineStr">
        <is>
          <t>gerente@empresa.com.mx</t>
        </is>
      </c>
    </row>
    <row r="27">
      <c r="B27" s="53" t="inlineStr">
        <is>
          <t>Depósito en sucursal: cuenta</t>
        </is>
      </c>
      <c r="C27" s="61" t="inlineStr"/>
      <c r="D27" s="133" t="n"/>
      <c r="E27" s="133" t="n"/>
      <c r="F27" s="134" t="n"/>
      <c r="H27" s="61" t="n"/>
      <c r="I27" s="61" t="n"/>
      <c r="J27" s="61" t="n"/>
      <c r="K27" s="61" t="n"/>
      <c r="L27" s="61" t="n"/>
    </row>
    <row r="28">
      <c r="B28" s="53" t="inlineStr">
        <is>
          <t>Depósito en sucursal: convenio</t>
        </is>
      </c>
      <c r="C28" s="61" t="inlineStr"/>
      <c r="D28" s="133" t="n"/>
      <c r="E28" s="133" t="n"/>
      <c r="F28" s="134" t="n"/>
      <c r="H28" s="61" t="n"/>
      <c r="I28" s="61" t="n"/>
      <c r="J28" s="61" t="n"/>
      <c r="K28" s="61" t="n"/>
      <c r="L28" s="61" t="n"/>
    </row>
    <row r="29">
      <c r="B29" s="53" t="inlineStr">
        <is>
          <t>Beneficiario</t>
        </is>
      </c>
      <c r="C29" s="61" t="inlineStr">
        <is>
          <t>SOFOPLUS, S.A.P.I. DE C.V., E.R.</t>
        </is>
      </c>
      <c r="D29" s="133" t="n"/>
      <c r="E29" s="133" t="n"/>
      <c r="F29" s="134" t="n"/>
      <c r="H29" s="61" t="n"/>
      <c r="I29" s="61" t="n"/>
      <c r="J29" s="61" t="n"/>
      <c r="K29" s="61" t="n"/>
      <c r="L29" s="61" t="n"/>
    </row>
    <row r="30">
      <c r="H30" s="61" t="n"/>
      <c r="I30" s="61" t="n"/>
      <c r="J30" s="61" t="n"/>
      <c r="K30" s="61" t="n"/>
      <c r="L30" s="61" t="n"/>
    </row>
    <row r="31" ht="20" customHeight="1">
      <c r="B31" s="132" t="inlineStr">
        <is>
          <t>VALORES INTERNOS DEL MODELO (no editar)</t>
        </is>
      </c>
      <c r="C31" s="132" t="n"/>
      <c r="D31" s="132" t="n"/>
      <c r="E31" s="132" t="n"/>
      <c r="F31" s="132" t="n"/>
      <c r="H31" s="61" t="n"/>
      <c r="I31" s="61" t="n"/>
      <c r="J31" s="61" t="n"/>
      <c r="K31" s="61" t="n"/>
      <c r="L31" s="61" t="n"/>
    </row>
    <row r="32">
      <c r="B32" s="53" t="inlineStr">
        <is>
          <t>El precio se captura con IVA</t>
        </is>
      </c>
      <c r="C32" s="30" t="inlineStr">
        <is>
          <t>Sí</t>
        </is>
      </c>
      <c r="H32" s="61" t="n"/>
      <c r="I32" s="61" t="n"/>
      <c r="J32" s="61" t="n"/>
      <c r="K32" s="61" t="n"/>
      <c r="L32" s="61" t="n"/>
    </row>
    <row r="33">
      <c r="B33" s="53" t="inlineStr">
        <is>
          <t>Modo de tasa</t>
        </is>
      </c>
      <c r="C33" s="30" t="inlineStr">
        <is>
          <t>TIIE + margen</t>
        </is>
      </c>
      <c r="H33" s="61" t="n"/>
      <c r="I33" s="61" t="n"/>
      <c r="J33" s="61" t="n"/>
      <c r="K33" s="61" t="n"/>
      <c r="L33" s="61" t="n"/>
    </row>
    <row r="34">
      <c r="B34" s="53" t="inlineStr">
        <is>
          <t>Fecha de firma / pago al proveedor</t>
        </is>
      </c>
      <c r="C34" s="126">
        <f>inp_Fecha</f>
        <v>46301.0</v>
      </c>
      <c r="H34" s="61" t="n"/>
      <c r="I34" s="61" t="n"/>
      <c r="J34" s="61" t="n"/>
      <c r="K34" s="61" t="n"/>
      <c r="L34" s="61" t="n"/>
    </row>
    <row r="35">
      <c r="B35" s="53" t="inlineStr">
        <is>
          <t>Fecha de la primera renta</t>
        </is>
      </c>
      <c r="C35" s="126">
        <f>IF(inp_Modalidad="Anticipado",inp_Fecha+inp_DiasRP,EDATE(inp_Fecha+inp_DiasRP,1))</f>
        <v>46332.0</v>
      </c>
      <c r="H35" s="61" t="n"/>
      <c r="I35" s="61" t="n"/>
      <c r="J35" s="61" t="n"/>
      <c r="K35" s="61" t="n"/>
      <c r="L35" s="61" t="n"/>
    </row>
    <row r="36">
      <c r="B36" s="53" t="inlineStr">
        <is>
          <t>Escenario del plazo solicitado</t>
        </is>
      </c>
      <c r="C36" s="30">
        <f>IFERROR(MATCH(inp_PlazoSol,esc_Plazo,0),1)</f>
        <v>2</v>
      </c>
      <c r="H36" s="61" t="n"/>
      <c r="I36" s="61" t="n"/>
      <c r="J36" s="61" t="n"/>
      <c r="K36" s="61" t="n"/>
      <c r="L36" s="61" t="n"/>
    </row>
    <row r="37">
      <c r="H37" s="61" t="n"/>
      <c r="I37" s="61" t="n"/>
      <c r="J37" s="61" t="n"/>
      <c r="K37" s="61" t="n"/>
      <c r="L37" s="61" t="n"/>
    </row>
    <row r="38" ht="20" customHeight="1">
      <c r="B38" s="132" t="inlineStr">
        <is>
          <t>PROMOTOR SELECCIONADO (automático)</t>
        </is>
      </c>
      <c r="C38" s="132" t="n"/>
      <c r="D38" s="132" t="n"/>
      <c r="E38" s="132" t="n"/>
      <c r="F38" s="132" t="n"/>
      <c r="H38" s="61" t="n"/>
      <c r="I38" s="61" t="n"/>
      <c r="J38" s="61" t="n"/>
      <c r="K38" s="61" t="n"/>
      <c r="L38" s="61" t="n"/>
    </row>
    <row r="39">
      <c r="B39" s="53" t="inlineStr">
        <is>
          <t>Nombre (formato carta)</t>
        </is>
      </c>
      <c r="C39" s="30" t="str">
        <f>PROPER(inp_Promotor)</f>
        <v>Nombre Del Promotor</v>
      </c>
      <c r="D39" s="139" t="n"/>
      <c r="E39" s="139" t="n"/>
      <c r="F39" s="140" t="n"/>
      <c r="H39" s="61" t="n"/>
      <c r="I39" s="61" t="n"/>
      <c r="J39" s="61" t="n"/>
      <c r="K39" s="61" t="n"/>
      <c r="L39" s="61" t="n"/>
    </row>
    <row r="40">
      <c r="B40" s="53" t="inlineStr">
        <is>
          <t>Puesto</t>
        </is>
      </c>
      <c r="C40" s="30" t="str">
        <f>IFERROR(INDEX(prom_Tabla,MATCH(inp_Promotor,lst_Promotores,0),3)&amp;"","")</f>
        <v>Promotor Fastplus</v>
      </c>
      <c r="D40" s="139" t="n"/>
      <c r="E40" s="139" t="n"/>
      <c r="F40" s="140" t="n"/>
      <c r="H40" s="61" t="n"/>
      <c r="I40" s="61" t="n"/>
      <c r="J40" s="61" t="n"/>
      <c r="K40" s="61" t="n"/>
      <c r="L40" s="61" t="n"/>
    </row>
    <row r="41">
      <c r="B41" s="53" t="inlineStr">
        <is>
          <t>Región</t>
        </is>
      </c>
      <c r="C41" s="30" t="str">
        <f>IFERROR(INDEX(prom_Tabla,MATCH(inp_Promotor,lst_Promotores,0),4)&amp;"","")</f>
        <v>CDMX</v>
      </c>
      <c r="D41" s="139" t="n"/>
      <c r="E41" s="139" t="n"/>
      <c r="F41" s="140" t="n"/>
      <c r="H41" s="61" t="n"/>
      <c r="I41" s="61" t="n"/>
      <c r="J41" s="61" t="n"/>
      <c r="K41" s="61" t="n"/>
      <c r="L41" s="61" t="n"/>
    </row>
    <row r="42">
      <c r="B42" s="53" t="inlineStr">
        <is>
          <t>Correo</t>
        </is>
      </c>
      <c r="C42" s="30" t="str">
        <f>IFERROR(INDEX(prom_Tabla,MATCH(inp_Promotor,lst_Promotores,0),5)&amp;"","")</f>
        <v>promotor@empresa.com.mx</v>
      </c>
      <c r="D42" s="139" t="n"/>
      <c r="E42" s="139" t="n"/>
      <c r="F42" s="140" t="n"/>
      <c r="H42" s="61" t="n"/>
      <c r="I42" s="61" t="n"/>
      <c r="J42" s="61" t="n"/>
      <c r="K42" s="61" t="n"/>
      <c r="L42" s="61" t="n"/>
    </row>
    <row r="43">
      <c r="B43" s="53" t="inlineStr">
        <is>
          <t>Domicilio línea 1</t>
        </is>
      </c>
      <c r="C43" s="30" t="str">
        <f>IFERROR(IF(INDEX(ofi_Tabla,MATCH(sel_PromRegion,ofi_Region,0),2)&amp;""="",par_Dir1,INDEX(ofi_Tabla,MATCH(sel_PromRegion,ofi_Region,0),2)&amp;""),par_Dir1)</f>
        <v>Paseo de los Tamarindos No. 90 Piso 24 Torre 1</v>
      </c>
      <c r="D43" s="139" t="n"/>
      <c r="E43" s="139" t="n"/>
      <c r="F43" s="140" t="n"/>
      <c r="H43" s="61" t="n"/>
      <c r="I43" s="61" t="n"/>
      <c r="J43" s="61" t="n"/>
      <c r="K43" s="61" t="n"/>
      <c r="L43" s="61" t="n"/>
    </row>
    <row r="44">
      <c r="B44" s="53" t="inlineStr">
        <is>
          <t>Domicilio línea 2</t>
        </is>
      </c>
      <c r="C44" s="30" t="str">
        <f>IFERROR(IF(INDEX(ofi_Tabla,MATCH(sel_PromRegion,ofi_Region,0),2)&amp;""="",par_Dir2,INDEX(ofi_Tabla,MATCH(sel_PromRegion,ofi_Region,0),3)&amp;""),par_Dir2)</f>
        <v>Col. Bosques de las Lomas</v>
      </c>
      <c r="D44" s="139" t="n"/>
      <c r="E44" s="139" t="n"/>
      <c r="F44" s="140" t="n"/>
      <c r="H44" s="61" t="n"/>
      <c r="I44" s="61" t="n"/>
      <c r="J44" s="61" t="n"/>
      <c r="K44" s="61" t="n"/>
      <c r="L44" s="61" t="n"/>
    </row>
    <row r="45">
      <c r="B45" s="53" t="inlineStr">
        <is>
          <t>Domicilio línea 3</t>
        </is>
      </c>
      <c r="C45" s="30" t="str">
        <f>IFERROR(IF(INDEX(ofi_Tabla,MATCH(sel_PromRegion,ofi_Region,0),2)&amp;""="",par_Dir3,INDEX(ofi_Tabla,MATCH(sel_PromRegion,ofi_Region,0),4)&amp;""),par_Dir3)</f>
        <v>CDMX, C.P. 05120</v>
      </c>
      <c r="D45" s="139" t="n"/>
      <c r="E45" s="139" t="n"/>
      <c r="F45" s="140" t="n"/>
      <c r="H45" s="61" t="n"/>
      <c r="I45" s="61" t="n"/>
      <c r="J45" s="61" t="n"/>
      <c r="K45" s="61" t="n"/>
      <c r="L45" s="61" t="n"/>
    </row>
    <row r="46">
      <c r="B46" s="53" t="inlineStr">
        <is>
          <t>Teléfono</t>
        </is>
      </c>
      <c r="C46" s="30" t="str">
        <f>IFERROR(INDEX(ofi_Tabla,MATCH(sel_PromRegion,ofi_Region,0),5)&amp;"","")</f>
        <v/>
      </c>
      <c r="D46" s="139" t="n"/>
      <c r="E46" s="139" t="n"/>
      <c r="F46" s="140" t="n"/>
      <c r="H46" s="61" t="n"/>
      <c r="I46" s="61" t="n"/>
      <c r="J46" s="61" t="n"/>
      <c r="K46" s="61" t="n"/>
      <c r="L46" s="61" t="n"/>
    </row>
    <row r="47">
      <c r="H47" s="61" t="n"/>
      <c r="I47" s="61" t="n"/>
      <c r="J47" s="61" t="n"/>
      <c r="K47" s="61" t="n"/>
      <c r="L47" s="61" t="n"/>
    </row>
    <row r="48">
      <c r="H48" s="61" t="n"/>
      <c r="I48" s="61" t="n"/>
      <c r="J48" s="61" t="n"/>
      <c r="K48" s="61" t="n"/>
      <c r="L48" s="61" t="n"/>
    </row>
    <row r="49">
      <c r="H49" s="61" t="n"/>
      <c r="I49" s="61" t="n"/>
      <c r="J49" s="61" t="n"/>
      <c r="K49" s="61" t="n"/>
      <c r="L49" s="61" t="n"/>
    </row>
    <row r="50">
      <c r="H50" s="61" t="n"/>
      <c r="I50" s="61" t="n"/>
      <c r="J50" s="61" t="n"/>
      <c r="K50" s="61" t="n"/>
      <c r="L50" s="61" t="n"/>
    </row>
    <row r="51">
      <c r="H51" s="61" t="n"/>
      <c r="I51" s="61" t="n"/>
      <c r="J51" s="61" t="n"/>
      <c r="K51" s="61" t="n"/>
      <c r="L51" s="61" t="n"/>
    </row>
    <row r="52">
      <c r="H52" s="61" t="n"/>
      <c r="I52" s="61" t="n"/>
      <c r="J52" s="61" t="n"/>
      <c r="K52" s="61" t="n"/>
      <c r="L52" s="61" t="n"/>
    </row>
    <row r="53">
      <c r="H53" s="61" t="n"/>
      <c r="I53" s="61" t="n"/>
      <c r="J53" s="61" t="n"/>
      <c r="K53" s="61" t="n"/>
      <c r="L53" s="61" t="n"/>
    </row>
    <row r="54">
      <c r="H54" s="61" t="n"/>
      <c r="I54" s="61" t="n"/>
      <c r="J54" s="61" t="n"/>
      <c r="K54" s="61" t="n"/>
      <c r="L54" s="61" t="n"/>
    </row>
    <row r="55">
      <c r="H55" s="61" t="n"/>
      <c r="I55" s="61" t="n"/>
      <c r="J55" s="61" t="n"/>
      <c r="K55" s="61" t="n"/>
      <c r="L55" s="61" t="n"/>
    </row>
    <row r="56">
      <c r="H56" s="61" t="n"/>
      <c r="I56" s="61" t="n"/>
      <c r="J56" s="61" t="n"/>
      <c r="K56" s="61" t="n"/>
      <c r="L56" s="61" t="n"/>
    </row>
    <row r="57">
      <c r="H57" s="61" t="n"/>
      <c r="I57" s="61" t="n"/>
      <c r="J57" s="61" t="n"/>
      <c r="K57" s="61" t="n"/>
      <c r="L57" s="61" t="n"/>
    </row>
    <row r="58">
      <c r="H58" s="61" t="n"/>
      <c r="I58" s="61" t="n"/>
      <c r="J58" s="61" t="n"/>
      <c r="K58" s="61" t="n"/>
      <c r="L58" s="61" t="n"/>
    </row>
    <row r="59">
      <c r="H59" s="61" t="n"/>
      <c r="I59" s="61" t="n"/>
      <c r="J59" s="61" t="n"/>
      <c r="K59" s="61" t="n"/>
      <c r="L59" s="61" t="n"/>
    </row>
    <row r="60">
      <c r="H60" s="61" t="n"/>
      <c r="I60" s="61" t="n"/>
      <c r="J60" s="61" t="n"/>
      <c r="K60" s="61" t="n"/>
      <c r="L60" s="61" t="n"/>
    </row>
    <row r="61">
      <c r="H61" s="61" t="n"/>
      <c r="I61" s="61" t="n"/>
      <c r="J61" s="61" t="n"/>
      <c r="K61" s="61" t="n"/>
      <c r="L61" s="61" t="n"/>
    </row>
    <row r="62">
      <c r="H62" s="61" t="n"/>
      <c r="I62" s="61" t="n"/>
      <c r="J62" s="61" t="n"/>
      <c r="K62" s="61" t="n"/>
      <c r="L62" s="61" t="n"/>
    </row>
    <row r="63">
      <c r="H63" s="61" t="n"/>
      <c r="I63" s="61" t="n"/>
      <c r="J63" s="61" t="n"/>
      <c r="K63" s="61" t="n"/>
      <c r="L63" s="61" t="n"/>
    </row>
    <row r="64">
      <c r="H64" s="61" t="n"/>
      <c r="I64" s="61" t="n"/>
      <c r="J64" s="61" t="n"/>
      <c r="K64" s="61" t="n"/>
      <c r="L64" s="61" t="n"/>
    </row>
    <row r="65">
      <c r="H65" s="61" t="n"/>
      <c r="I65" s="61" t="n"/>
      <c r="J65" s="61" t="n"/>
      <c r="K65" s="61" t="n"/>
      <c r="L65" s="61" t="n"/>
    </row>
    <row r="66">
      <c r="H66" s="61" t="n"/>
      <c r="I66" s="61" t="n"/>
      <c r="J66" s="61" t="n"/>
      <c r="K66" s="61" t="n"/>
      <c r="L66" s="61" t="n"/>
    </row>
    <row r="67">
      <c r="H67" s="61" t="n"/>
      <c r="I67" s="61" t="n"/>
      <c r="J67" s="61" t="n"/>
      <c r="K67" s="61" t="n"/>
      <c r="L67" s="61" t="n"/>
    </row>
    <row r="68">
      <c r="H68" s="61" t="n"/>
      <c r="I68" s="61" t="n"/>
      <c r="J68" s="61" t="n"/>
      <c r="K68" s="61" t="n"/>
      <c r="L68" s="61" t="n"/>
    </row>
    <row r="69">
      <c r="H69" s="61" t="n"/>
      <c r="I69" s="61" t="n"/>
      <c r="J69" s="61" t="n"/>
      <c r="K69" s="61" t="n"/>
      <c r="L69" s="61" t="n"/>
    </row>
    <row r="70">
      <c r="H70" s="61" t="n"/>
      <c r="I70" s="61" t="n"/>
      <c r="J70" s="61" t="n"/>
      <c r="K70" s="61" t="n"/>
      <c r="L70" s="61" t="n"/>
    </row>
    <row r="71">
      <c r="H71" s="61" t="n"/>
      <c r="I71" s="61" t="n"/>
      <c r="J71" s="61" t="n"/>
      <c r="K71" s="61" t="n"/>
      <c r="L71" s="61" t="n"/>
    </row>
    <row r="72">
      <c r="H72" s="61" t="n"/>
      <c r="I72" s="61" t="n"/>
      <c r="J72" s="61" t="n"/>
      <c r="K72" s="61" t="n"/>
      <c r="L72" s="61" t="n"/>
    </row>
    <row r="73">
      <c r="H73" s="61" t="n"/>
      <c r="I73" s="61" t="n"/>
      <c r="J73" s="61" t="n"/>
      <c r="K73" s="61" t="n"/>
      <c r="L73" s="61" t="n"/>
    </row>
    <row r="74">
      <c r="H74" s="61" t="n"/>
      <c r="I74" s="61" t="n"/>
      <c r="J74" s="61" t="n"/>
      <c r="K74" s="61" t="n"/>
      <c r="L74" s="61" t="n"/>
    </row>
    <row r="75">
      <c r="H75" s="61" t="n"/>
      <c r="I75" s="61" t="n"/>
      <c r="J75" s="61" t="n"/>
      <c r="K75" s="61" t="n"/>
      <c r="L75" s="61" t="n"/>
    </row>
    <row r="76">
      <c r="H76" s="61" t="n"/>
      <c r="I76" s="61" t="n"/>
      <c r="J76" s="61" t="n"/>
      <c r="K76" s="61" t="n"/>
      <c r="L76" s="61" t="n"/>
    </row>
    <row r="77">
      <c r="H77" s="61" t="n"/>
      <c r="I77" s="61" t="n"/>
      <c r="J77" s="61" t="n"/>
      <c r="K77" s="61" t="n"/>
      <c r="L77" s="61" t="n"/>
    </row>
    <row r="78">
      <c r="H78" s="61" t="n"/>
      <c r="I78" s="61" t="n"/>
      <c r="J78" s="61" t="n"/>
      <c r="K78" s="61" t="n"/>
      <c r="L78" s="61" t="n"/>
    </row>
    <row r="79">
      <c r="H79" s="61" t="n"/>
      <c r="I79" s="61" t="n"/>
      <c r="J79" s="61" t="n"/>
      <c r="K79" s="61" t="n"/>
      <c r="L79" s="61" t="n"/>
    </row>
    <row r="80">
      <c r="H80" s="61" t="n"/>
      <c r="I80" s="61" t="n"/>
      <c r="J80" s="61" t="n"/>
      <c r="K80" s="61" t="n"/>
      <c r="L80" s="61" t="n"/>
    </row>
    <row r="81">
      <c r="H81" s="61" t="n"/>
      <c r="I81" s="61" t="n"/>
      <c r="J81" s="61" t="n"/>
      <c r="K81" s="61" t="n"/>
      <c r="L81" s="61" t="n"/>
    </row>
    <row r="82">
      <c r="H82" s="61" t="n"/>
      <c r="I82" s="61" t="n"/>
      <c r="J82" s="61" t="n"/>
      <c r="K82" s="61" t="n"/>
      <c r="L82" s="61" t="n"/>
    </row>
    <row r="83">
      <c r="H83" s="61" t="n"/>
      <c r="I83" s="61" t="n"/>
      <c r="J83" s="61" t="n"/>
      <c r="K83" s="61" t="n"/>
      <c r="L83" s="61" t="n"/>
    </row>
    <row r="84">
      <c r="H84" s="61" t="n"/>
      <c r="I84" s="61" t="n"/>
      <c r="J84" s="61" t="n"/>
      <c r="K84" s="61" t="n"/>
      <c r="L84" s="61" t="n"/>
    </row>
  </sheetData>
  <mergeCells count="34">
    <mergeCell ref="C17:F17"/>
    <mergeCell ref="C23:F23"/>
    <mergeCell ref="C39:F39"/>
    <mergeCell ref="C8:F8"/>
    <mergeCell ref="C7:F7"/>
    <mergeCell ref="C19:F19"/>
    <mergeCell ref="C28:F28"/>
    <mergeCell ref="C13:F13"/>
    <mergeCell ref="C18:F18"/>
    <mergeCell ref="C6:F6"/>
    <mergeCell ref="C15:F15"/>
    <mergeCell ref="C24:F24"/>
    <mergeCell ref="C5:F5"/>
    <mergeCell ref="C42:F42"/>
    <mergeCell ref="C14:F14"/>
    <mergeCell ref="C45:F45"/>
    <mergeCell ref="C4:F4"/>
    <mergeCell ref="C20:F20"/>
    <mergeCell ref="C26:F26"/>
    <mergeCell ref="C29:F29"/>
    <mergeCell ref="C16:F16"/>
    <mergeCell ref="C25:F25"/>
    <mergeCell ref="C10:F10"/>
    <mergeCell ref="C41:F41"/>
    <mergeCell ref="C44:F44"/>
    <mergeCell ref="C22:F22"/>
    <mergeCell ref="C40:F40"/>
    <mergeCell ref="C9:F9"/>
    <mergeCell ref="C43:F43"/>
    <mergeCell ref="C12:F12"/>
    <mergeCell ref="C46:F46"/>
    <mergeCell ref="C21:F21"/>
    <mergeCell ref="C11:F11"/>
    <mergeCell ref="C27:F27"/>
  </mergeCells>
  <dataValidations count="1">
    <dataValidation sqref="C16" showDropDown="0" showInputMessage="0" showErrorMessage="0" allowBlank="1" errorTitle="Valor no válido" error="Seleccione un valor de la lista." type="list">
      <formula1>=lst_BaseIVA</formula1>
    </dataValidation>
  </dataValidations>
  <pageMargins left="0.75" right="0.75" top="1" bottom="1" header="0.5" footer="0.5"/>
  <drawing xmlns:r="http://schemas.openxmlformats.org/officeDocument/2006/relationships" r:id="rIdBtnDr"/>
  <legacyDrawing xmlns:r="http://schemas.openxmlformats.org/officeDocument/2006/relationships" r:id="anysvml"/>
</worksheet>
</file>

<file path=customUI/customUI.xml><?xml version="1.0" encoding="utf-8"?>
<customUI xmlns="http://schemas.microsoft.com/office/2006/01/customui">
  <ribbon>
    <tabs>
      <tab id="tabFastplus" label="FASTPLUS" insertAfterMso="TabHome">
        <group id="gCot" label="Cotización">
          <button id="bNueva" label="Nueva cotización" size="large" imageMso="FileNew" onAction="rbNueva" screentip="Limpia la captura y asigna folio (Ctrl+Shift+N)"/>
          <button id="bGuardar" label="Guardar" size="large" imageMso="FileSave" onAction="rbGuardar" screentip="Guarda la cotización en Historial (Ctrl+Shift+G)"/>
          <button id="bCargar" label="Cargar folio" size="large" imageMso="FileOpen" onAction="rbCargar" screentip="Cargar folio"/>
        </group>
        <group id="gEnt" label="Cliente">
          <button id="bPaquete" label="Propuesta completa PDF" size="large" imageMso="FileSaveAsPdfOrXps" onAction="rbPaquete" screentip="Propuesta + Pago inicial + Tabla de pagos (Ctrl+Shift+P)"/>
          <button id="bCorreo" label="Enviar por correo" size="large" imageMso="FileSendAsAttachment" onAction="rbCorreo" screentip="Enviar por correo"/>
          <button id="bProp" label="Propuesta" size="normal" onAction="rbPropuesta" screentip="Propuesta"/>
          <button id="bTabla" label="Tabla de pagos" size="normal" onAction="rbTablaPDF" screentip="Tabla de pagos"/>
          <button id="bVenta" label="Carta de venta" size="normal" onAction="rbVenta" screentip="Carta de venta"/>
        </group>
        <group id="gEdoc" label="e-Documentos (Excel)">
          <button id="bEProp" label="e-Propuesta" size="large" imageMso="FileSaveAs" onAction="rbEPropuesta" screentip="Copia la propuesta a un libro nuevo solo con valores"/>
          <button id="bEPago" label="e-Pago Inicial" size="normal" onAction="rbEPago" screentip="e-Pago Inicial"/>
          <button id="bEVenta" label="e-Venta" size="normal" onAction="rbEVenta" screentip="e-Venta"/>
        </group>
        <group id="gCre" label="Crédito">
          <button id="bCredito" label="Expediente interno PDF" size="large" imageMso="FileSaveAsPdfOrXps" onAction="rbCredito" screentip="Factores + Bonos + Riesgo"/>
          <button id="bRiesgo" label="Hoja de riesgo" size="normal" onAction="rbRiesgo" screentip="Hoja de riesgo"/>
        </group>
        <group id="gFin" label="Ajustes">
          <button id="bTasaMin" label="Margen mínimo (rate card)" size="large" imageMso="AutoSum" onAction="rbTasaMin" screentip="Pone el margen sobre TIIE que cumple el rate card"/>
          <button id="bTasaRenta" label="Tasa para renta deseada" size="large" imageMso="PercentStyle" onAction="rbTasaRenta" screentip="Tasa para renta deseada"/>
          <button id="bRentaDed" label="Renta deducible" size="large" imageMso="AutoSum" onAction="rbRentaDed" screentip="Calcula la renta extraordinaria para que la renta sea 100% deducible"/>
        </group>
        <group id="gIr" label="Ir a">
          <button id="bIrCot" label="Cotizador" size="normal" onAction="rbIrCotizador" screentip="Cotizador"/>
          <button id="bIrFac" label="Factores" size="normal" onAction="rbIrFactores" screentip="Factores"/>
          <button id="bIrProp" label="Propuesta" size="normal" onAction="rbIrPropuesta" screentip="Propuesta"/>
          <button id="bIrPI" label="Pago inicial" size="normal" onAction="rbIrPagoInicial" screentip="Pago inicial"/>
          <button id="bIrVen" label="Venta" size="normal" onAction="rbIrVenta" screentip="Venta"/>
          <button id="bIrBon" label="Bonos" size="normal" onAction="rbIrBonos" screentip="Bonos"/>
          <button id="bIrRie" label="Riesgo" size="normal" onAction="rbIrRiesgo" screentip="Riesgo"/>
          <button id="bIrTab" label="Tabla de pagos" size="normal" onAction="rbIrTabla" screentip="Tabla de pagos"/>
          <button id="bIrHis" label="Historial" size="normal" onAction="rbIrHistorial" screentip="Historial"/>
          <button id="bIrCor" label="Corrida" size="normal" onAction="rbIrCorrida" screentip="Corrida"/>
          <button id="bIrCat" label="Catálogos" size="normal" onAction="rbIrCatalogos" screentip="Catálogos"/>
        </group>
        <group id="gAdm" label="Acceso">
          <button id="bGer" label="Acceso gerencia" size="large" imageMso="Lock" onAction="rbGerencia" screentip="Acceso gerencia"/>
          <button id="bOculGer" label="Ocultar gerencia" size="normal" onAction="rbOcultarGer" screentip="Ocultar gerencia"/>
          <button id="bAdmin" label="Administrador" size="normal" onAction="rbAdmin" screentip="Administrador"/>
          <button id="bProt" label="Proteger hojas" size="normal" onAction="rbProteger" screentip="Proteger hojas"/>
          <button id="bDesp" label="Desproteger hojas" size="normal" onAction="rbDesproteger" screentip="Desproteger hojas"/>
        </group>
      </tab>
    </tabs>
  </ribbon>
</customUI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2026-10-06T00:53:23Z</dcterms:created>
  <dcterms:modified xsi:type="dcterms:W3CDTF">2026-10-06T00:53:23Z</dcterms:modified>
</cp:coreProperties>
</file>