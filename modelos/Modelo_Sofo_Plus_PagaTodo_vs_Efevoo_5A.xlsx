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Comparativo" sheetId="1" state="visible" r:id="rId3"/>
    <sheet name="Supuestos" sheetId="2" state="visible" r:id="rId4"/>
    <sheet name="Flujo Comercio-SOFOM" sheetId="3" state="visible" r:id="rId5"/>
    <sheet name="Cartera 60M" sheetId="4" state="visible" r:id="rId6"/>
    <sheet name="BP PagaTodo" sheetId="5" state="visible" r:id="rId7"/>
    <sheet name="BP Efevoo" sheetId="6" state="visible" r:id="rId8"/>
    <sheet name="Economía por Crédit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<sst xmlns="http://schemas.openxmlformats.org/spreadsheetml/2006/main" count="322" uniqueCount="252">
  <si>
    <t xml:space="preserve">Comité de Nuevos Productos — Cobranza Cupón con TPV | Banco PagaTodo vs Efevoo Pay</t>
  </si>
  <si>
    <t xml:space="preserve">Modelo económico Sofo Plus a 5 años (60 meses) — cifras en MXN</t>
  </si>
  <si>
    <t xml:space="preserve">Veredicto (VPN de la utilidad a 5 años)</t>
  </si>
  <si>
    <t xml:space="preserve">1. Términos económicos de cada propuesta</t>
  </si>
  <si>
    <t xml:space="preserve">PagaTodo</t>
  </si>
  <si>
    <t xml:space="preserve">Efevoo</t>
  </si>
  <si>
    <t xml:space="preserve">Setup / implementación (USD)</t>
  </si>
  <si>
    <t xml:space="preserve">Cuota fija mensual (USD)</t>
  </si>
  <si>
    <t xml:space="preserve">Mínimo mensual en régimen (USD)</t>
  </si>
  <si>
    <t xml:space="preserve">Renta TPV mensual mes 7+ (USD) / compra TPV (USD por unidad)</t>
  </si>
  <si>
    <t xml:space="preserve">Servicing fee sobre cobranza</t>
  </si>
  <si>
    <t xml:space="preserve">% del margen neto MDR que se queda el proveedor</t>
  </si>
  <si>
    <t xml:space="preserve">Costo por transacción (USD)</t>
  </si>
  <si>
    <t xml:space="preserve">Registro anual ante marcas (USD/año, desde el año 2)</t>
  </si>
  <si>
    <t xml:space="preserve">2. Resultados anuales (MXN)</t>
  </si>
  <si>
    <t xml:space="preserve">Concepto</t>
  </si>
  <si>
    <t xml:space="preserve">Total 5 años</t>
  </si>
  <si>
    <t xml:space="preserve">Banco PagaTodo</t>
  </si>
  <si>
    <t xml:space="preserve">  Ingresos Sofo Plus</t>
  </si>
  <si>
    <t xml:space="preserve">  Costo de fondeo</t>
  </si>
  <si>
    <t xml:space="preserve">  Pagos a PagaTodo (servicing + renta + top-up + setup)</t>
  </si>
  <si>
    <t xml:space="preserve">  Utilidad Sofo Plus</t>
  </si>
  <si>
    <t xml:space="preserve">Efevoo Pay</t>
  </si>
  <si>
    <t xml:space="preserve">  Pagos a Efevoo + operación propia</t>
  </si>
  <si>
    <t xml:space="preserve">Diferencia de utilidad (Efevoo − PagaTodo)</t>
  </si>
  <si>
    <t xml:space="preserve">3. Indicadores clave a 5 años</t>
  </si>
  <si>
    <t xml:space="preserve">VPN de la utilidad mensual (MXN)</t>
  </si>
  <si>
    <t xml:space="preserve">Utilidad acumulada 60 meses (MXN)</t>
  </si>
  <si>
    <t xml:space="preserve">Pagos totales al proveedor en 60 meses (MXN)</t>
  </si>
  <si>
    <t xml:space="preserve">Mes en que la utilidad acumulada es positiva</t>
  </si>
  <si>
    <t xml:space="preserve">Utilidad más negativa de un mes (MXN)</t>
  </si>
  <si>
    <t xml:space="preserve">Meses con utilidad negativa</t>
  </si>
  <si>
    <t xml:space="preserve">Margen sobre ingresos (5 años)</t>
  </si>
  <si>
    <t xml:space="preserve">Créditos vigentes para break-even mensual (en régimen)</t>
  </si>
  <si>
    <t xml:space="preserve">Utilidad mensual en el mes 60 (MXN)</t>
  </si>
  <si>
    <t xml:space="preserve">Créditos vigentes a partir de los cuales conviene Efevoo (en régimen)</t>
  </si>
  <si>
    <t xml:space="preserve">Holgura mensual promedio para la operación propia de agregador (MXN/mes)</t>
  </si>
  <si>
    <t xml:space="preserve">Si operar como agregador (personal, cumplimiento, contracargos, soporte) cuesta más que esto al mes, conviene PagaTodo.</t>
  </si>
  <si>
    <t xml:space="preserve">Margen neto MDR mínimo con Efevoo para empatar con PagaTodo</t>
  </si>
  <si>
    <t xml:space="preserve">Si la "Tasa agregador" de Efevoo deja a Sofo Plus un margen neto menor a este %, conviene PagaTodo.</t>
  </si>
  <si>
    <t xml:space="preserve">4. Supuestos del caso base (editar en la hoja Supuestos)</t>
  </si>
  <si>
    <t xml:space="preserve">Facturación mensual con tarjeta por TPV (MXN)</t>
  </si>
  <si>
    <t xml:space="preserve">Monto de crédito promedio (MXN)</t>
  </si>
  <si>
    <t xml:space="preserve">Tasa anual / plazo (meses)</t>
  </si>
  <si>
    <t xml:space="preserve">Costo de fondeo anual</t>
  </si>
  <si>
    <t xml:space="preserve">Margen neto MDR total</t>
  </si>
  <si>
    <t xml:space="preserve">Ticket promedio (MXN)</t>
  </si>
  <si>
    <t xml:space="preserve">Objetivo de cartera (MXN) / mes objetivo</t>
  </si>
  <si>
    <t xml:space="preserve">Cartera al mes 60 (MXN)</t>
  </si>
  <si>
    <t xml:space="preserve">Créditos vigentes al mes 60</t>
  </si>
  <si>
    <t xml:space="preserve">Costo operativo propio como agregador (MXN/mes)</t>
  </si>
  <si>
    <t xml:space="preserve">Tasa de descuento anual (VPN)</t>
  </si>
  <si>
    <t xml:space="preserve">5. Notas y puntos a confirmar</t>
  </si>
  <si>
    <t xml:space="preserve">1. Ambos escenarios usan el mismo plan de colocación, cartera y facturación (hoja Cartera 60M); solo cambian los costos del proveedor y el reparto del MDR.</t>
  </si>
  <si>
    <t xml:space="preserve">2. PagaTodo: se reproduce la lógica del modelo original (split 50% MDR, servicing 0.75% sobre la cuota, renta por antigüedad de TPV, mínimo con top-up, setup en 2 pagos).</t>
  </si>
  <si>
    <t xml:space="preserve">3. PagaTodo: la tabla de mínimos de la propuesta tiene un error ("Mes 1 y 2 / Mes 2 y 3 / Mes 5+"); se usan los tramos 1-2, 3-4 y 5+.</t>
  </si>
  <si>
    <t xml:space="preserve">4. Efevoo: se asume que Sofo Plus retiene el 100% del margen neto MDR. Falta confirmar qué es la "Tasa agregador" 2.06% / 1.45% / 2.95% y quién absorbe intercambio y Prosa.</t>
  </si>
  <si>
    <t xml:space="preserve">5. Efevoo: la propuesta menciona un mínimo de volumen por transacciones sin monto; capturarlo en Supuestos cuando se confirme.</t>
  </si>
  <si>
    <t xml:space="preserve">6. Efevoo: operar como agregador implica costos propios (cumplimiento, contracargos, soporte, liquidación) que no están en la propuesta. Ver la holgura en el indicador de la fila 43.</t>
  </si>
  <si>
    <t xml:space="preserve">7. No se modela mora ni pérdida esperada, ni gastos generales de Sofo Plus, ni IVA. Aplican igual a ambos escenarios salvo la operación de agregador.</t>
  </si>
  <si>
    <t xml:space="preserve">8. Las TPV de Efevoo se compran (inversión inicial); con reutilización = 1 solo se compran cuando las TPV activas superan su máximo histórico.</t>
  </si>
  <si>
    <t xml:space="preserve">6. Utilidad acumulada mensual (datos de la gráfica)</t>
  </si>
  <si>
    <t xml:space="preserve">Mes</t>
  </si>
  <si>
    <t xml:space="preserve">Supuestos | Sofo Plus — Cobranza Cupón con TPV: Banco PagaTodo vs Efevoo Pay (5 años)</t>
  </si>
  <si>
    <t xml:space="preserve">Celdas en azul = datos editables · fondo amarillo = supuesto clave por validar · verde = liga a otra hoja · negro = fórmula</t>
  </si>
  <si>
    <t xml:space="preserve">1. Generales</t>
  </si>
  <si>
    <t xml:space="preserve">Valor</t>
  </si>
  <si>
    <t xml:space="preserve">MXN</t>
  </si>
  <si>
    <t xml:space="preserve">Fuente / nota</t>
  </si>
  <si>
    <t xml:space="preserve">Tipo de cambio (MXN / USD)</t>
  </si>
  <si>
    <t xml:space="preserve">Del modelo original PNB_Modelo_YG (FastPlus).</t>
  </si>
  <si>
    <t xml:space="preserve">Tasa de descuento anual para VPN</t>
  </si>
  <si>
    <t xml:space="preserve">Supuesto editable; no viene de las propuestas. Se usa solo para comparar el valor presente.</t>
  </si>
  <si>
    <t xml:space="preserve">2. Crédito SOFOM → Comercio (igual en ambos escenarios)</t>
  </si>
  <si>
    <t xml:space="preserve">Del modelo original.</t>
  </si>
  <si>
    <t xml:space="preserve">Ratio crédito / facturación mensual (x)</t>
  </si>
  <si>
    <t xml:space="preserve">Tasa anual del crédito</t>
  </si>
  <si>
    <t xml:space="preserve">Plazo (meses) — máximo 36</t>
  </si>
  <si>
    <t xml:space="preserve">Comisión de apertura de línea</t>
  </si>
  <si>
    <t xml:space="preserve">TPVs por comercio</t>
  </si>
  <si>
    <t xml:space="preserve">Ticket promedio por transacción con tarjeta (MXN)</t>
  </si>
  <si>
    <t xml:space="preserve">NUEVO: necesario para calcular el costo por transacción de Efevoo (USD 0.03). Ajustar con el dato real de los comercios.</t>
  </si>
  <si>
    <t xml:space="preserve">Margen neto MDR total (% de facturación) — neto de intercambio, assessments y E-Global/Prosa</t>
  </si>
  <si>
    <t xml:space="preserve">Del modelo original. Con PagaTodo se reparte; ver split abajo.</t>
  </si>
  <si>
    <t xml:space="preserve">3. Plan de colocación (igual en ambos escenarios)</t>
  </si>
  <si>
    <t xml:space="preserve">Créditos nuevos colocados en el mes 1</t>
  </si>
  <si>
    <t xml:space="preserve">Objetivo de cartera (MXN)</t>
  </si>
  <si>
    <t xml:space="preserve">Mes objetivo para alcanzar la cartera</t>
  </si>
  <si>
    <t xml:space="preserve">Del modelo original. Después de este mes la colocación mensual se mantiene constante hasta el mes 60.</t>
  </si>
  <si>
    <t xml:space="preserve">Modo de rampa ("Resolver para la meta" o "Rampa manual")</t>
  </si>
  <si>
    <t xml:space="preserve">Resolver para la meta</t>
  </si>
  <si>
    <t xml:space="preserve">"Resolver para la meta" calcula el incremento mensual para llegar al objetivo en el mes objetivo.</t>
  </si>
  <si>
    <t xml:space="preserve">Incremento mensual manual (créditos adicionales por mes)</t>
  </si>
  <si>
    <t xml:space="preserve">Solo aplica en "Rampa manual".</t>
  </si>
  <si>
    <t xml:space="preserve">4. Banco PagaTodo / Ya Ganaste — Propuesta 17-sep-2026 (USD)</t>
  </si>
  <si>
    <t xml:space="preserve">Renta TPV mensual — meses 1 a 6 de cada TPV (USD)</t>
  </si>
  <si>
    <t xml:space="preserve">Propuesta PagaTodo, numeral 1.</t>
  </si>
  <si>
    <t xml:space="preserve">Renta TPV mensual — mes 7 en adelante (USD)</t>
  </si>
  <si>
    <t xml:space="preserve">Mes de antigüedad en que sube la renta</t>
  </si>
  <si>
    <t xml:space="preserve">Igual que el modelo original: el escalón se aplica por antigüedad de cada TPV.</t>
  </si>
  <si>
    <t xml:space="preserve">Split del margen neto MDR para PagaTodo</t>
  </si>
  <si>
    <t xml:space="preserve">Propuesta PagaTodo, numeral 2 (50% / 50%).</t>
  </si>
  <si>
    <t xml:space="preserve">Servicing fee (% de la cobranza del crédito vía TPV)</t>
  </si>
  <si>
    <t xml:space="preserve">Propuesta PagaTodo, numeral 3. Igual que el modelo original: se aplica sobre la cuota del crédito cobrada.</t>
  </si>
  <si>
    <t xml:space="preserve">Mínimo mensual — tramo 1 (USD)</t>
  </si>
  <si>
    <t xml:space="preserve">Propuesta PagaTodo, numeral 4.</t>
  </si>
  <si>
    <t xml:space="preserve">  Último mes del tramo 1</t>
  </si>
  <si>
    <t xml:space="preserve">La propuesta dice "Mes 1 y 2 / Mes 2 y 3 / Mes 5 en adelante" (error de redacción). Se usa 1-2, 3-4, 5+ como en el modelo original.</t>
  </si>
  <si>
    <t xml:space="preserve">Mínimo mensual — tramo 2 (USD)</t>
  </si>
  <si>
    <t xml:space="preserve">  Último mes del tramo 2</t>
  </si>
  <si>
    <t xml:space="preserve">Ver nota anterior.</t>
  </si>
  <si>
    <t xml:space="preserve">Mínimo mensual — resto del plazo (USD)</t>
  </si>
  <si>
    <t xml:space="preserve">Setup total (USD)</t>
  </si>
  <si>
    <t xml:space="preserve">Propuesta PagaTodo, numeral 5.</t>
  </si>
  <si>
    <t xml:space="preserve">  % del setup pagado en el go live</t>
  </si>
  <si>
    <t xml:space="preserve">  Mes límite del segundo pago de setup</t>
  </si>
  <si>
    <t xml:space="preserve">Propuesta PagaTodo: lo primero entre 20 TPV activas o el mes 6.</t>
  </si>
  <si>
    <t xml:space="preserve">  Umbral de TPV activas para el segundo pago</t>
  </si>
  <si>
    <t xml:space="preserve">5. Efevoo Pay — Agregador marca blanca, propuesta 25-sep-2026 (USD)</t>
  </si>
  <si>
    <t xml:space="preserve">Implementación inicial (USD, pago único)</t>
  </si>
  <si>
    <t xml:space="preserve">Efevoo pág. 29. Incluye el registro ante Visa/MC del primer año.</t>
  </si>
  <si>
    <t xml:space="preserve">Renta dashboard de control interno y clientes (USD/mes)</t>
  </si>
  <si>
    <t xml:space="preserve">Efevoo pág. 30.</t>
  </si>
  <si>
    <t xml:space="preserve">Renta fija switch transaccional Alpha Connect (USD/mes)</t>
  </si>
  <si>
    <t xml:space="preserve">Servidores dedicados (USD/mes)</t>
  </si>
  <si>
    <t xml:space="preserve">Total cuota fija mensual (USD)</t>
  </si>
  <si>
    <t xml:space="preserve">Costo por transacción con tarjeta presente (USD)</t>
  </si>
  <si>
    <t xml:space="preserve">Efevoo pág. 30-31.</t>
  </si>
  <si>
    <t xml:space="preserve">Mínimo mensual por transacciones (USD)</t>
  </si>
  <si>
    <t xml:space="preserve">La propuesta dice que hay "un mínimo de volumen fijo mensual" pero no da el monto. Capturar cuando lo confirmen.</t>
  </si>
  <si>
    <t xml:space="preserve">Registro anual ante las marcas Visa/MC (USD/año)</t>
  </si>
  <si>
    <t xml:space="preserve">Efevoo pág. 31-32. El primer año está incluido en la implementación.</t>
  </si>
  <si>
    <t xml:space="preserve">  Mes del primer cobro anual de marcas</t>
  </si>
  <si>
    <t xml:space="preserve">La propuesta dice "al año vencido, finales de 2027". Se asume mes 13 del plan; después se repite cada 12 meses.</t>
  </si>
  <si>
    <t xml:space="preserve">Precio de compra por TPV (USD)</t>
  </si>
  <si>
    <t xml:space="preserve">Efevoo pág. 32: Ultra con impresora USD 131; Smart sin impresora USD 112. Sin IVA.</t>
  </si>
  <si>
    <t xml:space="preserve">¿Se reutilizan las TPV de créditos liquidados? (1 = Sí, 0 = No)</t>
  </si>
  <si>
    <t xml:space="preserve">1 = solo se compran TPV cuando las activas superan el máximo histórico. 0 = TPV nueva por cada crédito.</t>
  </si>
  <si>
    <t xml:space="preserve">Margen neto MDR para Sofo Plus con Efevoo (% de facturación)</t>
  </si>
  <si>
    <t xml:space="preserve">Supone que Sofo Plus retiene el 100% del margen neto (no hay split). CONFIRMAR qué significa la "Tasa agregador" 2.06% / 1.45% / 2.95% de Efevoo (pág. 20).</t>
  </si>
  <si>
    <t xml:space="preserve">Costo operativo propio de operar como agregador (MXN/mes)</t>
  </si>
  <si>
    <t xml:space="preserve">No viene en la propuesta: personal, cumplimiento, contracargos, soporte a comercios, etc. Ver en el Resumen cuánto margen hay para absorberlo.</t>
  </si>
  <si>
    <t xml:space="preserve">Flujo Comercio ↔ SOFOM | Tabla de amortización de un crédito</t>
  </si>
  <si>
    <t xml:space="preserve">Monto crédito (MXN)</t>
  </si>
  <si>
    <t xml:space="preserve">Tasa anual</t>
  </si>
  <si>
    <t xml:space="preserve">Tasa mensual</t>
  </si>
  <si>
    <t xml:space="preserve">Plazo (meses)</t>
  </si>
  <si>
    <t xml:space="preserve">Pago mensual (MXN)</t>
  </si>
  <si>
    <t xml:space="preserve">Comisión apertura (MXN)</t>
  </si>
  <si>
    <t xml:space="preserve">Costo fondeo mensual sobre monto (MXN)</t>
  </si>
  <si>
    <t xml:space="preserve">Periodo</t>
  </si>
  <si>
    <t xml:space="preserve">Balance inicial</t>
  </si>
  <si>
    <t xml:space="preserve">Pago mensual</t>
  </si>
  <si>
    <t xml:space="preserve">Interés</t>
  </si>
  <si>
    <t xml:space="preserve">Amortización</t>
  </si>
  <si>
    <t xml:space="preserve">Balance final</t>
  </si>
  <si>
    <t xml:space="preserve">P&amp;L de la SOFOM por crédito</t>
  </si>
  <si>
    <t xml:space="preserve">Total intereses cobrados (MXN)</t>
  </si>
  <si>
    <t xml:space="preserve">Ingreso total (MXN)</t>
  </si>
  <si>
    <t xml:space="preserve">Costo de fondeo total (MXN, sobre saldo)</t>
  </si>
  <si>
    <t xml:space="preserve">Utilidad SOFOM por crédito antes de proveedor (MXN)</t>
  </si>
  <si>
    <t xml:space="preserve">Cartera y volumen | Plan de colocación a 60 meses (común para ambos proveedores)</t>
  </si>
  <si>
    <t xml:space="preserve">Cifras en MXN. La cartera, la cobranza y las TPV activas son idénticas en los dos escenarios; solo cambian los costos del proveedor.</t>
  </si>
  <si>
    <t xml:space="preserve">Pago mensual por crédito (MXN)</t>
  </si>
  <si>
    <t xml:space="preserve">Créditos nuevos mes 1</t>
  </si>
  <si>
    <t xml:space="preserve">Mes objetivo</t>
  </si>
  <si>
    <t xml:space="preserve">Suma de factores de saldo insoluto (Sf)</t>
  </si>
  <si>
    <t xml:space="preserve">Suma ponderada para la rampa (Sw)</t>
  </si>
  <si>
    <t xml:space="preserve">Incremento mensual requerido para la meta (créditos/mes)</t>
  </si>
  <si>
    <t xml:space="preserve">Modo de rampa</t>
  </si>
  <si>
    <t xml:space="preserve">Incremento mensual manual</t>
  </si>
  <si>
    <t xml:space="preserve">Incremento mensual aplicado</t>
  </si>
  <si>
    <t xml:space="preserve">Mes del 2º pago de setup PagaTodo (20 TPV o mes 6, lo primero)</t>
  </si>
  <si>
    <t xml:space="preserve">Cartera alcanzada en el mes objetivo (MXN)</t>
  </si>
  <si>
    <t xml:space="preserve">% del objetivo alcanzado</t>
  </si>
  <si>
    <t xml:space="preserve">Pagos realizados</t>
  </si>
  <si>
    <t xml:space="preserve">Factor saldo insoluto</t>
  </si>
  <si>
    <t xml:space="preserve">Peso para la rampa</t>
  </si>
  <si>
    <t xml:space="preserve">Proyección mensual 60 meses (MXN)</t>
  </si>
  <si>
    <t xml:space="preserve">Mes #</t>
  </si>
  <si>
    <t xml:space="preserve">Año</t>
  </si>
  <si>
    <t xml:space="preserve">Créditos nuevos colocados</t>
  </si>
  <si>
    <t xml:space="preserve">Créditos acumulados originados</t>
  </si>
  <si>
    <t xml:space="preserve">Créditos vigentes</t>
  </si>
  <si>
    <t xml:space="preserve">TPV activas</t>
  </si>
  <si>
    <t xml:space="preserve">  TPV con antigüedad ≥ escalón de renta (auxiliar PagaTodo)</t>
  </si>
  <si>
    <t xml:space="preserve">  TPV con antigüedad &lt; escalón (auxiliar PagaTodo)</t>
  </si>
  <si>
    <t xml:space="preserve">Monto originado en el mes</t>
  </si>
  <si>
    <t xml:space="preserve">Saldo inicial (cartera previa + originación)</t>
  </si>
  <si>
    <t xml:space="preserve">Intereses devengados</t>
  </si>
  <si>
    <t xml:space="preserve">Cuotas cobradas vía TPV (capital + interés)</t>
  </si>
  <si>
    <t xml:space="preserve">Amortización de capital</t>
  </si>
  <si>
    <t xml:space="preserve">Cartera al cierre (saldo insoluto)</t>
  </si>
  <si>
    <t xml:space="preserve">Facturación con tarjeta de los comercios (MXN)</t>
  </si>
  <si>
    <t xml:space="preserve">Número de transacciones con tarjeta</t>
  </si>
  <si>
    <t xml:space="preserve">Máximo histórico de TPV activas (auxiliar Efevoo)</t>
  </si>
  <si>
    <t xml:space="preserve">TPV a comprar en el mes (Efevoo)</t>
  </si>
  <si>
    <t xml:space="preserve">Auxiliar: mes si TPV activas ≥ umbral PagaTodo</t>
  </si>
  <si>
    <t xml:space="preserve">Business Plan 60 meses | Sofo Plus con Banco PagaTodo (propuesta 17-sep-2026)</t>
  </si>
  <si>
    <t xml:space="preserve">Cifras en MXN. Flujo mensual de Sofo Plus: ingresos del crédito + su parte del MDR, menos fondeo y pagos a PagaTodo.</t>
  </si>
  <si>
    <t xml:space="preserve">Cartera al cierre (MXN)</t>
  </si>
  <si>
    <t xml:space="preserve">Ingresos Sofo Plus</t>
  </si>
  <si>
    <t xml:space="preserve">Comisión de apertura</t>
  </si>
  <si>
    <t xml:space="preserve">Intereses</t>
  </si>
  <si>
    <t xml:space="preserve">MDR — parte de Sofo Plus (1 − split PagaTodo)</t>
  </si>
  <si>
    <t xml:space="preserve">Total ingresos</t>
  </si>
  <si>
    <t xml:space="preserve">Costos Sofo Plus</t>
  </si>
  <si>
    <t xml:space="preserve">Costo de fondeo</t>
  </si>
  <si>
    <t xml:space="preserve">Servicing fee a PagaTodo (0.75% de la cuota cobrada)</t>
  </si>
  <si>
    <t xml:space="preserve">Renta TPV a PagaTodo</t>
  </si>
  <si>
    <t xml:space="preserve">Top-up al mínimo mensual</t>
  </si>
  <si>
    <t xml:space="preserve">Setup</t>
  </si>
  <si>
    <t xml:space="preserve">Total costos</t>
  </si>
  <si>
    <t xml:space="preserve">Utilidad mensual Sofo Plus</t>
  </si>
  <si>
    <t xml:space="preserve">Utilidad acumulada</t>
  </si>
  <si>
    <t xml:space="preserve">Margen sobre ingresos</t>
  </si>
  <si>
    <t xml:space="preserve">Control del mínimo y pagos a PagaTodo</t>
  </si>
  <si>
    <t xml:space="preserve">Margen bruto generado para PagaTodo (su % MDR + servicing + renta)</t>
  </si>
  <si>
    <t xml:space="preserve">Mínimo mensual exigido por PagaTodo</t>
  </si>
  <si>
    <t xml:space="preserve">Pago total a PagaTodo (incl. su % del MDR y setup)</t>
  </si>
  <si>
    <t xml:space="preserve">Auxiliar: mes si utilidad acumulada ≥ 0</t>
  </si>
  <si>
    <t xml:space="preserve">Business Plan 60 meses | Sofo Plus como agregador marca blanca con Efevoo Pay (propuesta 25-sep-2026)</t>
  </si>
  <si>
    <t xml:space="preserve">Cifras en MXN. Sofo Plus retiene el margen MDR y paga a Efevoo cuotas fijas, por transacción, marcas, setup y terminales.</t>
  </si>
  <si>
    <t xml:space="preserve">MDR — margen neto retenido por Sofo Plus</t>
  </si>
  <si>
    <t xml:space="preserve">Cuota fija Efevoo (dashboard + switch + servidores)</t>
  </si>
  <si>
    <t xml:space="preserve">Costo por transacción Efevoo</t>
  </si>
  <si>
    <t xml:space="preserve">Registro anual ante marcas (Visa/MC)</t>
  </si>
  <si>
    <t xml:space="preserve">Implementación (setup)</t>
  </si>
  <si>
    <t xml:space="preserve">Compra de TPV</t>
  </si>
  <si>
    <t xml:space="preserve">Costo operativo propio como agregador</t>
  </si>
  <si>
    <t xml:space="preserve">Pagos a Efevoo</t>
  </si>
  <si>
    <t xml:space="preserve">Pago total a Efevoo (fijos + transacciones + marcas + setup + TPV)</t>
  </si>
  <si>
    <t xml:space="preserve">Economía en régimen por crédito vigente | PagaTodo vs Efevoo (MXN / mes)</t>
  </si>
  <si>
    <t xml:space="preserve">Promedio durante la vida del crédito. Sirve para ver el punto de equilibrio y a partir de cuántos créditos conviene cada proveedor.</t>
  </si>
  <si>
    <t xml:space="preserve">Saldo insoluto promedio por crédito</t>
  </si>
  <si>
    <t xml:space="preserve">  Intereses</t>
  </si>
  <si>
    <t xml:space="preserve">  MDR que retiene Sofo Plus</t>
  </si>
  <si>
    <t xml:space="preserve">  Comisión de apertura (amortizada en el plazo)</t>
  </si>
  <si>
    <t xml:space="preserve">Total ingresos por crédito vigente</t>
  </si>
  <si>
    <t xml:space="preserve">  Servicing fee PagaTodo (sobre cuota cobrada)</t>
  </si>
  <si>
    <t xml:space="preserve">  Renta TPV PagaTodo (mes 7+) / costo por transacción Efevoo</t>
  </si>
  <si>
    <t xml:space="preserve">  Compra de TPV amortizada en el plazo (solo si no se reutilizan)</t>
  </si>
  <si>
    <t xml:space="preserve">Total costos variables por crédito vigente</t>
  </si>
  <si>
    <t xml:space="preserve">Contribución neta por crédito vigente</t>
  </si>
  <si>
    <t xml:space="preserve">Costo fijo mensual en régimen (PagaTodo: mínimo; Efevoo: cuota fija + marcas/12 + operación propia)</t>
  </si>
  <si>
    <t xml:space="preserve">Margen que genera cada crédito para PagaTodo (cuenta contra el mínimo)</t>
  </si>
  <si>
    <t xml:space="preserve">Créditos vigentes para utilidad mensual = 0 (break-even)</t>
  </si>
  <si>
    <t xml:space="preserve">Punto de cruce: por encima de este número de créditos vigentes, Efevoo deja más utilidad mensual.</t>
  </si>
  <si>
    <t xml:space="preserve">Utilidad mensual en régimen según créditos vigentes (MXN)</t>
  </si>
  <si>
    <t xml:space="preserve">Diferencia (Efevoo − PagaTodo)</t>
  </si>
  <si>
    <t xml:space="preserve">Conviene</t>
  </si>
  <si>
    <t xml:space="preserve">Nota: en régimen se usa la renta de TPV del mes 7+ y el mínimo de PagaTodo del mes 5+. No incluye setup ni el arranque; esos sí están en los Business Plan de 60 meses.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</si>
</sst>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;\(#,##0.00\);\-"/>
    <numFmt numFmtId="166" formatCode="0.00%;\(0.00%\);\-"/>
    <numFmt numFmtId="167" formatCode="0.000"/>
    <numFmt numFmtId="168" formatCode="&quot;Año &quot;0"/>
    <numFmt numFmtId="169" formatCode="#,##0;\(#,##0\);\-"/>
    <numFmt numFmtId="170" formatCode="0.000%"/>
    <numFmt numFmtId="171" formatCode="#,##0"/>
    <numFmt numFmtId="172" formatCode="0.00"/>
    <numFmt numFmtId="173" formatCode="0.00\x"/>
    <numFmt numFmtId="174" formatCode="#,##0.0;\(#,##0.0\);\-"/>
    <numFmt numFmtId="175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Utilidad acumulada Sofo Plus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'Resumen Comparativo'!B71</c:f>
              <c:strCache>
                <c:ptCount val="1"/>
                <c:pt idx="0">
                  <c:v>PagaTodo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Comparativo'!$C$70:$BJ$70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'Resumen Comparativo'!$C$71:$BJ$71</c:f>
              <c:numCache>
                <c:formatCode>#,##0;\(#,##0\);\-</c:formatCode>
                <c:ptCount val="60"/>
                <c:pt idx="0">
                  <c:v>19483.2040286222</c:v>
                </c:pt>
                <c:pt idx="1">
                  <c:v>293114.064688298</c:v>
                </c:pt>
                <c:pt idx="2">
                  <c:v>789529.815281006</c:v>
                </c:pt>
                <c:pt idx="3">
                  <c:v>1482388.17348755</c:v>
                </c:pt>
                <c:pt idx="4">
                  <c:v>2260662.85046362</c:v>
                </c:pt>
                <c:pt idx="5">
                  <c:v>3393583.49066035</c:v>
                </c:pt>
                <c:pt idx="6">
                  <c:v>4838895.56200428</c:v>
                </c:pt>
                <c:pt idx="7">
                  <c:v>6559155.16825294</c:v>
                </c:pt>
                <c:pt idx="8">
                  <c:v>8559346.44975583</c:v>
                </c:pt>
                <c:pt idx="9">
                  <c:v>10841983.1919608</c:v>
                </c:pt>
                <c:pt idx="10">
                  <c:v>13480445.1551684</c:v>
                </c:pt>
                <c:pt idx="11">
                  <c:v>16425009.0910505</c:v>
                </c:pt>
                <c:pt idx="12">
                  <c:v>19664778.9016601</c:v>
                </c:pt>
                <c:pt idx="13">
                  <c:v>23192972.5421321</c:v>
                </c:pt>
                <c:pt idx="14">
                  <c:v>27074481.4613679</c:v>
                </c:pt>
                <c:pt idx="15">
                  <c:v>31257881.7856132</c:v>
                </c:pt>
                <c:pt idx="16">
                  <c:v>35736487.9845861</c:v>
                </c:pt>
                <c:pt idx="17">
                  <c:v>40577009.6154357</c:v>
                </c:pt>
                <c:pt idx="18">
                  <c:v>45723932.950343</c:v>
                </c:pt>
                <c:pt idx="19">
                  <c:v>51170781.4922497</c:v>
                </c:pt>
                <c:pt idx="20">
                  <c:v>56910815.6404281</c:v>
                </c:pt>
                <c:pt idx="21">
                  <c:v>63010689.3946452</c:v>
                </c:pt>
                <c:pt idx="22">
                  <c:v>69414831.9418713</c:v>
                </c:pt>
                <c:pt idx="23">
                  <c:v>76116623.1299941</c:v>
                </c:pt>
                <c:pt idx="24">
                  <c:v>83109348.0902184</c:v>
                </c:pt>
                <c:pt idx="25">
                  <c:v>90459598.8968712</c:v>
                </c:pt>
                <c:pt idx="26">
                  <c:v>98111741.1085337</c:v>
                </c:pt>
                <c:pt idx="27">
                  <c:v>106059089.194924</c:v>
                </c:pt>
                <c:pt idx="28">
                  <c:v>114368352.71319</c:v>
                </c:pt>
                <c:pt idx="29">
                  <c:v>122984017.935515</c:v>
                </c:pt>
                <c:pt idx="30">
                  <c:v>131899608.364839</c:v>
                </c:pt>
                <c:pt idx="31">
                  <c:v>141108384.400434</c:v>
                </c:pt>
                <c:pt idx="32">
                  <c:v>150677000.042068</c:v>
                </c:pt>
                <c:pt idx="33">
                  <c:v>160549884.476711</c:v>
                </c:pt>
                <c:pt idx="34">
                  <c:v>170720417.552251</c:v>
                </c:pt>
                <c:pt idx="35">
                  <c:v>181181884.399893</c:v>
                </c:pt>
                <c:pt idx="36">
                  <c:v>192000877.093963</c:v>
                </c:pt>
                <c:pt idx="37">
                  <c:v>203121761.193042</c:v>
                </c:pt>
                <c:pt idx="38">
                  <c:v>214537851.166849</c:v>
                </c:pt>
                <c:pt idx="39">
                  <c:v>226242364.970519</c:v>
                </c:pt>
                <c:pt idx="40">
                  <c:v>238300194.052952</c:v>
                </c:pt>
                <c:pt idx="41">
                  <c:v>250659914.540395</c:v>
                </c:pt>
                <c:pt idx="42">
                  <c:v>263314840.902565</c:v>
                </c:pt>
                <c:pt idx="43">
                  <c:v>276331682.696612</c:v>
                </c:pt>
                <c:pt idx="44">
                  <c:v>289654926.194717</c:v>
                </c:pt>
                <c:pt idx="45">
                  <c:v>303278094.899821</c:v>
                </c:pt>
                <c:pt idx="46">
                  <c:v>317194449.211197</c:v>
                </c:pt>
                <c:pt idx="47">
                  <c:v>331470643.128612</c:v>
                </c:pt>
                <c:pt idx="48">
                  <c:v>345977614.237021</c:v>
                </c:pt>
                <c:pt idx="49">
                  <c:v>360682164.357005</c:v>
                </c:pt>
                <c:pt idx="50">
                  <c:v>375552966.790469</c:v>
                </c:pt>
                <c:pt idx="51">
                  <c:v>390560530.448884</c:v>
                </c:pt>
                <c:pt idx="52">
                  <c:v>405675618.730533</c:v>
                </c:pt>
                <c:pt idx="53">
                  <c:v>420875129.479189</c:v>
                </c:pt>
                <c:pt idx="54">
                  <c:v>436138194.66059</c:v>
                </c:pt>
                <c:pt idx="55">
                  <c:v>451444435.523777</c:v>
                </c:pt>
                <c:pt idx="56">
                  <c:v>466779934.016679</c:v>
                </c:pt>
                <c:pt idx="57">
                  <c:v>482133084.097054</c:v>
                </c:pt>
                <c:pt idx="58">
                  <c:v>497494655.312758</c:v>
                </c:pt>
                <c:pt idx="59">
                  <c:v>512856226.528462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'Resumen Comparativo'!B72</c:f>
              <c:strCache>
                <c:ptCount val="1"/>
                <c:pt idx="0">
                  <c:v>Efevoo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Comparativo'!$C$70:$BJ$70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'Resumen Comparativo'!$C$72:$BJ$72</c:f>
              <c:numCache>
                <c:formatCode>#,##0;\(#,##0\);\-</c:formatCode>
                <c:ptCount val="60"/>
                <c:pt idx="0">
                  <c:v>-258094</c:v>
                </c:pt>
                <c:pt idx="1">
                  <c:v>-41977.1494118792</c:v>
                </c:pt>
                <c:pt idx="2">
                  <c:v>408787.581037717</c:v>
                </c:pt>
                <c:pt idx="3">
                  <c:v>1073348.30701528</c:v>
                </c:pt>
                <c:pt idx="4">
                  <c:v>1971442.1376622</c:v>
                </c:pt>
                <c:pt idx="5">
                  <c:v>3120562.11541529</c:v>
                </c:pt>
                <c:pt idx="6">
                  <c:v>4610423.50417246</c:v>
                </c:pt>
                <c:pt idx="7">
                  <c:v>6409157.80567694</c:v>
                </c:pt>
                <c:pt idx="8">
                  <c:v>8525182.55826393</c:v>
                </c:pt>
                <c:pt idx="9">
                  <c:v>10964359.9453669</c:v>
                </c:pt>
                <c:pt idx="10">
                  <c:v>13804454.5232579</c:v>
                </c:pt>
                <c:pt idx="11">
                  <c:v>17001318.4415944</c:v>
                </c:pt>
                <c:pt idx="12">
                  <c:v>20375246.2044438</c:v>
                </c:pt>
                <c:pt idx="13">
                  <c:v>24257228.7669409</c:v>
                </c:pt>
                <c:pt idx="14">
                  <c:v>28542072.577987</c:v>
                </c:pt>
                <c:pt idx="15">
                  <c:v>33178353.7638281</c:v>
                </c:pt>
                <c:pt idx="16">
                  <c:v>38159471.794182</c:v>
                </c:pt>
                <c:pt idx="17">
                  <c:v>43553172.6241837</c:v>
                </c:pt>
                <c:pt idx="18">
                  <c:v>49305048.1280285</c:v>
                </c:pt>
                <c:pt idx="19">
                  <c:v>55406394.8086579</c:v>
                </c:pt>
                <c:pt idx="20">
                  <c:v>61850558.0653444</c:v>
                </c:pt>
                <c:pt idx="21">
                  <c:v>68705228.2958406</c:v>
                </c:pt>
                <c:pt idx="22">
                  <c:v>75915940.2891311</c:v>
                </c:pt>
                <c:pt idx="23">
                  <c:v>83473931.8931038</c:v>
                </c:pt>
                <c:pt idx="24">
                  <c:v>91202488.2389631</c:v>
                </c:pt>
                <c:pt idx="25">
                  <c:v>99509237.7990221</c:v>
                </c:pt>
                <c:pt idx="26">
                  <c:v>108169651.733876</c:v>
                </c:pt>
                <c:pt idx="27">
                  <c:v>117174902.513243</c:v>
                </c:pt>
                <c:pt idx="28">
                  <c:v>126592736.092257</c:v>
                </c:pt>
                <c:pt idx="29">
                  <c:v>136368744.345115</c:v>
                </c:pt>
                <c:pt idx="30">
                  <c:v>146494223.774757</c:v>
                </c:pt>
                <c:pt idx="31">
                  <c:v>156962519.780457</c:v>
                </c:pt>
                <c:pt idx="32">
                  <c:v>167841322.759966</c:v>
                </c:pt>
                <c:pt idx="33">
                  <c:v>179076167.502269</c:v>
                </c:pt>
                <c:pt idx="34">
                  <c:v>190658291.855254</c:v>
                </c:pt>
                <c:pt idx="35">
                  <c:v>202580980.950127</c:v>
                </c:pt>
                <c:pt idx="36">
                  <c:v>214741863.259199</c:v>
                </c:pt>
                <c:pt idx="37">
                  <c:v>227426409.943065</c:v>
                </c:pt>
                <c:pt idx="38">
                  <c:v>240455793.471445</c:v>
                </c:pt>
                <c:pt idx="39">
                  <c:v>253823231.799472</c:v>
                </c:pt>
                <c:pt idx="40">
                  <c:v>267593531.376049</c:v>
                </c:pt>
                <c:pt idx="41">
                  <c:v>281715268.32742</c:v>
                </c:pt>
                <c:pt idx="42">
                  <c:v>296181842.123304</c:v>
                </c:pt>
                <c:pt idx="43">
                  <c:v>311060998.718836</c:v>
                </c:pt>
                <c:pt idx="44">
                  <c:v>326298329.988211</c:v>
                </c:pt>
                <c:pt idx="45">
                  <c:v>341885132.434371</c:v>
                </c:pt>
                <c:pt idx="46">
                  <c:v>357814751.456588</c:v>
                </c:pt>
                <c:pt idx="47">
                  <c:v>374154877.452615</c:v>
                </c:pt>
                <c:pt idx="48">
                  <c:v>390606517.211435</c:v>
                </c:pt>
                <c:pt idx="49">
                  <c:v>407471067.155644</c:v>
                </c:pt>
                <c:pt idx="50">
                  <c:v>424543937.189162</c:v>
                </c:pt>
                <c:pt idx="51">
                  <c:v>441792372.825474</c:v>
                </c:pt>
                <c:pt idx="52">
                  <c:v>459182752.666891</c:v>
                </c:pt>
                <c:pt idx="53">
                  <c:v>476686569.1592</c:v>
                </c:pt>
                <c:pt idx="54">
                  <c:v>494279605.870153</c:v>
                </c:pt>
                <c:pt idx="55">
                  <c:v>511937014.252821</c:v>
                </c:pt>
                <c:pt idx="56">
                  <c:v>529639300.857148</c:v>
                </c:pt>
                <c:pt idx="57">
                  <c:v>547371511.242903</c:v>
                </c:pt>
                <c:pt idx="58">
                  <c:v>565121066.55996</c:v>
                </c:pt>
                <c:pt idx="59">
                  <c:v>582875075.877017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043884"/>
        <c:axId val="57607045"/>
      </c:lineChart>
      <c:catAx>
        <c:axId val="190438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07045"/>
        <c:crosses val="autoZero"/>
        <c:auto val="1"/>
        <c:lblAlgn val="ctr"/>
        <c:lblOffset val="100"/>
        <c:noMultiLvlLbl val="0"/>
      </c:catAx>
      <c:valAx>
        <c:axId val="57607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MXN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43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Utilidad anual Sofo Plus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"PagaTodo"</c:f>
              <c:strCache>
                <c:ptCount val="1"/>
                <c:pt idx="0">
                  <c:v>PagaTodo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'Resumen Comparativo'!$C$19:$G$19</c:f>
              <c:multiLvlStrCache>
                <c:ptCount val="1"/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'Resumen Comparativo'!$C$24:$G$24</c:f>
              <c:numCache>
                <c:formatCode>#,##0;\(#,##0\);\-</c:formatCode>
                <c:ptCount val="5"/>
                <c:pt idx="0">
                  <c:v>16425009.0910505</c:v>
                </c:pt>
                <c:pt idx="1">
                  <c:v>59691614.0389436</c:v>
                </c:pt>
                <c:pt idx="2">
                  <c:v>105065261.269899</c:v>
                </c:pt>
                <c:pt idx="3">
                  <c:v>150288758.728719</c:v>
                </c:pt>
                <c:pt idx="4">
                  <c:v>181385583.39985</c:v>
                </c:pt>
              </c:numCache>
            </c:numRef>
          </c:val>
        </c:ser>
        <c:ser>
          <c:idx val="1"/>
          <c:order val="1"/>
          <c:tx>
            <c:strRef>
              <c:f>"Efevoo"</c:f>
              <c:strCache>
                <c:ptCount val="1"/>
                <c:pt idx="0">
                  <c:v>Efevoo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'Resumen Comparativo'!$C$19:$G$19</c:f>
              <c:multiLvlStrCache>
                <c:ptCount val="1"/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'Resumen Comparativo'!$C$29:$G$29</c:f>
              <c:numCache>
                <c:formatCode>#,##0;\(#,##0\);\-</c:formatCode>
                <c:ptCount val="5"/>
                <c:pt idx="0">
                  <c:v>17001318.4415944</c:v>
                </c:pt>
                <c:pt idx="1">
                  <c:v>66472613.4515093</c:v>
                </c:pt>
                <c:pt idx="2">
                  <c:v>119107049.057023</c:v>
                </c:pt>
                <c:pt idx="3">
                  <c:v>171573896.502488</c:v>
                </c:pt>
                <c:pt idx="4">
                  <c:v>208720198.424403</c:v>
                </c:pt>
              </c:numCache>
            </c:numRef>
          </c:val>
        </c:ser>
        <c:gapWidth val="150"/>
        <c:overlap val="0"/>
        <c:axId val="95869336"/>
        <c:axId val="8149497"/>
      </c:barChart>
      <c:catAx>
        <c:axId val="95869336"/>
        <c:scaling>
          <c:orientation val="minMax"/>
        </c:scaling>
        <c:delete val="0"/>
        <c:axPos val="b"/>
        <c:numFmt formatCode="&quot;Año &quot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9497"/>
        <c:crosses val="autoZero"/>
        <c:auto val="1"/>
        <c:lblAlgn val="ctr"/>
        <c:lblOffset val="100"/>
        <c:noMultiLvlLbl val="0"/>
      </c:catAx>
      <c:valAx>
        <c:axId val="8149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69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</xdr:row>
      <xdr:rowOff>160560</xdr:rowOff>
    </xdr:from>
    <xdr:to>
      <xdr:col>19</xdr:col>
      <xdr:colOff>331200</xdr:colOff>
      <xdr:row>23</xdr:row>
      <xdr:rowOff>161640</xdr:rowOff>
    </xdr:to>
    <xdr:graphicFrame>
      <xdr:nvGraphicFramePr>
        <xdr:cNvPr id="0" name="Chart 1"/>
        <xdr:cNvGraphicFramePr/>
      </xdr:nvGraphicFramePr>
      <xdr:xfrm>
        <a:off x="15468480" y="1333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</xdr:row>
      <xdr:rowOff>160920</xdr:rowOff>
    </xdr:from>
    <xdr:to>
      <xdr:col>19</xdr:col>
      <xdr:colOff>331200</xdr:colOff>
      <xdr:row>41</xdr:row>
      <xdr:rowOff>182880</xdr:rowOff>
    </xdr:to>
    <xdr:graphicFrame>
      <xdr:nvGraphicFramePr>
        <xdr:cNvPr id="1" name="Chart 2"/>
        <xdr:cNvGraphicFramePr/>
      </xdr:nvGraphicFramePr>
      <xdr:xfrm>
        <a:off x="15468480" y="51436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9" min="3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customFormat="false" ht="17.3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customFormat="false" ht="15" hidden="false" customHeight="false" outlineLevel="0" collapsed="false">
      <c r="A4" s="1"/>
      <c r="B4" s="3" t="str">
        <f aca="false">"Tipo de cambio "&amp;TEXT(Supuestos!$C$7,"0.00")&amp;" MXN/USD · Propuestas: PagaTodo 17-sep-2026 y Efevoo 25-sep-2026 (vigencia 30 días)"</f>
        <v>Tipo de cambio 17.00 MXN/USD · Propuestas: PagaTodo 17-sep-2026 y Efevoo 25-sep-2026 (vigencia 30 días)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customFormat="false" ht="15" hidden="false" customHeight="false" outlineLevel="0" collapsed="false">
      <c r="A6" s="1"/>
      <c r="B6" s="4" t="s">
        <v>2</v>
      </c>
      <c r="C6" s="5" t="str">
        <f aca="false">IF(D33&gt;C33,"Conviene EFEVOO PAY: "&amp;TEXT(D33-C33,"$#,##0")&amp;" MXN más de VPN a 5 años","Conviene BANCO PAGATODO: "&amp;TEXT(C33-D33,"$#,##0")&amp;" MXN más de VPN a 5 años")</f>
        <v>Conviene EFEVOO PAY: $43,059,035 MXN más de VPN a 5 años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customFormat="false" ht="15" hidden="false" customHeight="false" outlineLevel="0" collapsed="false">
      <c r="A8" s="1"/>
      <c r="B8" s="6" t="s">
        <v>3</v>
      </c>
      <c r="C8" s="6" t="s">
        <v>4</v>
      </c>
      <c r="D8" s="6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customFormat="false" ht="15" hidden="false" customHeight="false" outlineLevel="0" collapsed="false">
      <c r="A9" s="1"/>
      <c r="B9" s="7" t="s">
        <v>6</v>
      </c>
      <c r="C9" s="8" t="n">
        <f aca="false">Supuestos!$C$40</f>
        <v>15000</v>
      </c>
      <c r="D9" s="8" t="n">
        <f aca="false">Supuestos!$C$46</f>
        <v>20000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customFormat="false" ht="15" hidden="false" customHeight="false" outlineLevel="0" collapsed="false">
      <c r="A10" s="1"/>
      <c r="B10" s="7" t="s">
        <v>7</v>
      </c>
      <c r="C10" s="9" t="n">
        <v>0</v>
      </c>
      <c r="D10" s="8" t="n">
        <f aca="false">Supuestos!$C$50</f>
        <v>3950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customFormat="false" ht="15" hidden="false" customHeight="false" outlineLevel="0" collapsed="false">
      <c r="A11" s="1"/>
      <c r="B11" s="7" t="s">
        <v>8</v>
      </c>
      <c r="C11" s="8" t="n">
        <f aca="false">Supuestos!$C$39</f>
        <v>5000</v>
      </c>
      <c r="D11" s="8" t="n">
        <f aca="false">Supuestos!$C$52</f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customFormat="false" ht="15" hidden="false" customHeight="false" outlineLevel="0" collapsed="false">
      <c r="A12" s="1"/>
      <c r="B12" s="7" t="s">
        <v>9</v>
      </c>
      <c r="C12" s="8" t="n">
        <f aca="false">Supuestos!$C$31</f>
        <v>15</v>
      </c>
      <c r="D12" s="8" t="n">
        <f aca="false">Supuestos!$C$55</f>
        <v>131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customFormat="false" ht="15" hidden="false" customHeight="false" outlineLevel="0" collapsed="false">
      <c r="A13" s="1"/>
      <c r="B13" s="7" t="s">
        <v>10</v>
      </c>
      <c r="C13" s="10" t="n">
        <f aca="false">Supuestos!$C$34</f>
        <v>0.0075</v>
      </c>
      <c r="D13" s="11" t="n"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customFormat="false" ht="15" hidden="false" customHeight="false" outlineLevel="0" collapsed="false">
      <c r="A14" s="1"/>
      <c r="B14" s="7" t="s">
        <v>11</v>
      </c>
      <c r="C14" s="10" t="n">
        <f aca="false">Supuestos!$C$33</f>
        <v>0.5</v>
      </c>
      <c r="D14" s="12" t="n">
        <f aca="false">IF(Supuestos!$C$20=0,0,1-Supuestos!$C$57/Supuestos!$C$20)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customFormat="false" ht="15" hidden="false" customHeight="false" outlineLevel="0" collapsed="false">
      <c r="A15" s="1"/>
      <c r="B15" s="7" t="s">
        <v>12</v>
      </c>
      <c r="C15" s="13" t="n">
        <v>0</v>
      </c>
      <c r="D15" s="14" t="n">
        <f aca="false">Supuestos!$C$51</f>
        <v>0.03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customFormat="false" ht="15" hidden="false" customHeight="false" outlineLevel="0" collapsed="false">
      <c r="A16" s="1"/>
      <c r="B16" s="7" t="s">
        <v>13</v>
      </c>
      <c r="C16" s="9" t="n">
        <v>0</v>
      </c>
      <c r="D16" s="8" t="n">
        <f aca="false">Supuestos!$C$53</f>
        <v>10000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customFormat="false" ht="15" hidden="false" customHeight="false" outlineLevel="0" collapsed="false">
      <c r="A18" s="1"/>
      <c r="B18" s="6" t="s">
        <v>14</v>
      </c>
      <c r="C18" s="15"/>
      <c r="D18" s="15"/>
      <c r="E18" s="15"/>
      <c r="F18" s="15"/>
      <c r="G18" s="15"/>
      <c r="H18" s="15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customFormat="false" ht="15" hidden="false" customHeight="false" outlineLevel="0" collapsed="false">
      <c r="A19" s="1"/>
      <c r="B19" s="16" t="s">
        <v>15</v>
      </c>
      <c r="C19" s="17" t="n">
        <v>1</v>
      </c>
      <c r="D19" s="17" t="n">
        <v>2</v>
      </c>
      <c r="E19" s="17" t="n">
        <v>3</v>
      </c>
      <c r="F19" s="17" t="n">
        <v>4</v>
      </c>
      <c r="G19" s="17" t="n">
        <v>5</v>
      </c>
      <c r="H19" s="16" t="s">
        <v>16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customFormat="false" ht="15" hidden="false" customHeight="false" outlineLevel="0" collapsed="false">
      <c r="A20" s="1"/>
      <c r="B20" s="18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customFormat="false" ht="15" hidden="false" customHeight="false" outlineLevel="0" collapsed="false">
      <c r="A21" s="1"/>
      <c r="B21" s="7" t="s">
        <v>18</v>
      </c>
      <c r="C21" s="19" t="n">
        <f aca="false">SUMIF('BP PagaTodo'!$C$6:$BJ$6,C$19,'BP PagaTodo'!$C$15:$BJ$15)</f>
        <v>23266641.2965741</v>
      </c>
      <c r="D21" s="19" t="n">
        <f aca="false">SUMIF('BP PagaTodo'!$C$6:$BJ$6,D$19,'BP PagaTodo'!$C$15:$BJ$15)</f>
        <v>85912975.0653505</v>
      </c>
      <c r="E21" s="19" t="n">
        <f aca="false">SUMIF('BP PagaTodo'!$C$6:$BJ$6,E$19,'BP PagaTodo'!$C$15:$BJ$15)</f>
        <v>152288923.057038</v>
      </c>
      <c r="F21" s="19" t="n">
        <f aca="false">SUMIF('BP PagaTodo'!$C$6:$BJ$6,F$19,'BP PagaTodo'!$C$15:$BJ$15)</f>
        <v>218431284.667698</v>
      </c>
      <c r="G21" s="19" t="n">
        <f aca="false">SUMIF('BP PagaTodo'!$C$6:$BJ$6,G$19,'BP PagaTodo'!$C$15:$BJ$15)</f>
        <v>264960162.278492</v>
      </c>
      <c r="H21" s="20" t="n">
        <f aca="false">SUM(C21:G21)</f>
        <v>744859986.365153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customFormat="false" ht="15" hidden="false" customHeight="false" outlineLevel="0" collapsed="false">
      <c r="A22" s="1"/>
      <c r="B22" s="7" t="s">
        <v>19</v>
      </c>
      <c r="C22" s="19" t="n">
        <f aca="false">SUMIF('BP PagaTodo'!$C$6:$BJ$6,C$19,'BP PagaTodo'!$C$18:$BJ$18)</f>
        <v>5910586.85497963</v>
      </c>
      <c r="D22" s="19" t="n">
        <f aca="false">SUMIF('BP PagaTodo'!$C$6:$BJ$6,D$19,'BP PagaTodo'!$C$18:$BJ$18)</f>
        <v>22961727.6138412</v>
      </c>
      <c r="E22" s="19" t="n">
        <f aca="false">SUMIF('BP PagaTodo'!$C$6:$BJ$6,E$19,'BP PagaTodo'!$C$18:$BJ$18)</f>
        <v>41051073.0000152</v>
      </c>
      <c r="F22" s="19" t="n">
        <f aca="false">SUMIF('BP PagaTodo'!$C$6:$BJ$6,F$19,'BP PagaTodo'!$C$18:$BJ$18)</f>
        <v>59064767.1652105</v>
      </c>
      <c r="G22" s="19" t="n">
        <f aca="false">SUMIF('BP PagaTodo'!$C$6:$BJ$6,G$19,'BP PagaTodo'!$C$18:$BJ$18)</f>
        <v>72147667.854089</v>
      </c>
      <c r="H22" s="20" t="n">
        <f aca="false">SUM(C22:G22)</f>
        <v>201135822.488135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customFormat="false" ht="15" hidden="false" customHeight="false" outlineLevel="0" collapsed="false">
      <c r="A23" s="1"/>
      <c r="B23" s="7" t="s">
        <v>20</v>
      </c>
      <c r="C23" s="19" t="n">
        <f aca="false">SUMIF('BP PagaTodo'!$C$6:$BJ$6,C$19,'BP PagaTodo'!$C$23:$BJ$23)-C22</f>
        <v>931045.350543919</v>
      </c>
      <c r="D23" s="19" t="n">
        <f aca="false">SUMIF('BP PagaTodo'!$C$6:$BJ$6,D$19,'BP PagaTodo'!$C$23:$BJ$23)-D22</f>
        <v>3259633.41256573</v>
      </c>
      <c r="E23" s="19" t="n">
        <f aca="false">SUMIF('BP PagaTodo'!$C$6:$BJ$6,E$19,'BP PagaTodo'!$C$23:$BJ$23)-E22</f>
        <v>6172588.78712425</v>
      </c>
      <c r="F23" s="19" t="n">
        <f aca="false">SUMIF('BP PagaTodo'!$C$6:$BJ$6,F$19,'BP PagaTodo'!$C$23:$BJ$23)-F22</f>
        <v>9077758.77376864</v>
      </c>
      <c r="G23" s="19" t="n">
        <f aca="false">SUMIF('BP PagaTodo'!$C$6:$BJ$6,G$19,'BP PagaTodo'!$C$23:$BJ$23)-G22</f>
        <v>11426911.0245525</v>
      </c>
      <c r="H23" s="20" t="n">
        <f aca="false">SUM(C23:G23)</f>
        <v>30867937.348555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customFormat="false" ht="15" hidden="false" customHeight="false" outlineLevel="0" collapsed="false">
      <c r="A24" s="1"/>
      <c r="B24" s="21" t="s">
        <v>21</v>
      </c>
      <c r="C24" s="22" t="n">
        <f aca="false">SUMIF('BP PagaTodo'!$C$6:$BJ$6,C$19,'BP PagaTodo'!$C$25:$BJ$25)</f>
        <v>16425009.0910505</v>
      </c>
      <c r="D24" s="22" t="n">
        <f aca="false">SUMIF('BP PagaTodo'!$C$6:$BJ$6,D$19,'BP PagaTodo'!$C$25:$BJ$25)</f>
        <v>59691614.0389436</v>
      </c>
      <c r="E24" s="22" t="n">
        <f aca="false">SUMIF('BP PagaTodo'!$C$6:$BJ$6,E$19,'BP PagaTodo'!$C$25:$BJ$25)</f>
        <v>105065261.269899</v>
      </c>
      <c r="F24" s="22" t="n">
        <f aca="false">SUMIF('BP PagaTodo'!$C$6:$BJ$6,F$19,'BP PagaTodo'!$C$25:$BJ$25)</f>
        <v>150288758.728719</v>
      </c>
      <c r="G24" s="22" t="n">
        <f aca="false">SUMIF('BP PagaTodo'!$C$6:$BJ$6,G$19,'BP PagaTodo'!$C$25:$BJ$25)</f>
        <v>181385583.39985</v>
      </c>
      <c r="H24" s="22" t="n">
        <f aca="false">SUM(C24:G24)</f>
        <v>512856226.528462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customFormat="false" ht="15" hidden="false" customHeight="false" outlineLevel="0" collapsed="false">
      <c r="A25" s="1"/>
      <c r="B25" s="18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customFormat="false" ht="15" hidden="false" customHeight="false" outlineLevel="0" collapsed="false">
      <c r="A26" s="1"/>
      <c r="B26" s="7" t="s">
        <v>18</v>
      </c>
      <c r="C26" s="19" t="n">
        <f aca="false">SUMIF('BP Efevoo'!$C$6:$BJ$6,C$19,'BP Efevoo'!$C$15:$BJ$15)</f>
        <v>24829641.2965741</v>
      </c>
      <c r="D26" s="19" t="n">
        <f aca="false">SUMIF('BP Efevoo'!$C$6:$BJ$6,D$19,'BP Efevoo'!$C$15:$BJ$15)</f>
        <v>93340975.0653505</v>
      </c>
      <c r="E26" s="19" t="n">
        <f aca="false">SUMIF('BP Efevoo'!$C$6:$BJ$6,E$19,'BP Efevoo'!$C$15:$BJ$15)</f>
        <v>166307923.057038</v>
      </c>
      <c r="F26" s="19" t="n">
        <f aca="false">SUMIF('BP Efevoo'!$C$6:$BJ$6,F$19,'BP Efevoo'!$C$15:$BJ$15)</f>
        <v>239023284.667698</v>
      </c>
      <c r="G26" s="19" t="n">
        <f aca="false">SUMIF('BP Efevoo'!$C$6:$BJ$6,G$19,'BP Efevoo'!$C$15:$BJ$15)</f>
        <v>290838162.278492</v>
      </c>
      <c r="H26" s="20" t="n">
        <f aca="false">SUM(C26:G26)</f>
        <v>814339986.365153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customFormat="false" ht="15" hidden="false" customHeight="false" outlineLevel="0" collapsed="false">
      <c r="A27" s="1"/>
      <c r="B27" s="7" t="s">
        <v>19</v>
      </c>
      <c r="C27" s="19" t="n">
        <f aca="false">SUMIF('BP Efevoo'!$C$6:$BJ$6,C$19,'BP Efevoo'!$C$18:$BJ$18)</f>
        <v>5910586.85497963</v>
      </c>
      <c r="D27" s="19" t="n">
        <f aca="false">SUMIF('BP Efevoo'!$C$6:$BJ$6,D$19,'BP Efevoo'!$C$18:$BJ$18)</f>
        <v>22961727.6138412</v>
      </c>
      <c r="E27" s="19" t="n">
        <f aca="false">SUMIF('BP Efevoo'!$C$6:$BJ$6,E$19,'BP Efevoo'!$C$18:$BJ$18)</f>
        <v>41051073.0000152</v>
      </c>
      <c r="F27" s="19" t="n">
        <f aca="false">SUMIF('BP Efevoo'!$C$6:$BJ$6,F$19,'BP Efevoo'!$C$18:$BJ$18)</f>
        <v>59064767.1652105</v>
      </c>
      <c r="G27" s="19" t="n">
        <f aca="false">SUMIF('BP Efevoo'!$C$6:$BJ$6,G$19,'BP Efevoo'!$C$18:$BJ$18)</f>
        <v>72147667.854089</v>
      </c>
      <c r="H27" s="20" t="n">
        <f aca="false">SUM(C27:G27)</f>
        <v>201135822.488135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customFormat="false" ht="15" hidden="false" customHeight="false" outlineLevel="0" collapsed="false">
      <c r="A28" s="1"/>
      <c r="B28" s="7" t="s">
        <v>23</v>
      </c>
      <c r="C28" s="19" t="n">
        <f aca="false">SUMIF('BP Efevoo'!$C$6:$BJ$6,C$19,'BP Efevoo'!$C$25:$BJ$25)-C27</f>
        <v>1917736</v>
      </c>
      <c r="D28" s="19" t="n">
        <f aca="false">SUMIF('BP Efevoo'!$C$6:$BJ$6,D$19,'BP Efevoo'!$C$25:$BJ$25)-D27</f>
        <v>3906634</v>
      </c>
      <c r="E28" s="19" t="n">
        <f aca="false">SUMIF('BP Efevoo'!$C$6:$BJ$6,E$19,'BP Efevoo'!$C$25:$BJ$25)-E27</f>
        <v>6149801.00000001</v>
      </c>
      <c r="F28" s="19" t="n">
        <f aca="false">SUMIF('BP Efevoo'!$C$6:$BJ$6,F$19,'BP Efevoo'!$C$25:$BJ$25)-F27</f>
        <v>8384621.00000001</v>
      </c>
      <c r="G28" s="19" t="n">
        <f aca="false">SUMIF('BP Efevoo'!$C$6:$BJ$6,G$19,'BP Efevoo'!$C$25:$BJ$25)-G27</f>
        <v>9970296</v>
      </c>
      <c r="H28" s="20" t="n">
        <f aca="false">SUM(C28:G28)</f>
        <v>30329088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customFormat="false" ht="15" hidden="false" customHeight="false" outlineLevel="0" collapsed="false">
      <c r="A29" s="1"/>
      <c r="B29" s="21" t="s">
        <v>21</v>
      </c>
      <c r="C29" s="22" t="n">
        <f aca="false">SUMIF('BP Efevoo'!$C$6:$BJ$6,C$19,'BP Efevoo'!$C$27:$BJ$27)</f>
        <v>17001318.4415944</v>
      </c>
      <c r="D29" s="22" t="n">
        <f aca="false">SUMIF('BP Efevoo'!$C$6:$BJ$6,D$19,'BP Efevoo'!$C$27:$BJ$27)</f>
        <v>66472613.4515093</v>
      </c>
      <c r="E29" s="22" t="n">
        <f aca="false">SUMIF('BP Efevoo'!$C$6:$BJ$6,E$19,'BP Efevoo'!$C$27:$BJ$27)</f>
        <v>119107049.057023</v>
      </c>
      <c r="F29" s="22" t="n">
        <f aca="false">SUMIF('BP Efevoo'!$C$6:$BJ$6,F$19,'BP Efevoo'!$C$27:$BJ$27)</f>
        <v>171573896.502488</v>
      </c>
      <c r="G29" s="22" t="n">
        <f aca="false">SUMIF('BP Efevoo'!$C$6:$BJ$6,G$19,'BP Efevoo'!$C$27:$BJ$27)</f>
        <v>208720198.424403</v>
      </c>
      <c r="H29" s="22" t="n">
        <f aca="false">SUM(C29:G29)</f>
        <v>582875075.877017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customFormat="false" ht="15" hidden="false" customHeight="false" outlineLevel="0" collapsed="false">
      <c r="A30" s="1"/>
      <c r="B30" s="23" t="s">
        <v>24</v>
      </c>
      <c r="C30" s="24" t="n">
        <f aca="false">C29-C24</f>
        <v>576309.350543918</v>
      </c>
      <c r="D30" s="24" t="n">
        <f aca="false">D29-D24</f>
        <v>6780999.41256573</v>
      </c>
      <c r="E30" s="24" t="n">
        <f aca="false">E29-E24</f>
        <v>14041787.7871242</v>
      </c>
      <c r="F30" s="24" t="n">
        <f aca="false">F29-F24</f>
        <v>21285137.7737686</v>
      </c>
      <c r="G30" s="24" t="n">
        <f aca="false">G29-G24</f>
        <v>27334615.0245525</v>
      </c>
      <c r="H30" s="24" t="n">
        <f aca="false">H29-H24</f>
        <v>70018849.348555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customFormat="false" ht="15" hidden="false" customHeight="false" outlineLevel="0" collapsed="false">
      <c r="A32" s="1"/>
      <c r="B32" s="6" t="s">
        <v>25</v>
      </c>
      <c r="C32" s="6" t="s">
        <v>4</v>
      </c>
      <c r="D32" s="6" t="s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customFormat="false" ht="15" hidden="false" customHeight="false" outlineLevel="0" collapsed="false">
      <c r="A33" s="1"/>
      <c r="B33" s="7" t="s">
        <v>26</v>
      </c>
      <c r="C33" s="19" t="n">
        <f aca="false">NPV(((1+Supuestos!$C$8)^(1/12)-1),'BP PagaTodo'!C25:BJ25)</f>
        <v>323436670.031874</v>
      </c>
      <c r="D33" s="19" t="n">
        <f aca="false">NPV(((1+Supuestos!$C$8)^(1/12)-1),'BP Efevoo'!C27:BJ27)</f>
        <v>366495704.547694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customFormat="false" ht="15" hidden="false" customHeight="false" outlineLevel="0" collapsed="false">
      <c r="A34" s="1"/>
      <c r="B34" s="7" t="s">
        <v>27</v>
      </c>
      <c r="C34" s="25" t="n">
        <f aca="false">'BP PagaTodo'!BJ26</f>
        <v>512856226.528462</v>
      </c>
      <c r="D34" s="25" t="n">
        <f aca="false">'BP Efevoo'!BJ28</f>
        <v>582875075.877017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customFormat="false" ht="15" hidden="false" customHeight="false" outlineLevel="0" collapsed="false">
      <c r="A35" s="1"/>
      <c r="B35" s="7" t="s">
        <v>28</v>
      </c>
      <c r="C35" s="19" t="n">
        <f aca="false">SUM('BP PagaTodo'!C31:BJ31)</f>
        <v>100347937.348555</v>
      </c>
      <c r="D35" s="19" t="n">
        <f aca="false">SUM('BP Efevoo'!C31:BJ31)</f>
        <v>30329088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customFormat="false" ht="15" hidden="false" customHeight="false" outlineLevel="0" collapsed="false">
      <c r="A36" s="1"/>
      <c r="B36" s="7" t="s">
        <v>29</v>
      </c>
      <c r="C36" s="19" t="n">
        <f aca="false">IF(MIN('BP PagaTodo'!C32:BJ32)=999,"no se alcanza",MIN('BP PagaTodo'!C32:BJ32))</f>
        <v>1</v>
      </c>
      <c r="D36" s="19" t="n">
        <f aca="false">IF(MIN('BP Efevoo'!C32:BJ32)=999,"no se alcanza",MIN('BP Efevoo'!C32:BJ32))</f>
        <v>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customFormat="false" ht="15" hidden="false" customHeight="false" outlineLevel="0" collapsed="false">
      <c r="A37" s="1"/>
      <c r="B37" s="7" t="s">
        <v>30</v>
      </c>
      <c r="C37" s="19" t="n">
        <f aca="false">MIN('BP PagaTodo'!C25:BJ25)</f>
        <v>19483.2040286222</v>
      </c>
      <c r="D37" s="19" t="n">
        <f aca="false">MIN('BP Efevoo'!C27:BJ27)</f>
        <v>-258094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customFormat="false" ht="15" hidden="false" customHeight="false" outlineLevel="0" collapsed="false">
      <c r="A38" s="1"/>
      <c r="B38" s="7" t="s">
        <v>31</v>
      </c>
      <c r="C38" s="19" t="n">
        <f aca="false">COUNTIF('BP PagaTodo'!C25:BJ25,"&lt;0")</f>
        <v>0</v>
      </c>
      <c r="D38" s="19" t="n">
        <f aca="false">COUNTIF('BP Efevoo'!C27:BJ27,"&lt;0")</f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customFormat="false" ht="15" hidden="false" customHeight="false" outlineLevel="0" collapsed="false">
      <c r="A39" s="1"/>
      <c r="B39" s="7" t="s">
        <v>32</v>
      </c>
      <c r="C39" s="12" t="n">
        <f aca="false">IF(H21=0,0,H24/H21)</f>
        <v>0.68852701973045</v>
      </c>
      <c r="D39" s="12" t="n">
        <f aca="false">IF(H26=0,0,H29/H26)</f>
        <v>0.715763791090143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customFormat="false" ht="15" hidden="false" customHeight="false" outlineLevel="0" collapsed="false">
      <c r="A40" s="1"/>
      <c r="B40" s="7" t="s">
        <v>33</v>
      </c>
      <c r="C40" s="25" t="n">
        <f aca="false">'Economía por Crédito'!C22</f>
        <v>4</v>
      </c>
      <c r="D40" s="25" t="n">
        <f aca="false">'Economía por Crédito'!D22</f>
        <v>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customFormat="false" ht="15" hidden="false" customHeight="false" outlineLevel="0" collapsed="false">
      <c r="A41" s="1"/>
      <c r="B41" s="7" t="s">
        <v>34</v>
      </c>
      <c r="C41" s="25" t="n">
        <f aca="false">'BP PagaTodo'!BJ25</f>
        <v>15361571.2157045</v>
      </c>
      <c r="D41" s="25" t="n">
        <f aca="false">'BP Efevoo'!BJ27</f>
        <v>17754009.317057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customFormat="false" ht="15" hidden="false" customHeight="false" outlineLevel="0" collapsed="false">
      <c r="A42" s="1"/>
      <c r="B42" s="23" t="s">
        <v>35</v>
      </c>
      <c r="C42" s="26" t="n">
        <f aca="false">'Economía por Crédito'!C24</f>
        <v>25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customFormat="false" ht="15" hidden="false" customHeight="false" outlineLevel="0" collapsed="false">
      <c r="A43" s="1"/>
      <c r="B43" s="23" t="s">
        <v>36</v>
      </c>
      <c r="C43" s="24" t="n">
        <f aca="false">H30/60</f>
        <v>1166980.82247592</v>
      </c>
      <c r="D43" s="3" t="s">
        <v>37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customFormat="false" ht="15" hidden="false" customHeight="false" outlineLevel="0" collapsed="false">
      <c r="A44" s="1"/>
      <c r="B44" s="23" t="s">
        <v>38</v>
      </c>
      <c r="C44" s="27" t="n">
        <f aca="false">Supuestos!$C$57-IF(SUM('Cartera 60M'!C76:BJ76)=0,0,H30/SUM('Cartera 60M'!C76:BJ76))</f>
        <v>0.00297673362052872</v>
      </c>
      <c r="D44" s="3" t="s">
        <v>39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customFormat="false" ht="15" hidden="false" customHeight="false" outlineLevel="0" collapsed="false">
      <c r="A45" s="1"/>
      <c r="B45" s="6" t="s">
        <v>40</v>
      </c>
      <c r="C45" s="15"/>
      <c r="D45" s="1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customFormat="false" ht="15" hidden="false" customHeight="false" outlineLevel="0" collapsed="false">
      <c r="A46" s="1"/>
      <c r="B46" s="7" t="s">
        <v>41</v>
      </c>
      <c r="C46" s="25" t="n">
        <f aca="false">Supuestos!$C$11</f>
        <v>1000000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customFormat="false" ht="15" hidden="false" customHeight="false" outlineLevel="0" collapsed="false">
      <c r="A47" s="1"/>
      <c r="B47" s="7" t="s">
        <v>42</v>
      </c>
      <c r="C47" s="25" t="n">
        <f aca="false">Supuestos!$C$13</f>
        <v>1500000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customFormat="false" ht="15" hidden="false" customHeight="false" outlineLevel="0" collapsed="false">
      <c r="A48" s="1"/>
      <c r="B48" s="7" t="s">
        <v>43</v>
      </c>
      <c r="C48" s="7" t="str">
        <f aca="false">TEXT(Supuestos!$C$14,"0.0%")&amp;" / "&amp;Supuestos!$C$15&amp;" meses"</f>
        <v>33.0% / 12 meses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customFormat="false" ht="15" hidden="false" customHeight="false" outlineLevel="0" collapsed="false">
      <c r="A49" s="1"/>
      <c r="B49" s="7" t="s">
        <v>44</v>
      </c>
      <c r="C49" s="10" t="n">
        <f aca="false">Supuestos!$C$16</f>
        <v>0.1158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customFormat="false" ht="15" hidden="false" customHeight="false" outlineLevel="0" collapsed="false">
      <c r="A50" s="1"/>
      <c r="B50" s="7" t="s">
        <v>45</v>
      </c>
      <c r="C50" s="10" t="n">
        <f aca="false">Supuestos!$C$20</f>
        <v>0.006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customFormat="false" ht="15" hidden="false" customHeight="false" outlineLevel="0" collapsed="false">
      <c r="A51" s="1"/>
      <c r="B51" s="7" t="s">
        <v>46</v>
      </c>
      <c r="C51" s="25" t="n">
        <f aca="false">Supuestos!$C$19</f>
        <v>500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customFormat="false" ht="15" hidden="false" customHeight="false" outlineLevel="0" collapsed="false">
      <c r="A52" s="1"/>
      <c r="B52" s="7" t="s">
        <v>47</v>
      </c>
      <c r="C52" s="7" t="str">
        <f aca="false">TEXT(Supuestos!$C$24,"$#,##0")&amp;" / mes "&amp;Supuestos!$C$25</f>
        <v>$500,000,000 / mes 48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customFormat="false" ht="15" hidden="false" customHeight="false" outlineLevel="0" collapsed="false">
      <c r="A53" s="1"/>
      <c r="B53" s="7" t="s">
        <v>48</v>
      </c>
      <c r="C53" s="25" t="n">
        <f aca="false">'Cartera 60M'!BJ75</f>
        <v>541512006.557816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customFormat="false" ht="15" hidden="false" customHeight="false" outlineLevel="0" collapsed="false">
      <c r="A54" s="1"/>
      <c r="B54" s="7" t="s">
        <v>49</v>
      </c>
      <c r="C54" s="25" t="n">
        <f aca="false">'Cartera 60M'!BJ66</f>
        <v>744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customFormat="false" ht="15" hidden="false" customHeight="false" outlineLevel="0" collapsed="false">
      <c r="A55" s="1"/>
      <c r="B55" s="7" t="s">
        <v>50</v>
      </c>
      <c r="C55" s="25" t="n">
        <f aca="false">Supuestos!$C$58</f>
        <v>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customFormat="false" ht="15" hidden="false" customHeight="false" outlineLevel="0" collapsed="false">
      <c r="A56" s="1"/>
      <c r="B56" s="7" t="s">
        <v>51</v>
      </c>
      <c r="C56" s="10" t="n">
        <f aca="false">Supuestos!$C$8</f>
        <v>0.15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customFormat="false" ht="15" hidden="false" customHeight="false" outlineLevel="0" collapsed="false">
      <c r="A58" s="1"/>
      <c r="B58" s="6" t="s">
        <v>52</v>
      </c>
      <c r="C58" s="15"/>
      <c r="D58" s="15"/>
      <c r="E58" s="15"/>
      <c r="F58" s="15"/>
      <c r="G58" s="15"/>
      <c r="H58" s="15"/>
      <c r="I58" s="1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customFormat="false" ht="15" hidden="false" customHeight="false" outlineLevel="0" collapsed="false">
      <c r="A59" s="1"/>
      <c r="B59" s="7" t="s">
        <v>53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customFormat="false" ht="15" hidden="false" customHeight="false" outlineLevel="0" collapsed="false">
      <c r="A60" s="1"/>
      <c r="B60" s="7" t="s">
        <v>54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customFormat="false" ht="15" hidden="false" customHeight="false" outlineLevel="0" collapsed="false">
      <c r="A61" s="1"/>
      <c r="B61" s="7" t="s">
        <v>55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customFormat="false" ht="15" hidden="false" customHeight="false" outlineLevel="0" collapsed="false">
      <c r="A62" s="1"/>
      <c r="B62" s="7" t="s">
        <v>56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customFormat="false" ht="15" hidden="false" customHeight="false" outlineLevel="0" collapsed="false">
      <c r="A63" s="1"/>
      <c r="B63" s="7" t="s">
        <v>57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customFormat="false" ht="15" hidden="false" customHeight="false" outlineLevel="0" collapsed="false">
      <c r="A64" s="1"/>
      <c r="B64" s="7" t="s">
        <v>58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customFormat="false" ht="15" hidden="false" customHeight="false" outlineLevel="0" collapsed="false">
      <c r="A65" s="1"/>
      <c r="B65" s="7" t="s">
        <v>59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customFormat="false" ht="15" hidden="false" customHeight="false" outlineLevel="0" collapsed="false">
      <c r="A66" s="1"/>
      <c r="B66" s="7" t="s">
        <v>60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customFormat="false" ht="15" hidden="false" customHeight="false" outlineLevel="0" collapsed="false">
      <c r="A69" s="1"/>
      <c r="B69" s="6" t="s">
        <v>61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</row>
    <row r="70" customFormat="false" ht="15" hidden="false" customHeight="false" outlineLevel="0" collapsed="false">
      <c r="A70" s="1"/>
      <c r="B70" s="7" t="s">
        <v>62</v>
      </c>
      <c r="C70" s="25" t="n">
        <f aca="false">'BP PagaTodo'!C5</f>
        <v>1</v>
      </c>
      <c r="D70" s="25" t="n">
        <f aca="false">'BP PagaTodo'!D5</f>
        <v>2</v>
      </c>
      <c r="E70" s="25" t="n">
        <f aca="false">'BP PagaTodo'!E5</f>
        <v>3</v>
      </c>
      <c r="F70" s="25" t="n">
        <f aca="false">'BP PagaTodo'!F5</f>
        <v>4</v>
      </c>
      <c r="G70" s="25" t="n">
        <f aca="false">'BP PagaTodo'!G5</f>
        <v>5</v>
      </c>
      <c r="H70" s="25" t="n">
        <f aca="false">'BP PagaTodo'!H5</f>
        <v>6</v>
      </c>
      <c r="I70" s="25" t="n">
        <f aca="false">'BP PagaTodo'!I5</f>
        <v>7</v>
      </c>
      <c r="J70" s="25" t="n">
        <f aca="false">'BP PagaTodo'!J5</f>
        <v>8</v>
      </c>
      <c r="K70" s="25" t="n">
        <f aca="false">'BP PagaTodo'!K5</f>
        <v>9</v>
      </c>
      <c r="L70" s="25" t="n">
        <f aca="false">'BP PagaTodo'!L5</f>
        <v>10</v>
      </c>
      <c r="M70" s="25" t="n">
        <f aca="false">'BP PagaTodo'!M5</f>
        <v>11</v>
      </c>
      <c r="N70" s="25" t="n">
        <f aca="false">'BP PagaTodo'!N5</f>
        <v>12</v>
      </c>
      <c r="O70" s="25" t="n">
        <f aca="false">'BP PagaTodo'!O5</f>
        <v>13</v>
      </c>
      <c r="P70" s="25" t="n">
        <f aca="false">'BP PagaTodo'!P5</f>
        <v>14</v>
      </c>
      <c r="Q70" s="25" t="n">
        <f aca="false">'BP PagaTodo'!Q5</f>
        <v>15</v>
      </c>
      <c r="R70" s="25" t="n">
        <f aca="false">'BP PagaTodo'!R5</f>
        <v>16</v>
      </c>
      <c r="S70" s="25" t="n">
        <f aca="false">'BP PagaTodo'!S5</f>
        <v>17</v>
      </c>
      <c r="T70" s="25" t="n">
        <f aca="false">'BP PagaTodo'!T5</f>
        <v>18</v>
      </c>
      <c r="U70" s="25" t="n">
        <f aca="false">'BP PagaTodo'!U5</f>
        <v>19</v>
      </c>
      <c r="V70" s="25" t="n">
        <f aca="false">'BP PagaTodo'!V5</f>
        <v>20</v>
      </c>
      <c r="W70" s="25" t="n">
        <f aca="false">'BP PagaTodo'!W5</f>
        <v>21</v>
      </c>
      <c r="X70" s="25" t="n">
        <f aca="false">'BP PagaTodo'!X5</f>
        <v>22</v>
      </c>
      <c r="Y70" s="25" t="n">
        <f aca="false">'BP PagaTodo'!Y5</f>
        <v>23</v>
      </c>
      <c r="Z70" s="25" t="n">
        <f aca="false">'BP PagaTodo'!Z5</f>
        <v>24</v>
      </c>
      <c r="AA70" s="25" t="n">
        <f aca="false">'BP PagaTodo'!AA5</f>
        <v>25</v>
      </c>
      <c r="AB70" s="25" t="n">
        <f aca="false">'BP PagaTodo'!AB5</f>
        <v>26</v>
      </c>
      <c r="AC70" s="25" t="n">
        <f aca="false">'BP PagaTodo'!AC5</f>
        <v>27</v>
      </c>
      <c r="AD70" s="25" t="n">
        <f aca="false">'BP PagaTodo'!AD5</f>
        <v>28</v>
      </c>
      <c r="AE70" s="25" t="n">
        <f aca="false">'BP PagaTodo'!AE5</f>
        <v>29</v>
      </c>
      <c r="AF70" s="25" t="n">
        <f aca="false">'BP PagaTodo'!AF5</f>
        <v>30</v>
      </c>
      <c r="AG70" s="25" t="n">
        <f aca="false">'BP PagaTodo'!AG5</f>
        <v>31</v>
      </c>
      <c r="AH70" s="25" t="n">
        <f aca="false">'BP PagaTodo'!AH5</f>
        <v>32</v>
      </c>
      <c r="AI70" s="25" t="n">
        <f aca="false">'BP PagaTodo'!AI5</f>
        <v>33</v>
      </c>
      <c r="AJ70" s="25" t="n">
        <f aca="false">'BP PagaTodo'!AJ5</f>
        <v>34</v>
      </c>
      <c r="AK70" s="25" t="n">
        <f aca="false">'BP PagaTodo'!AK5</f>
        <v>35</v>
      </c>
      <c r="AL70" s="25" t="n">
        <f aca="false">'BP PagaTodo'!AL5</f>
        <v>36</v>
      </c>
      <c r="AM70" s="25" t="n">
        <f aca="false">'BP PagaTodo'!AM5</f>
        <v>37</v>
      </c>
      <c r="AN70" s="25" t="n">
        <f aca="false">'BP PagaTodo'!AN5</f>
        <v>38</v>
      </c>
      <c r="AO70" s="25" t="n">
        <f aca="false">'BP PagaTodo'!AO5</f>
        <v>39</v>
      </c>
      <c r="AP70" s="25" t="n">
        <f aca="false">'BP PagaTodo'!AP5</f>
        <v>40</v>
      </c>
      <c r="AQ70" s="25" t="n">
        <f aca="false">'BP PagaTodo'!AQ5</f>
        <v>41</v>
      </c>
      <c r="AR70" s="25" t="n">
        <f aca="false">'BP PagaTodo'!AR5</f>
        <v>42</v>
      </c>
      <c r="AS70" s="25" t="n">
        <f aca="false">'BP PagaTodo'!AS5</f>
        <v>43</v>
      </c>
      <c r="AT70" s="25" t="n">
        <f aca="false">'BP PagaTodo'!AT5</f>
        <v>44</v>
      </c>
      <c r="AU70" s="25" t="n">
        <f aca="false">'BP PagaTodo'!AU5</f>
        <v>45</v>
      </c>
      <c r="AV70" s="25" t="n">
        <f aca="false">'BP PagaTodo'!AV5</f>
        <v>46</v>
      </c>
      <c r="AW70" s="25" t="n">
        <f aca="false">'BP PagaTodo'!AW5</f>
        <v>47</v>
      </c>
      <c r="AX70" s="25" t="n">
        <f aca="false">'BP PagaTodo'!AX5</f>
        <v>48</v>
      </c>
      <c r="AY70" s="25" t="n">
        <f aca="false">'BP PagaTodo'!AY5</f>
        <v>49</v>
      </c>
      <c r="AZ70" s="25" t="n">
        <f aca="false">'BP PagaTodo'!AZ5</f>
        <v>50</v>
      </c>
      <c r="BA70" s="25" t="n">
        <f aca="false">'BP PagaTodo'!BA5</f>
        <v>51</v>
      </c>
      <c r="BB70" s="25" t="n">
        <f aca="false">'BP PagaTodo'!BB5</f>
        <v>52</v>
      </c>
      <c r="BC70" s="25" t="n">
        <f aca="false">'BP PagaTodo'!BC5</f>
        <v>53</v>
      </c>
      <c r="BD70" s="25" t="n">
        <f aca="false">'BP PagaTodo'!BD5</f>
        <v>54</v>
      </c>
      <c r="BE70" s="25" t="n">
        <f aca="false">'BP PagaTodo'!BE5</f>
        <v>55</v>
      </c>
      <c r="BF70" s="25" t="n">
        <f aca="false">'BP PagaTodo'!BF5</f>
        <v>56</v>
      </c>
      <c r="BG70" s="25" t="n">
        <f aca="false">'BP PagaTodo'!BG5</f>
        <v>57</v>
      </c>
      <c r="BH70" s="25" t="n">
        <f aca="false">'BP PagaTodo'!BH5</f>
        <v>58</v>
      </c>
      <c r="BI70" s="25" t="n">
        <f aca="false">'BP PagaTodo'!BI5</f>
        <v>59</v>
      </c>
      <c r="BJ70" s="25" t="n">
        <f aca="false">'BP PagaTodo'!BJ5</f>
        <v>60</v>
      </c>
    </row>
    <row r="71" customFormat="false" ht="15" hidden="false" customHeight="false" outlineLevel="0" collapsed="false">
      <c r="A71" s="1"/>
      <c r="B71" s="7" t="s">
        <v>4</v>
      </c>
      <c r="C71" s="25" t="n">
        <f aca="false">'BP PagaTodo'!C26</f>
        <v>19483.2040286222</v>
      </c>
      <c r="D71" s="25" t="n">
        <f aca="false">'BP PagaTodo'!D26</f>
        <v>293114.064688298</v>
      </c>
      <c r="E71" s="25" t="n">
        <f aca="false">'BP PagaTodo'!E26</f>
        <v>789529.815281006</v>
      </c>
      <c r="F71" s="25" t="n">
        <f aca="false">'BP PagaTodo'!F26</f>
        <v>1482388.17348755</v>
      </c>
      <c r="G71" s="25" t="n">
        <f aca="false">'BP PagaTodo'!G26</f>
        <v>2260662.85046362</v>
      </c>
      <c r="H71" s="25" t="n">
        <f aca="false">'BP PagaTodo'!H26</f>
        <v>3393583.49066035</v>
      </c>
      <c r="I71" s="25" t="n">
        <f aca="false">'BP PagaTodo'!I26</f>
        <v>4838895.56200428</v>
      </c>
      <c r="J71" s="25" t="n">
        <f aca="false">'BP PagaTodo'!J26</f>
        <v>6559155.16825294</v>
      </c>
      <c r="K71" s="25" t="n">
        <f aca="false">'BP PagaTodo'!K26</f>
        <v>8559346.44975583</v>
      </c>
      <c r="L71" s="25" t="n">
        <f aca="false">'BP PagaTodo'!L26</f>
        <v>10841983.1919608</v>
      </c>
      <c r="M71" s="25" t="n">
        <f aca="false">'BP PagaTodo'!M26</f>
        <v>13480445.1551684</v>
      </c>
      <c r="N71" s="25" t="n">
        <f aca="false">'BP PagaTodo'!N26</f>
        <v>16425009.0910505</v>
      </c>
      <c r="O71" s="25" t="n">
        <f aca="false">'BP PagaTodo'!O26</f>
        <v>19664778.9016601</v>
      </c>
      <c r="P71" s="25" t="n">
        <f aca="false">'BP PagaTodo'!P26</f>
        <v>23192972.5421321</v>
      </c>
      <c r="Q71" s="25" t="n">
        <f aca="false">'BP PagaTodo'!Q26</f>
        <v>27074481.4613679</v>
      </c>
      <c r="R71" s="25" t="n">
        <f aca="false">'BP PagaTodo'!R26</f>
        <v>31257881.7856132</v>
      </c>
      <c r="S71" s="25" t="n">
        <f aca="false">'BP PagaTodo'!S26</f>
        <v>35736487.9845861</v>
      </c>
      <c r="T71" s="25" t="n">
        <f aca="false">'BP PagaTodo'!T26</f>
        <v>40577009.6154357</v>
      </c>
      <c r="U71" s="25" t="n">
        <f aca="false">'BP PagaTodo'!U26</f>
        <v>45723932.950343</v>
      </c>
      <c r="V71" s="25" t="n">
        <f aca="false">'BP PagaTodo'!V26</f>
        <v>51170781.4922497</v>
      </c>
      <c r="W71" s="25" t="n">
        <f aca="false">'BP PagaTodo'!W26</f>
        <v>56910815.6404281</v>
      </c>
      <c r="X71" s="25" t="n">
        <f aca="false">'BP PagaTodo'!X26</f>
        <v>63010689.3946452</v>
      </c>
      <c r="Y71" s="25" t="n">
        <f aca="false">'BP PagaTodo'!Y26</f>
        <v>69414831.9418713</v>
      </c>
      <c r="Z71" s="25" t="n">
        <f aca="false">'BP PagaTodo'!Z26</f>
        <v>76116623.1299941</v>
      </c>
      <c r="AA71" s="25" t="n">
        <f aca="false">'BP PagaTodo'!AA26</f>
        <v>83109348.0902184</v>
      </c>
      <c r="AB71" s="25" t="n">
        <f aca="false">'BP PagaTodo'!AB26</f>
        <v>90459598.8968712</v>
      </c>
      <c r="AC71" s="25" t="n">
        <f aca="false">'BP PagaTodo'!AC26</f>
        <v>98111741.1085337</v>
      </c>
      <c r="AD71" s="25" t="n">
        <f aca="false">'BP PagaTodo'!AD26</f>
        <v>106059089.194924</v>
      </c>
      <c r="AE71" s="25" t="n">
        <f aca="false">'BP PagaTodo'!AE26</f>
        <v>114368352.71319</v>
      </c>
      <c r="AF71" s="25" t="n">
        <f aca="false">'BP PagaTodo'!AF26</f>
        <v>122984017.935515</v>
      </c>
      <c r="AG71" s="25" t="n">
        <f aca="false">'BP PagaTodo'!AG26</f>
        <v>131899608.364839</v>
      </c>
      <c r="AH71" s="25" t="n">
        <f aca="false">'BP PagaTodo'!AH26</f>
        <v>141108384.400434</v>
      </c>
      <c r="AI71" s="25" t="n">
        <f aca="false">'BP PagaTodo'!AI26</f>
        <v>150677000.042068</v>
      </c>
      <c r="AJ71" s="25" t="n">
        <f aca="false">'BP PagaTodo'!AJ26</f>
        <v>160549884.476711</v>
      </c>
      <c r="AK71" s="25" t="n">
        <f aca="false">'BP PagaTodo'!AK26</f>
        <v>170720417.552251</v>
      </c>
      <c r="AL71" s="25" t="n">
        <f aca="false">'BP PagaTodo'!AL26</f>
        <v>181181884.399893</v>
      </c>
      <c r="AM71" s="25" t="n">
        <f aca="false">'BP PagaTodo'!AM26</f>
        <v>192000877.093963</v>
      </c>
      <c r="AN71" s="25" t="n">
        <f aca="false">'BP PagaTodo'!AN26</f>
        <v>203121761.193042</v>
      </c>
      <c r="AO71" s="25" t="n">
        <f aca="false">'BP PagaTodo'!AO26</f>
        <v>214537851.166849</v>
      </c>
      <c r="AP71" s="25" t="n">
        <f aca="false">'BP PagaTodo'!AP26</f>
        <v>226242364.970519</v>
      </c>
      <c r="AQ71" s="25" t="n">
        <f aca="false">'BP PagaTodo'!AQ26</f>
        <v>238300194.052952</v>
      </c>
      <c r="AR71" s="25" t="n">
        <f aca="false">'BP PagaTodo'!AR26</f>
        <v>250659914.540395</v>
      </c>
      <c r="AS71" s="25" t="n">
        <f aca="false">'BP PagaTodo'!AS26</f>
        <v>263314840.902565</v>
      </c>
      <c r="AT71" s="25" t="n">
        <f aca="false">'BP PagaTodo'!AT26</f>
        <v>276331682.696612</v>
      </c>
      <c r="AU71" s="25" t="n">
        <f aca="false">'BP PagaTodo'!AU26</f>
        <v>289654926.194717</v>
      </c>
      <c r="AV71" s="25" t="n">
        <f aca="false">'BP PagaTodo'!AV26</f>
        <v>303278094.899821</v>
      </c>
      <c r="AW71" s="25" t="n">
        <f aca="false">'BP PagaTodo'!AW26</f>
        <v>317194449.211197</v>
      </c>
      <c r="AX71" s="25" t="n">
        <f aca="false">'BP PagaTodo'!AX26</f>
        <v>331470643.128612</v>
      </c>
      <c r="AY71" s="25" t="n">
        <f aca="false">'BP PagaTodo'!AY26</f>
        <v>345977614.237021</v>
      </c>
      <c r="AZ71" s="25" t="n">
        <f aca="false">'BP PagaTodo'!AZ26</f>
        <v>360682164.357005</v>
      </c>
      <c r="BA71" s="25" t="n">
        <f aca="false">'BP PagaTodo'!BA26</f>
        <v>375552966.790469</v>
      </c>
      <c r="BB71" s="25" t="n">
        <f aca="false">'BP PagaTodo'!BB26</f>
        <v>390560530.448884</v>
      </c>
      <c r="BC71" s="25" t="n">
        <f aca="false">'BP PagaTodo'!BC26</f>
        <v>405675618.730533</v>
      </c>
      <c r="BD71" s="25" t="n">
        <f aca="false">'BP PagaTodo'!BD26</f>
        <v>420875129.479189</v>
      </c>
      <c r="BE71" s="25" t="n">
        <f aca="false">'BP PagaTodo'!BE26</f>
        <v>436138194.66059</v>
      </c>
      <c r="BF71" s="25" t="n">
        <f aca="false">'BP PagaTodo'!BF26</f>
        <v>451444435.523777</v>
      </c>
      <c r="BG71" s="25" t="n">
        <f aca="false">'BP PagaTodo'!BG26</f>
        <v>466779934.016679</v>
      </c>
      <c r="BH71" s="25" t="n">
        <f aca="false">'BP PagaTodo'!BH26</f>
        <v>482133084.097054</v>
      </c>
      <c r="BI71" s="25" t="n">
        <f aca="false">'BP PagaTodo'!BI26</f>
        <v>497494655.312758</v>
      </c>
      <c r="BJ71" s="25" t="n">
        <f aca="false">'BP PagaTodo'!BJ26</f>
        <v>512856226.528462</v>
      </c>
    </row>
    <row r="72" customFormat="false" ht="15" hidden="false" customHeight="false" outlineLevel="0" collapsed="false">
      <c r="A72" s="1"/>
      <c r="B72" s="7" t="s">
        <v>5</v>
      </c>
      <c r="C72" s="25" t="n">
        <f aca="false">'BP Efevoo'!C28</f>
        <v>-258094</v>
      </c>
      <c r="D72" s="25" t="n">
        <f aca="false">'BP Efevoo'!D28</f>
        <v>-41977.1494118792</v>
      </c>
      <c r="E72" s="25" t="n">
        <f aca="false">'BP Efevoo'!E28</f>
        <v>408787.581037717</v>
      </c>
      <c r="F72" s="25" t="n">
        <f aca="false">'BP Efevoo'!F28</f>
        <v>1073348.30701528</v>
      </c>
      <c r="G72" s="25" t="n">
        <f aca="false">'BP Efevoo'!G28</f>
        <v>1971442.1376622</v>
      </c>
      <c r="H72" s="25" t="n">
        <f aca="false">'BP Efevoo'!H28</f>
        <v>3120562.11541529</v>
      </c>
      <c r="I72" s="25" t="n">
        <f aca="false">'BP Efevoo'!I28</f>
        <v>4610423.50417246</v>
      </c>
      <c r="J72" s="25" t="n">
        <f aca="false">'BP Efevoo'!J28</f>
        <v>6409157.80567694</v>
      </c>
      <c r="K72" s="25" t="n">
        <f aca="false">'BP Efevoo'!K28</f>
        <v>8525182.55826393</v>
      </c>
      <c r="L72" s="25" t="n">
        <f aca="false">'BP Efevoo'!L28</f>
        <v>10964359.9453669</v>
      </c>
      <c r="M72" s="25" t="n">
        <f aca="false">'BP Efevoo'!M28</f>
        <v>13804454.5232579</v>
      </c>
      <c r="N72" s="25" t="n">
        <f aca="false">'BP Efevoo'!N28</f>
        <v>17001318.4415944</v>
      </c>
      <c r="O72" s="25" t="n">
        <f aca="false">'BP Efevoo'!O28</f>
        <v>20375246.2044438</v>
      </c>
      <c r="P72" s="25" t="n">
        <f aca="false">'BP Efevoo'!P28</f>
        <v>24257228.7669409</v>
      </c>
      <c r="Q72" s="25" t="n">
        <f aca="false">'BP Efevoo'!Q28</f>
        <v>28542072.577987</v>
      </c>
      <c r="R72" s="25" t="n">
        <f aca="false">'BP Efevoo'!R28</f>
        <v>33178353.7638281</v>
      </c>
      <c r="S72" s="25" t="n">
        <f aca="false">'BP Efevoo'!S28</f>
        <v>38159471.794182</v>
      </c>
      <c r="T72" s="25" t="n">
        <f aca="false">'BP Efevoo'!T28</f>
        <v>43553172.6241837</v>
      </c>
      <c r="U72" s="25" t="n">
        <f aca="false">'BP Efevoo'!U28</f>
        <v>49305048.1280285</v>
      </c>
      <c r="V72" s="25" t="n">
        <f aca="false">'BP Efevoo'!V28</f>
        <v>55406394.8086579</v>
      </c>
      <c r="W72" s="25" t="n">
        <f aca="false">'BP Efevoo'!W28</f>
        <v>61850558.0653444</v>
      </c>
      <c r="X72" s="25" t="n">
        <f aca="false">'BP Efevoo'!X28</f>
        <v>68705228.2958406</v>
      </c>
      <c r="Y72" s="25" t="n">
        <f aca="false">'BP Efevoo'!Y28</f>
        <v>75915940.2891311</v>
      </c>
      <c r="Z72" s="25" t="n">
        <f aca="false">'BP Efevoo'!Z28</f>
        <v>83473931.8931038</v>
      </c>
      <c r="AA72" s="25" t="n">
        <f aca="false">'BP Efevoo'!AA28</f>
        <v>91202488.2389631</v>
      </c>
      <c r="AB72" s="25" t="n">
        <f aca="false">'BP Efevoo'!AB28</f>
        <v>99509237.7990221</v>
      </c>
      <c r="AC72" s="25" t="n">
        <f aca="false">'BP Efevoo'!AC28</f>
        <v>108169651.733876</v>
      </c>
      <c r="AD72" s="25" t="n">
        <f aca="false">'BP Efevoo'!AD28</f>
        <v>117174902.513243</v>
      </c>
      <c r="AE72" s="25" t="n">
        <f aca="false">'BP Efevoo'!AE28</f>
        <v>126592736.092257</v>
      </c>
      <c r="AF72" s="25" t="n">
        <f aca="false">'BP Efevoo'!AF28</f>
        <v>136368744.345115</v>
      </c>
      <c r="AG72" s="25" t="n">
        <f aca="false">'BP Efevoo'!AG28</f>
        <v>146494223.774757</v>
      </c>
      <c r="AH72" s="25" t="n">
        <f aca="false">'BP Efevoo'!AH28</f>
        <v>156962519.780457</v>
      </c>
      <c r="AI72" s="25" t="n">
        <f aca="false">'BP Efevoo'!AI28</f>
        <v>167841322.759966</v>
      </c>
      <c r="AJ72" s="25" t="n">
        <f aca="false">'BP Efevoo'!AJ28</f>
        <v>179076167.502269</v>
      </c>
      <c r="AK72" s="25" t="n">
        <f aca="false">'BP Efevoo'!AK28</f>
        <v>190658291.855254</v>
      </c>
      <c r="AL72" s="25" t="n">
        <f aca="false">'BP Efevoo'!AL28</f>
        <v>202580980.950127</v>
      </c>
      <c r="AM72" s="25" t="n">
        <f aca="false">'BP Efevoo'!AM28</f>
        <v>214741863.259199</v>
      </c>
      <c r="AN72" s="25" t="n">
        <f aca="false">'BP Efevoo'!AN28</f>
        <v>227426409.943065</v>
      </c>
      <c r="AO72" s="25" t="n">
        <f aca="false">'BP Efevoo'!AO28</f>
        <v>240455793.471445</v>
      </c>
      <c r="AP72" s="25" t="n">
        <f aca="false">'BP Efevoo'!AP28</f>
        <v>253823231.799472</v>
      </c>
      <c r="AQ72" s="25" t="n">
        <f aca="false">'BP Efevoo'!AQ28</f>
        <v>267593531.376049</v>
      </c>
      <c r="AR72" s="25" t="n">
        <f aca="false">'BP Efevoo'!AR28</f>
        <v>281715268.32742</v>
      </c>
      <c r="AS72" s="25" t="n">
        <f aca="false">'BP Efevoo'!AS28</f>
        <v>296181842.123304</v>
      </c>
      <c r="AT72" s="25" t="n">
        <f aca="false">'BP Efevoo'!AT28</f>
        <v>311060998.718836</v>
      </c>
      <c r="AU72" s="25" t="n">
        <f aca="false">'BP Efevoo'!AU28</f>
        <v>326298329.988211</v>
      </c>
      <c r="AV72" s="25" t="n">
        <f aca="false">'BP Efevoo'!AV28</f>
        <v>341885132.434371</v>
      </c>
      <c r="AW72" s="25" t="n">
        <f aca="false">'BP Efevoo'!AW28</f>
        <v>357814751.456588</v>
      </c>
      <c r="AX72" s="25" t="n">
        <f aca="false">'BP Efevoo'!AX28</f>
        <v>374154877.452615</v>
      </c>
      <c r="AY72" s="25" t="n">
        <f aca="false">'BP Efevoo'!AY28</f>
        <v>390606517.211435</v>
      </c>
      <c r="AZ72" s="25" t="n">
        <f aca="false">'BP Efevoo'!AZ28</f>
        <v>407471067.155644</v>
      </c>
      <c r="BA72" s="25" t="n">
        <f aca="false">'BP Efevoo'!BA28</f>
        <v>424543937.189162</v>
      </c>
      <c r="BB72" s="25" t="n">
        <f aca="false">'BP Efevoo'!BB28</f>
        <v>441792372.825474</v>
      </c>
      <c r="BC72" s="25" t="n">
        <f aca="false">'BP Efevoo'!BC28</f>
        <v>459182752.666891</v>
      </c>
      <c r="BD72" s="25" t="n">
        <f aca="false">'BP Efevoo'!BD28</f>
        <v>476686569.1592</v>
      </c>
      <c r="BE72" s="25" t="n">
        <f aca="false">'BP Efevoo'!BE28</f>
        <v>494279605.870153</v>
      </c>
      <c r="BF72" s="25" t="n">
        <f aca="false">'BP Efevoo'!BF28</f>
        <v>511937014.252821</v>
      </c>
      <c r="BG72" s="25" t="n">
        <f aca="false">'BP Efevoo'!BG28</f>
        <v>529639300.857148</v>
      </c>
      <c r="BH72" s="25" t="n">
        <f aca="false">'BP Efevoo'!BH28</f>
        <v>547371511.242903</v>
      </c>
      <c r="BI72" s="25" t="n">
        <f aca="false">'BP Efevoo'!BI28</f>
        <v>565121066.55996</v>
      </c>
      <c r="BJ72" s="25" t="n">
        <f aca="false">'BP Efevoo'!BJ28</f>
        <v>582875075.877017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0"/>
    <col collapsed="false" customWidth="true" hidden="false" outlineLevel="0" max="4" min="3" style="0" width="16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17.35" hidden="false" customHeight="false" outlineLevel="0" collapsed="false">
      <c r="A2" s="1"/>
      <c r="B2" s="2" t="s">
        <v>63</v>
      </c>
      <c r="C2" s="1"/>
      <c r="D2" s="1"/>
      <c r="E2" s="1"/>
    </row>
    <row r="3" customFormat="false" ht="15" hidden="false" customHeight="false" outlineLevel="0" collapsed="false">
      <c r="A3" s="1"/>
      <c r="B3" s="3" t="s">
        <v>64</v>
      </c>
      <c r="C3" s="1"/>
      <c r="D3" s="1"/>
      <c r="E3" s="1"/>
    </row>
    <row r="4" customFormat="false" ht="15" hidden="false" customHeight="false" outlineLevel="0" collapsed="false">
      <c r="A4" s="1"/>
      <c r="B4" s="1"/>
      <c r="C4" s="1"/>
      <c r="D4" s="1"/>
      <c r="E4" s="1"/>
    </row>
    <row r="5" customFormat="false" ht="15" hidden="false" customHeight="false" outlineLevel="0" collapsed="false">
      <c r="A5" s="1"/>
      <c r="B5" s="1"/>
      <c r="C5" s="1"/>
      <c r="D5" s="1"/>
      <c r="E5" s="1"/>
    </row>
    <row r="6" customFormat="false" ht="15" hidden="false" customHeight="false" outlineLevel="0" collapsed="false">
      <c r="A6" s="1"/>
      <c r="B6" s="6" t="s">
        <v>65</v>
      </c>
      <c r="C6" s="6" t="s">
        <v>66</v>
      </c>
      <c r="D6" s="6" t="s">
        <v>67</v>
      </c>
      <c r="E6" s="6" t="s">
        <v>68</v>
      </c>
    </row>
    <row r="7" customFormat="false" ht="15" hidden="false" customHeight="false" outlineLevel="0" collapsed="false">
      <c r="A7" s="1"/>
      <c r="B7" s="7" t="s">
        <v>69</v>
      </c>
      <c r="C7" s="28" t="n">
        <v>17</v>
      </c>
      <c r="D7" s="1"/>
      <c r="E7" s="3" t="s">
        <v>70</v>
      </c>
    </row>
    <row r="8" customFormat="false" ht="15" hidden="false" customHeight="false" outlineLevel="0" collapsed="false">
      <c r="A8" s="1"/>
      <c r="B8" s="7" t="s">
        <v>71</v>
      </c>
      <c r="C8" s="29" t="n">
        <v>0.15</v>
      </c>
      <c r="D8" s="1"/>
      <c r="E8" s="3" t="s">
        <v>72</v>
      </c>
    </row>
    <row r="9" customFormat="false" ht="15" hidden="false" customHeight="false" outlineLevel="0" collapsed="false">
      <c r="A9" s="1"/>
      <c r="B9" s="1"/>
      <c r="C9" s="1"/>
      <c r="D9" s="1"/>
      <c r="E9" s="1"/>
    </row>
    <row r="10" customFormat="false" ht="15" hidden="false" customHeight="false" outlineLevel="0" collapsed="false">
      <c r="A10" s="1"/>
      <c r="B10" s="6" t="s">
        <v>73</v>
      </c>
      <c r="C10" s="6" t="s">
        <v>66</v>
      </c>
      <c r="D10" s="6" t="s">
        <v>67</v>
      </c>
      <c r="E10" s="6" t="s">
        <v>68</v>
      </c>
    </row>
    <row r="11" customFormat="false" ht="15" hidden="false" customHeight="false" outlineLevel="0" collapsed="false">
      <c r="A11" s="1"/>
      <c r="B11" s="7" t="s">
        <v>41</v>
      </c>
      <c r="C11" s="30" t="n">
        <v>1000000</v>
      </c>
      <c r="D11" s="1"/>
      <c r="E11" s="3" t="s">
        <v>74</v>
      </c>
    </row>
    <row r="12" customFormat="false" ht="15" hidden="false" customHeight="false" outlineLevel="0" collapsed="false">
      <c r="A12" s="1"/>
      <c r="B12" s="7" t="s">
        <v>75</v>
      </c>
      <c r="C12" s="31" t="n">
        <v>1.5</v>
      </c>
      <c r="D12" s="1"/>
      <c r="E12" s="3" t="s">
        <v>74</v>
      </c>
    </row>
    <row r="13" customFormat="false" ht="15" hidden="false" customHeight="false" outlineLevel="0" collapsed="false">
      <c r="A13" s="1"/>
      <c r="B13" s="7" t="s">
        <v>42</v>
      </c>
      <c r="C13" s="19" t="n">
        <f aca="false">Supuestos!$C$11*Supuestos!$C$12</f>
        <v>1500000</v>
      </c>
      <c r="D13" s="1"/>
      <c r="E13" s="1"/>
    </row>
    <row r="14" customFormat="false" ht="15" hidden="false" customHeight="false" outlineLevel="0" collapsed="false">
      <c r="A14" s="1"/>
      <c r="B14" s="7" t="s">
        <v>76</v>
      </c>
      <c r="C14" s="11" t="n">
        <v>0.33</v>
      </c>
      <c r="D14" s="1"/>
      <c r="E14" s="3" t="s">
        <v>74</v>
      </c>
    </row>
    <row r="15" customFormat="false" ht="15" hidden="false" customHeight="false" outlineLevel="0" collapsed="false">
      <c r="A15" s="1"/>
      <c r="B15" s="7" t="s">
        <v>77</v>
      </c>
      <c r="C15" s="30" t="n">
        <v>12</v>
      </c>
      <c r="D15" s="1"/>
      <c r="E15" s="3" t="s">
        <v>74</v>
      </c>
    </row>
    <row r="16" customFormat="false" ht="15" hidden="false" customHeight="false" outlineLevel="0" collapsed="false">
      <c r="A16" s="1"/>
      <c r="B16" s="7" t="s">
        <v>44</v>
      </c>
      <c r="C16" s="11" t="n">
        <v>0.1158</v>
      </c>
      <c r="D16" s="1"/>
      <c r="E16" s="3" t="s">
        <v>74</v>
      </c>
    </row>
    <row r="17" customFormat="false" ht="15" hidden="false" customHeight="false" outlineLevel="0" collapsed="false">
      <c r="A17" s="1"/>
      <c r="B17" s="7" t="s">
        <v>78</v>
      </c>
      <c r="C17" s="11" t="n">
        <v>0.03</v>
      </c>
      <c r="D17" s="1"/>
      <c r="E17" s="3" t="s">
        <v>74</v>
      </c>
    </row>
    <row r="18" customFormat="false" ht="15" hidden="false" customHeight="false" outlineLevel="0" collapsed="false">
      <c r="A18" s="1"/>
      <c r="B18" s="7" t="s">
        <v>79</v>
      </c>
      <c r="C18" s="30" t="n">
        <v>1</v>
      </c>
      <c r="D18" s="1"/>
      <c r="E18" s="3" t="s">
        <v>74</v>
      </c>
    </row>
    <row r="19" customFormat="false" ht="15" hidden="false" customHeight="false" outlineLevel="0" collapsed="false">
      <c r="A19" s="1"/>
      <c r="B19" s="7" t="s">
        <v>80</v>
      </c>
      <c r="C19" s="32" t="n">
        <v>500</v>
      </c>
      <c r="D19" s="1"/>
      <c r="E19" s="3" t="s">
        <v>81</v>
      </c>
    </row>
    <row r="20" customFormat="false" ht="15" hidden="false" customHeight="false" outlineLevel="0" collapsed="false">
      <c r="A20" s="1"/>
      <c r="B20" s="7" t="s">
        <v>82</v>
      </c>
      <c r="C20" s="11" t="n">
        <v>0.006</v>
      </c>
      <c r="D20" s="1"/>
      <c r="E20" s="3" t="s">
        <v>83</v>
      </c>
    </row>
    <row r="21" customFormat="false" ht="15" hidden="false" customHeight="false" outlineLevel="0" collapsed="false">
      <c r="A21" s="1"/>
      <c r="B21" s="1"/>
      <c r="C21" s="1"/>
      <c r="D21" s="1"/>
      <c r="E21" s="1"/>
    </row>
    <row r="22" customFormat="false" ht="15" hidden="false" customHeight="false" outlineLevel="0" collapsed="false">
      <c r="A22" s="1"/>
      <c r="B22" s="6" t="s">
        <v>84</v>
      </c>
      <c r="C22" s="6" t="s">
        <v>66</v>
      </c>
      <c r="D22" s="6" t="s">
        <v>67</v>
      </c>
      <c r="E22" s="6" t="s">
        <v>68</v>
      </c>
    </row>
    <row r="23" customFormat="false" ht="15" hidden="false" customHeight="false" outlineLevel="0" collapsed="false">
      <c r="A23" s="1"/>
      <c r="B23" s="7" t="s">
        <v>85</v>
      </c>
      <c r="C23" s="30" t="n">
        <v>2</v>
      </c>
      <c r="D23" s="1"/>
      <c r="E23" s="3" t="s">
        <v>74</v>
      </c>
    </row>
    <row r="24" customFormat="false" ht="15" hidden="false" customHeight="false" outlineLevel="0" collapsed="false">
      <c r="A24" s="1"/>
      <c r="B24" s="7" t="s">
        <v>86</v>
      </c>
      <c r="C24" s="30" t="n">
        <v>500000000</v>
      </c>
      <c r="D24" s="1"/>
      <c r="E24" s="3" t="s">
        <v>74</v>
      </c>
    </row>
    <row r="25" customFormat="false" ht="15" hidden="false" customHeight="false" outlineLevel="0" collapsed="false">
      <c r="A25" s="1"/>
      <c r="B25" s="7" t="s">
        <v>87</v>
      </c>
      <c r="C25" s="30" t="n">
        <v>48</v>
      </c>
      <c r="D25" s="1"/>
      <c r="E25" s="3" t="s">
        <v>88</v>
      </c>
    </row>
    <row r="26" customFormat="false" ht="15" hidden="false" customHeight="false" outlineLevel="0" collapsed="false">
      <c r="A26" s="1"/>
      <c r="B26" s="7" t="s">
        <v>89</v>
      </c>
      <c r="C26" s="33" t="s">
        <v>90</v>
      </c>
      <c r="D26" s="1"/>
      <c r="E26" s="3" t="s">
        <v>91</v>
      </c>
    </row>
    <row r="27" customFormat="false" ht="15" hidden="false" customHeight="false" outlineLevel="0" collapsed="false">
      <c r="A27" s="1"/>
      <c r="B27" s="7" t="s">
        <v>92</v>
      </c>
      <c r="C27" s="34" t="n">
        <v>1.5</v>
      </c>
      <c r="D27" s="1"/>
      <c r="E27" s="3" t="s">
        <v>93</v>
      </c>
    </row>
    <row r="28" customFormat="false" ht="15" hidden="false" customHeight="false" outlineLevel="0" collapsed="false">
      <c r="A28" s="1"/>
      <c r="B28" s="1"/>
      <c r="C28" s="1"/>
      <c r="D28" s="1"/>
      <c r="E28" s="1"/>
    </row>
    <row r="29" customFormat="false" ht="15" hidden="false" customHeight="false" outlineLevel="0" collapsed="false">
      <c r="A29" s="1"/>
      <c r="B29" s="6" t="s">
        <v>94</v>
      </c>
      <c r="C29" s="6" t="s">
        <v>66</v>
      </c>
      <c r="D29" s="6" t="s">
        <v>67</v>
      </c>
      <c r="E29" s="6" t="s">
        <v>68</v>
      </c>
    </row>
    <row r="30" customFormat="false" ht="15" hidden="false" customHeight="false" outlineLevel="0" collapsed="false">
      <c r="A30" s="1"/>
      <c r="B30" s="7" t="s">
        <v>95</v>
      </c>
      <c r="C30" s="9" t="n">
        <v>10</v>
      </c>
      <c r="D30" s="25" t="n">
        <f aca="false">C30*Supuestos!$C$7</f>
        <v>170</v>
      </c>
      <c r="E30" s="3" t="s">
        <v>96</v>
      </c>
    </row>
    <row r="31" customFormat="false" ht="15" hidden="false" customHeight="false" outlineLevel="0" collapsed="false">
      <c r="A31" s="1"/>
      <c r="B31" s="7" t="s">
        <v>97</v>
      </c>
      <c r="C31" s="9" t="n">
        <v>15</v>
      </c>
      <c r="D31" s="25" t="n">
        <f aca="false">C31*Supuestos!$C$7</f>
        <v>255</v>
      </c>
      <c r="E31" s="3" t="s">
        <v>96</v>
      </c>
    </row>
    <row r="32" customFormat="false" ht="15" hidden="false" customHeight="false" outlineLevel="0" collapsed="false">
      <c r="A32" s="1"/>
      <c r="B32" s="7" t="s">
        <v>98</v>
      </c>
      <c r="C32" s="30" t="n">
        <v>7</v>
      </c>
      <c r="D32" s="1"/>
      <c r="E32" s="3" t="s">
        <v>99</v>
      </c>
    </row>
    <row r="33" customFormat="false" ht="15" hidden="false" customHeight="false" outlineLevel="0" collapsed="false">
      <c r="A33" s="1"/>
      <c r="B33" s="7" t="s">
        <v>100</v>
      </c>
      <c r="C33" s="11" t="n">
        <v>0.5</v>
      </c>
      <c r="D33" s="1"/>
      <c r="E33" s="3" t="s">
        <v>101</v>
      </c>
    </row>
    <row r="34" customFormat="false" ht="15" hidden="false" customHeight="false" outlineLevel="0" collapsed="false">
      <c r="A34" s="1"/>
      <c r="B34" s="7" t="s">
        <v>102</v>
      </c>
      <c r="C34" s="11" t="n">
        <v>0.0075</v>
      </c>
      <c r="D34" s="1"/>
      <c r="E34" s="3" t="s">
        <v>103</v>
      </c>
    </row>
    <row r="35" customFormat="false" ht="15" hidden="false" customHeight="false" outlineLevel="0" collapsed="false">
      <c r="A35" s="1"/>
      <c r="B35" s="7" t="s">
        <v>104</v>
      </c>
      <c r="C35" s="9" t="n">
        <v>0</v>
      </c>
      <c r="D35" s="25" t="n">
        <f aca="false">C35*Supuestos!$C$7</f>
        <v>0</v>
      </c>
      <c r="E35" s="3" t="s">
        <v>105</v>
      </c>
    </row>
    <row r="36" customFormat="false" ht="15" hidden="false" customHeight="false" outlineLevel="0" collapsed="false">
      <c r="A36" s="1"/>
      <c r="B36" s="7" t="s">
        <v>106</v>
      </c>
      <c r="C36" s="32" t="n">
        <v>2</v>
      </c>
      <c r="D36" s="1"/>
      <c r="E36" s="3" t="s">
        <v>107</v>
      </c>
    </row>
    <row r="37" customFormat="false" ht="15" hidden="false" customHeight="false" outlineLevel="0" collapsed="false">
      <c r="A37" s="1"/>
      <c r="B37" s="7" t="s">
        <v>108</v>
      </c>
      <c r="C37" s="9" t="n">
        <v>2500</v>
      </c>
      <c r="D37" s="25" t="n">
        <f aca="false">C37*Supuestos!$C$7</f>
        <v>42500</v>
      </c>
      <c r="E37" s="3" t="s">
        <v>105</v>
      </c>
    </row>
    <row r="38" customFormat="false" ht="15" hidden="false" customHeight="false" outlineLevel="0" collapsed="false">
      <c r="A38" s="1"/>
      <c r="B38" s="7" t="s">
        <v>109</v>
      </c>
      <c r="C38" s="32" t="n">
        <v>4</v>
      </c>
      <c r="D38" s="1"/>
      <c r="E38" s="3" t="s">
        <v>110</v>
      </c>
    </row>
    <row r="39" customFormat="false" ht="15" hidden="false" customHeight="false" outlineLevel="0" collapsed="false">
      <c r="A39" s="1"/>
      <c r="B39" s="7" t="s">
        <v>111</v>
      </c>
      <c r="C39" s="9" t="n">
        <v>5000</v>
      </c>
      <c r="D39" s="25" t="n">
        <f aca="false">C39*Supuestos!$C$7</f>
        <v>85000</v>
      </c>
      <c r="E39" s="3" t="s">
        <v>105</v>
      </c>
    </row>
    <row r="40" customFormat="false" ht="15" hidden="false" customHeight="false" outlineLevel="0" collapsed="false">
      <c r="A40" s="1"/>
      <c r="B40" s="7" t="s">
        <v>112</v>
      </c>
      <c r="C40" s="9" t="n">
        <v>15000</v>
      </c>
      <c r="D40" s="25" t="n">
        <f aca="false">C40*Supuestos!$C$7</f>
        <v>255000</v>
      </c>
      <c r="E40" s="3" t="s">
        <v>113</v>
      </c>
    </row>
    <row r="41" customFormat="false" ht="15" hidden="false" customHeight="false" outlineLevel="0" collapsed="false">
      <c r="A41" s="1"/>
      <c r="B41" s="7" t="s">
        <v>114</v>
      </c>
      <c r="C41" s="11" t="n">
        <v>0.5</v>
      </c>
      <c r="D41" s="1"/>
      <c r="E41" s="3" t="s">
        <v>113</v>
      </c>
    </row>
    <row r="42" customFormat="false" ht="15" hidden="false" customHeight="false" outlineLevel="0" collapsed="false">
      <c r="A42" s="1"/>
      <c r="B42" s="7" t="s">
        <v>115</v>
      </c>
      <c r="C42" s="30" t="n">
        <v>6</v>
      </c>
      <c r="D42" s="1"/>
      <c r="E42" s="3" t="s">
        <v>116</v>
      </c>
    </row>
    <row r="43" customFormat="false" ht="15" hidden="false" customHeight="false" outlineLevel="0" collapsed="false">
      <c r="A43" s="1"/>
      <c r="B43" s="7" t="s">
        <v>117</v>
      </c>
      <c r="C43" s="30" t="n">
        <v>20</v>
      </c>
      <c r="D43" s="1"/>
      <c r="E43" s="3" t="s">
        <v>113</v>
      </c>
    </row>
    <row r="44" customFormat="false" ht="15" hidden="false" customHeight="false" outlineLevel="0" collapsed="false">
      <c r="A44" s="1"/>
      <c r="B44" s="1"/>
      <c r="C44" s="1"/>
      <c r="D44" s="1"/>
      <c r="E44" s="1"/>
    </row>
    <row r="45" customFormat="false" ht="15" hidden="false" customHeight="false" outlineLevel="0" collapsed="false">
      <c r="A45" s="1"/>
      <c r="B45" s="6" t="s">
        <v>118</v>
      </c>
      <c r="C45" s="6" t="s">
        <v>66</v>
      </c>
      <c r="D45" s="6" t="s">
        <v>67</v>
      </c>
      <c r="E45" s="6" t="s">
        <v>68</v>
      </c>
    </row>
    <row r="46" customFormat="false" ht="15" hidden="false" customHeight="false" outlineLevel="0" collapsed="false">
      <c r="A46" s="1"/>
      <c r="B46" s="7" t="s">
        <v>119</v>
      </c>
      <c r="C46" s="9" t="n">
        <v>20000</v>
      </c>
      <c r="D46" s="25" t="n">
        <f aca="false">C46*Supuestos!$C$7</f>
        <v>340000</v>
      </c>
      <c r="E46" s="3" t="s">
        <v>120</v>
      </c>
    </row>
    <row r="47" customFormat="false" ht="15" hidden="false" customHeight="false" outlineLevel="0" collapsed="false">
      <c r="A47" s="1"/>
      <c r="B47" s="7" t="s">
        <v>121</v>
      </c>
      <c r="C47" s="9" t="n">
        <v>3000</v>
      </c>
      <c r="D47" s="25" t="n">
        <f aca="false">C47*Supuestos!$C$7</f>
        <v>51000</v>
      </c>
      <c r="E47" s="3" t="s">
        <v>122</v>
      </c>
    </row>
    <row r="48" customFormat="false" ht="15" hidden="false" customHeight="false" outlineLevel="0" collapsed="false">
      <c r="A48" s="1"/>
      <c r="B48" s="7" t="s">
        <v>123</v>
      </c>
      <c r="C48" s="9" t="n">
        <v>750</v>
      </c>
      <c r="D48" s="25" t="n">
        <f aca="false">C48*Supuestos!$C$7</f>
        <v>12750</v>
      </c>
      <c r="E48" s="3" t="s">
        <v>122</v>
      </c>
    </row>
    <row r="49" customFormat="false" ht="15" hidden="false" customHeight="false" outlineLevel="0" collapsed="false">
      <c r="A49" s="1"/>
      <c r="B49" s="7" t="s">
        <v>124</v>
      </c>
      <c r="C49" s="9" t="n">
        <v>200</v>
      </c>
      <c r="D49" s="25" t="n">
        <f aca="false">C49*Supuestos!$C$7</f>
        <v>3400</v>
      </c>
      <c r="E49" s="3" t="s">
        <v>122</v>
      </c>
    </row>
    <row r="50" customFormat="false" ht="15" hidden="false" customHeight="false" outlineLevel="0" collapsed="false">
      <c r="A50" s="1"/>
      <c r="B50" s="7" t="s">
        <v>125</v>
      </c>
      <c r="C50" s="35" t="n">
        <f aca="false">Supuestos!$C$47+Supuestos!$C$48+Supuestos!$C$49</f>
        <v>3950</v>
      </c>
      <c r="D50" s="25" t="n">
        <f aca="false">C50*Supuestos!$C$7</f>
        <v>67150</v>
      </c>
      <c r="E50" s="1"/>
    </row>
    <row r="51" customFormat="false" ht="15" hidden="false" customHeight="false" outlineLevel="0" collapsed="false">
      <c r="A51" s="1"/>
      <c r="B51" s="7" t="s">
        <v>126</v>
      </c>
      <c r="C51" s="13" t="n">
        <v>0.03</v>
      </c>
      <c r="D51" s="25" t="n">
        <f aca="false">C51*Supuestos!$C$7</f>
        <v>0.51</v>
      </c>
      <c r="E51" s="3" t="s">
        <v>127</v>
      </c>
    </row>
    <row r="52" customFormat="false" ht="15" hidden="false" customHeight="false" outlineLevel="0" collapsed="false">
      <c r="A52" s="1"/>
      <c r="B52" s="7" t="s">
        <v>128</v>
      </c>
      <c r="C52" s="36" t="n">
        <v>0</v>
      </c>
      <c r="D52" s="25" t="n">
        <f aca="false">C52*Supuestos!$C$7</f>
        <v>0</v>
      </c>
      <c r="E52" s="3" t="s">
        <v>129</v>
      </c>
    </row>
    <row r="53" customFormat="false" ht="15" hidden="false" customHeight="false" outlineLevel="0" collapsed="false">
      <c r="A53" s="1"/>
      <c r="B53" s="7" t="s">
        <v>130</v>
      </c>
      <c r="C53" s="9" t="n">
        <v>10000</v>
      </c>
      <c r="D53" s="25" t="n">
        <f aca="false">C53*Supuestos!$C$7</f>
        <v>170000</v>
      </c>
      <c r="E53" s="3" t="s">
        <v>131</v>
      </c>
    </row>
    <row r="54" customFormat="false" ht="15" hidden="false" customHeight="false" outlineLevel="0" collapsed="false">
      <c r="A54" s="1"/>
      <c r="B54" s="7" t="s">
        <v>132</v>
      </c>
      <c r="C54" s="32" t="n">
        <v>13</v>
      </c>
      <c r="D54" s="1"/>
      <c r="E54" s="3" t="s">
        <v>133</v>
      </c>
    </row>
    <row r="55" customFormat="false" ht="15" hidden="false" customHeight="false" outlineLevel="0" collapsed="false">
      <c r="A55" s="1"/>
      <c r="B55" s="7" t="s">
        <v>134</v>
      </c>
      <c r="C55" s="9" t="n">
        <v>131</v>
      </c>
      <c r="D55" s="25" t="n">
        <f aca="false">C55*Supuestos!$C$7</f>
        <v>2227</v>
      </c>
      <c r="E55" s="3" t="s">
        <v>135</v>
      </c>
    </row>
    <row r="56" customFormat="false" ht="15" hidden="false" customHeight="false" outlineLevel="0" collapsed="false">
      <c r="A56" s="1"/>
      <c r="B56" s="7" t="s">
        <v>136</v>
      </c>
      <c r="C56" s="32" t="n">
        <v>1</v>
      </c>
      <c r="D56" s="1"/>
      <c r="E56" s="3" t="s">
        <v>137</v>
      </c>
    </row>
    <row r="57" customFormat="false" ht="15" hidden="false" customHeight="false" outlineLevel="0" collapsed="false">
      <c r="A57" s="1"/>
      <c r="B57" s="7" t="s">
        <v>138</v>
      </c>
      <c r="C57" s="29" t="n">
        <v>0.006</v>
      </c>
      <c r="D57" s="1"/>
      <c r="E57" s="3" t="s">
        <v>139</v>
      </c>
    </row>
    <row r="58" customFormat="false" ht="15" hidden="false" customHeight="false" outlineLevel="0" collapsed="false">
      <c r="A58" s="1"/>
      <c r="B58" s="7" t="s">
        <v>140</v>
      </c>
      <c r="C58" s="32" t="n">
        <v>0</v>
      </c>
      <c r="D58" s="1"/>
      <c r="E58" s="3" t="s">
        <v>141</v>
      </c>
    </row>
  </sheetData>
  <dataValidations count="1">
    <dataValidation allowBlank="false" errorStyle="stop" operator="between" showDropDown="false" showErrorMessage="false" showInputMessage="false" sqref="C26" type="list">
      <formula1>"Resolver para la meta,Rampa 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1"/>
      <c r="B2" s="2" t="s">
        <v>142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7" t="s">
        <v>143</v>
      </c>
      <c r="C4" s="25" t="n">
        <f aca="false">Supuestos!$C$13</f>
        <v>1500000</v>
      </c>
      <c r="D4" s="1"/>
      <c r="E4" s="1"/>
      <c r="F4" s="1"/>
      <c r="G4" s="1"/>
    </row>
    <row r="5" customFormat="false" ht="15" hidden="false" customHeight="false" outlineLevel="0" collapsed="false">
      <c r="A5" s="1"/>
      <c r="B5" s="7" t="s">
        <v>144</v>
      </c>
      <c r="C5" s="10" t="n">
        <f aca="false">Supuestos!$C$14</f>
        <v>0.33</v>
      </c>
      <c r="D5" s="1"/>
      <c r="E5" s="1"/>
      <c r="F5" s="1"/>
      <c r="G5" s="1"/>
    </row>
    <row r="6" customFormat="false" ht="15" hidden="false" customHeight="false" outlineLevel="0" collapsed="false">
      <c r="A6" s="1"/>
      <c r="B6" s="7" t="s">
        <v>145</v>
      </c>
      <c r="C6" s="37" t="n">
        <f aca="false">C5/12</f>
        <v>0.0275</v>
      </c>
      <c r="D6" s="1"/>
      <c r="E6" s="1"/>
      <c r="F6" s="1"/>
      <c r="G6" s="1"/>
    </row>
    <row r="7" customFormat="false" ht="15" hidden="false" customHeight="false" outlineLevel="0" collapsed="false">
      <c r="A7" s="1"/>
      <c r="B7" s="7" t="s">
        <v>146</v>
      </c>
      <c r="C7" s="25" t="n">
        <f aca="false">Supuestos!$C$15</f>
        <v>12</v>
      </c>
      <c r="D7" s="1"/>
      <c r="E7" s="1"/>
      <c r="F7" s="1"/>
      <c r="G7" s="1"/>
    </row>
    <row r="8" customFormat="false" ht="15" hidden="false" customHeight="false" outlineLevel="0" collapsed="false">
      <c r="A8" s="1"/>
      <c r="B8" s="7" t="s">
        <v>147</v>
      </c>
      <c r="C8" s="19" t="n">
        <f aca="false">C4*C6/(1-(1+C6)^(-C7))</f>
        <v>148453.064758521</v>
      </c>
      <c r="D8" s="1"/>
      <c r="E8" s="1"/>
      <c r="F8" s="1"/>
      <c r="G8" s="1"/>
    </row>
    <row r="9" customFormat="false" ht="15" hidden="false" customHeight="false" outlineLevel="0" collapsed="false">
      <c r="A9" s="1"/>
      <c r="B9" s="7" t="s">
        <v>148</v>
      </c>
      <c r="C9" s="25" t="n">
        <f aca="false">C4*Supuestos!$C$17</f>
        <v>45000</v>
      </c>
      <c r="D9" s="1"/>
      <c r="E9" s="1"/>
      <c r="F9" s="1"/>
      <c r="G9" s="1"/>
    </row>
    <row r="10" customFormat="false" ht="15" hidden="false" customHeight="false" outlineLevel="0" collapsed="false">
      <c r="A10" s="1"/>
      <c r="B10" s="7" t="s">
        <v>149</v>
      </c>
      <c r="C10" s="19" t="n">
        <f aca="false">C4*Supuestos!$C$16/12</f>
        <v>14475</v>
      </c>
      <c r="D10" s="1"/>
      <c r="E10" s="1"/>
      <c r="F10" s="1"/>
      <c r="G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5" hidden="false" customHeight="false" outlineLevel="0" collapsed="false">
      <c r="A12" s="1"/>
      <c r="B12" s="16" t="s">
        <v>150</v>
      </c>
      <c r="C12" s="16" t="s">
        <v>151</v>
      </c>
      <c r="D12" s="16" t="s">
        <v>152</v>
      </c>
      <c r="E12" s="16" t="s">
        <v>153</v>
      </c>
      <c r="F12" s="16" t="s">
        <v>154</v>
      </c>
      <c r="G12" s="16" t="s">
        <v>155</v>
      </c>
    </row>
    <row r="13" customFormat="false" ht="15" hidden="false" customHeight="false" outlineLevel="0" collapsed="false">
      <c r="A13" s="1"/>
      <c r="B13" s="19" t="n">
        <v>0</v>
      </c>
      <c r="C13" s="19" t="n">
        <f aca="false">C4</f>
        <v>1500000</v>
      </c>
      <c r="D13" s="19" t="n">
        <v>0</v>
      </c>
      <c r="E13" s="19" t="n">
        <v>0</v>
      </c>
      <c r="F13" s="19" t="n">
        <v>0</v>
      </c>
      <c r="G13" s="19" t="n">
        <f aca="false">C13</f>
        <v>1500000</v>
      </c>
    </row>
    <row r="14" customFormat="false" ht="15" hidden="false" customHeight="false" outlineLevel="0" collapsed="false">
      <c r="A14" s="1"/>
      <c r="B14" s="19" t="n">
        <f aca="false">B13+1</f>
        <v>1</v>
      </c>
      <c r="C14" s="19" t="n">
        <f aca="false">IF(B14&gt;$C$7,0,G13)</f>
        <v>1500000</v>
      </c>
      <c r="D14" s="19" t="n">
        <f aca="false">IF(C14&lt;=0.005,0,$C$8)</f>
        <v>148453.064758521</v>
      </c>
      <c r="E14" s="19" t="n">
        <f aca="false">C14*$C$6</f>
        <v>41250</v>
      </c>
      <c r="F14" s="19" t="n">
        <f aca="false">D14-E14</f>
        <v>107203.064758521</v>
      </c>
      <c r="G14" s="19" t="n">
        <f aca="false">C14-F14</f>
        <v>1392796.93524148</v>
      </c>
    </row>
    <row r="15" customFormat="false" ht="15" hidden="false" customHeight="false" outlineLevel="0" collapsed="false">
      <c r="A15" s="1"/>
      <c r="B15" s="19" t="n">
        <f aca="false">B14+1</f>
        <v>2</v>
      </c>
      <c r="C15" s="19" t="n">
        <f aca="false">IF(B15&gt;$C$7,0,G14)</f>
        <v>1392796.93524148</v>
      </c>
      <c r="D15" s="19" t="n">
        <f aca="false">IF(C15&lt;=0.005,0,$C$8)</f>
        <v>148453.064758521</v>
      </c>
      <c r="E15" s="19" t="n">
        <f aca="false">C15*$C$6</f>
        <v>38301.9157191407</v>
      </c>
      <c r="F15" s="19" t="n">
        <f aca="false">D15-E15</f>
        <v>110151.14903938</v>
      </c>
      <c r="G15" s="19" t="n">
        <f aca="false">C15-F15</f>
        <v>1282645.7862021</v>
      </c>
    </row>
    <row r="16" customFormat="false" ht="15" hidden="false" customHeight="false" outlineLevel="0" collapsed="false">
      <c r="A16" s="1"/>
      <c r="B16" s="19" t="n">
        <f aca="false">B15+1</f>
        <v>3</v>
      </c>
      <c r="C16" s="19" t="n">
        <f aca="false">IF(B16&gt;$C$7,0,G15)</f>
        <v>1282645.7862021</v>
      </c>
      <c r="D16" s="19" t="n">
        <f aca="false">IF(C16&lt;=0.005,0,$C$8)</f>
        <v>148453.064758521</v>
      </c>
      <c r="E16" s="19" t="n">
        <f aca="false">C16*$C$6</f>
        <v>35272.7591205577</v>
      </c>
      <c r="F16" s="19" t="n">
        <f aca="false">D16-E16</f>
        <v>113180.305637963</v>
      </c>
      <c r="G16" s="19" t="n">
        <f aca="false">C16-F16</f>
        <v>1169465.48056414</v>
      </c>
    </row>
    <row r="17" customFormat="false" ht="15" hidden="false" customHeight="false" outlineLevel="0" collapsed="false">
      <c r="A17" s="1"/>
      <c r="B17" s="19" t="n">
        <f aca="false">B16+1</f>
        <v>4</v>
      </c>
      <c r="C17" s="19" t="n">
        <f aca="false">IF(B17&gt;$C$7,0,G16)</f>
        <v>1169465.48056414</v>
      </c>
      <c r="D17" s="19" t="n">
        <f aca="false">IF(C17&lt;=0.005,0,$C$8)</f>
        <v>148453.064758521</v>
      </c>
      <c r="E17" s="19" t="n">
        <f aca="false">C17*$C$6</f>
        <v>32160.3007155138</v>
      </c>
      <c r="F17" s="19" t="n">
        <f aca="false">D17-E17</f>
        <v>116292.764043007</v>
      </c>
      <c r="G17" s="19" t="n">
        <f aca="false">C17-F17</f>
        <v>1053172.71652113</v>
      </c>
    </row>
    <row r="18" customFormat="false" ht="15" hidden="false" customHeight="false" outlineLevel="0" collapsed="false">
      <c r="A18" s="1"/>
      <c r="B18" s="19" t="n">
        <f aca="false">B17+1</f>
        <v>5</v>
      </c>
      <c r="C18" s="19" t="n">
        <f aca="false">IF(B18&gt;$C$7,0,G17)</f>
        <v>1053172.71652113</v>
      </c>
      <c r="D18" s="19" t="n">
        <f aca="false">IF(C18&lt;=0.005,0,$C$8)</f>
        <v>148453.064758521</v>
      </c>
      <c r="E18" s="19" t="n">
        <f aca="false">C18*$C$6</f>
        <v>28962.2497043311</v>
      </c>
      <c r="F18" s="19" t="n">
        <f aca="false">D18-E18</f>
        <v>119490.81505419</v>
      </c>
      <c r="G18" s="19" t="n">
        <f aca="false">C18-F18</f>
        <v>933681.90146694</v>
      </c>
    </row>
    <row r="19" customFormat="false" ht="15" hidden="false" customHeight="false" outlineLevel="0" collapsed="false">
      <c r="A19" s="1"/>
      <c r="B19" s="19" t="n">
        <f aca="false">B18+1</f>
        <v>6</v>
      </c>
      <c r="C19" s="19" t="n">
        <f aca="false">IF(B19&gt;$C$7,0,G18)</f>
        <v>933681.90146694</v>
      </c>
      <c r="D19" s="19" t="n">
        <f aca="false">IF(C19&lt;=0.005,0,$C$8)</f>
        <v>148453.064758521</v>
      </c>
      <c r="E19" s="19" t="n">
        <f aca="false">C19*$C$6</f>
        <v>25676.2522903409</v>
      </c>
      <c r="F19" s="19" t="n">
        <f aca="false">D19-E19</f>
        <v>122776.81246818</v>
      </c>
      <c r="G19" s="19" t="n">
        <f aca="false">C19-F19</f>
        <v>810905.08899876</v>
      </c>
    </row>
    <row r="20" customFormat="false" ht="15" hidden="false" customHeight="false" outlineLevel="0" collapsed="false">
      <c r="A20" s="1"/>
      <c r="B20" s="19" t="n">
        <f aca="false">B19+1</f>
        <v>7</v>
      </c>
      <c r="C20" s="19" t="n">
        <f aca="false">IF(B20&gt;$C$7,0,G19)</f>
        <v>810905.08899876</v>
      </c>
      <c r="D20" s="19" t="n">
        <f aca="false">IF(C20&lt;=0.005,0,$C$8)</f>
        <v>148453.064758521</v>
      </c>
      <c r="E20" s="19" t="n">
        <f aca="false">C20*$C$6</f>
        <v>22299.8899474659</v>
      </c>
      <c r="F20" s="19" t="n">
        <f aca="false">D20-E20</f>
        <v>126153.174811055</v>
      </c>
      <c r="G20" s="19" t="n">
        <f aca="false">C20-F20</f>
        <v>684751.914187706</v>
      </c>
    </row>
    <row r="21" customFormat="false" ht="15" hidden="false" customHeight="false" outlineLevel="0" collapsed="false">
      <c r="A21" s="1"/>
      <c r="B21" s="19" t="n">
        <f aca="false">B20+1</f>
        <v>8</v>
      </c>
      <c r="C21" s="19" t="n">
        <f aca="false">IF(B21&gt;$C$7,0,G20)</f>
        <v>684751.914187706</v>
      </c>
      <c r="D21" s="19" t="n">
        <f aca="false">IF(C21&lt;=0.005,0,$C$8)</f>
        <v>148453.064758521</v>
      </c>
      <c r="E21" s="19" t="n">
        <f aca="false">C21*$C$6</f>
        <v>18830.6776401619</v>
      </c>
      <c r="F21" s="19" t="n">
        <f aca="false">D21-E21</f>
        <v>129622.387118359</v>
      </c>
      <c r="G21" s="19" t="n">
        <f aca="false">C21-F21</f>
        <v>555129.527069347</v>
      </c>
    </row>
    <row r="22" customFormat="false" ht="15" hidden="false" customHeight="false" outlineLevel="0" collapsed="false">
      <c r="A22" s="1"/>
      <c r="B22" s="19" t="n">
        <f aca="false">B21+1</f>
        <v>9</v>
      </c>
      <c r="C22" s="19" t="n">
        <f aca="false">IF(B22&gt;$C$7,0,G21)</f>
        <v>555129.527069347</v>
      </c>
      <c r="D22" s="19" t="n">
        <f aca="false">IF(C22&lt;=0.005,0,$C$8)</f>
        <v>148453.064758521</v>
      </c>
      <c r="E22" s="19" t="n">
        <f aca="false">C22*$C$6</f>
        <v>15266.061994407</v>
      </c>
      <c r="F22" s="19" t="n">
        <f aca="false">D22-E22</f>
        <v>133187.002764114</v>
      </c>
      <c r="G22" s="19" t="n">
        <f aca="false">C22-F22</f>
        <v>421942.524305233</v>
      </c>
    </row>
    <row r="23" customFormat="false" ht="15" hidden="false" customHeight="false" outlineLevel="0" collapsed="false">
      <c r="A23" s="1"/>
      <c r="B23" s="19" t="n">
        <f aca="false">B22+1</f>
        <v>10</v>
      </c>
      <c r="C23" s="19" t="n">
        <f aca="false">IF(B23&gt;$C$7,0,G22)</f>
        <v>421942.524305233</v>
      </c>
      <c r="D23" s="19" t="n">
        <f aca="false">IF(C23&lt;=0.005,0,$C$8)</f>
        <v>148453.064758521</v>
      </c>
      <c r="E23" s="19" t="n">
        <f aca="false">C23*$C$6</f>
        <v>11603.4194183939</v>
      </c>
      <c r="F23" s="19" t="n">
        <f aca="false">D23-E23</f>
        <v>136849.645340127</v>
      </c>
      <c r="G23" s="19" t="n">
        <f aca="false">C23-F23</f>
        <v>285092.878965107</v>
      </c>
    </row>
    <row r="24" customFormat="false" ht="15" hidden="false" customHeight="false" outlineLevel="0" collapsed="false">
      <c r="A24" s="1"/>
      <c r="B24" s="19" t="n">
        <f aca="false">B23+1</f>
        <v>11</v>
      </c>
      <c r="C24" s="19" t="n">
        <f aca="false">IF(B24&gt;$C$7,0,G23)</f>
        <v>285092.878965107</v>
      </c>
      <c r="D24" s="19" t="n">
        <f aca="false">IF(C24&lt;=0.005,0,$C$8)</f>
        <v>148453.064758521</v>
      </c>
      <c r="E24" s="19" t="n">
        <f aca="false">C24*$C$6</f>
        <v>7840.05417154043</v>
      </c>
      <c r="F24" s="19" t="n">
        <f aca="false">D24-E24</f>
        <v>140613.01058698</v>
      </c>
      <c r="G24" s="19" t="n">
        <f aca="false">C24-F24</f>
        <v>144479.868378127</v>
      </c>
    </row>
    <row r="25" customFormat="false" ht="15" hidden="false" customHeight="false" outlineLevel="0" collapsed="false">
      <c r="A25" s="1"/>
      <c r="B25" s="19" t="n">
        <f aca="false">B24+1</f>
        <v>12</v>
      </c>
      <c r="C25" s="19" t="n">
        <f aca="false">IF(B25&gt;$C$7,0,G24)</f>
        <v>144479.868378127</v>
      </c>
      <c r="D25" s="19" t="n">
        <f aca="false">IF(C25&lt;=0.005,0,$C$8)</f>
        <v>148453.064758521</v>
      </c>
      <c r="E25" s="19" t="n">
        <f aca="false">C25*$C$6</f>
        <v>3973.19638039848</v>
      </c>
      <c r="F25" s="19" t="n">
        <f aca="false">D25-E25</f>
        <v>144479.868378122</v>
      </c>
      <c r="G25" s="19" t="n">
        <f aca="false">C25-F25</f>
        <v>4.36557456851006E-009</v>
      </c>
    </row>
    <row r="26" customFormat="false" ht="15" hidden="false" customHeight="false" outlineLevel="0" collapsed="false">
      <c r="A26" s="1"/>
      <c r="B26" s="19" t="n">
        <f aca="false">B25+1</f>
        <v>13</v>
      </c>
      <c r="C26" s="19" t="n">
        <f aca="false">IF(B26&gt;$C$7,0,G25)</f>
        <v>0</v>
      </c>
      <c r="D26" s="19" t="n">
        <f aca="false">IF(C26&lt;=0.005,0,$C$8)</f>
        <v>0</v>
      </c>
      <c r="E26" s="19" t="n">
        <f aca="false">C26*$C$6</f>
        <v>0</v>
      </c>
      <c r="F26" s="19" t="n">
        <f aca="false">D26-E26</f>
        <v>0</v>
      </c>
      <c r="G26" s="19" t="n">
        <f aca="false">C26-F26</f>
        <v>0</v>
      </c>
    </row>
    <row r="27" customFormat="false" ht="15" hidden="false" customHeight="false" outlineLevel="0" collapsed="false">
      <c r="A27" s="1"/>
      <c r="B27" s="19" t="n">
        <f aca="false">B26+1</f>
        <v>14</v>
      </c>
      <c r="C27" s="19" t="n">
        <f aca="false">IF(B27&gt;$C$7,0,G26)</f>
        <v>0</v>
      </c>
      <c r="D27" s="19" t="n">
        <f aca="false">IF(C27&lt;=0.005,0,$C$8)</f>
        <v>0</v>
      </c>
      <c r="E27" s="19" t="n">
        <f aca="false">C27*$C$6</f>
        <v>0</v>
      </c>
      <c r="F27" s="19" t="n">
        <f aca="false">D27-E27</f>
        <v>0</v>
      </c>
      <c r="G27" s="19" t="n">
        <f aca="false">C27-F27</f>
        <v>0</v>
      </c>
    </row>
    <row r="28" customFormat="false" ht="15" hidden="false" customHeight="false" outlineLevel="0" collapsed="false">
      <c r="A28" s="1"/>
      <c r="B28" s="19" t="n">
        <f aca="false">B27+1</f>
        <v>15</v>
      </c>
      <c r="C28" s="19" t="n">
        <f aca="false">IF(B28&gt;$C$7,0,G27)</f>
        <v>0</v>
      </c>
      <c r="D28" s="19" t="n">
        <f aca="false">IF(C28&lt;=0.005,0,$C$8)</f>
        <v>0</v>
      </c>
      <c r="E28" s="19" t="n">
        <f aca="false">C28*$C$6</f>
        <v>0</v>
      </c>
      <c r="F28" s="19" t="n">
        <f aca="false">D28-E28</f>
        <v>0</v>
      </c>
      <c r="G28" s="19" t="n">
        <f aca="false">C28-F28</f>
        <v>0</v>
      </c>
    </row>
    <row r="29" customFormat="false" ht="15" hidden="false" customHeight="false" outlineLevel="0" collapsed="false">
      <c r="A29" s="1"/>
      <c r="B29" s="19" t="n">
        <f aca="false">B28+1</f>
        <v>16</v>
      </c>
      <c r="C29" s="19" t="n">
        <f aca="false">IF(B29&gt;$C$7,0,G28)</f>
        <v>0</v>
      </c>
      <c r="D29" s="19" t="n">
        <f aca="false">IF(C29&lt;=0.005,0,$C$8)</f>
        <v>0</v>
      </c>
      <c r="E29" s="19" t="n">
        <f aca="false">C29*$C$6</f>
        <v>0</v>
      </c>
      <c r="F29" s="19" t="n">
        <f aca="false">D29-E29</f>
        <v>0</v>
      </c>
      <c r="G29" s="19" t="n">
        <f aca="false">C29-F29</f>
        <v>0</v>
      </c>
    </row>
    <row r="30" customFormat="false" ht="15" hidden="false" customHeight="false" outlineLevel="0" collapsed="false">
      <c r="A30" s="1"/>
      <c r="B30" s="19" t="n">
        <f aca="false">B29+1</f>
        <v>17</v>
      </c>
      <c r="C30" s="19" t="n">
        <f aca="false">IF(B30&gt;$C$7,0,G29)</f>
        <v>0</v>
      </c>
      <c r="D30" s="19" t="n">
        <f aca="false">IF(C30&lt;=0.005,0,$C$8)</f>
        <v>0</v>
      </c>
      <c r="E30" s="19" t="n">
        <f aca="false">C30*$C$6</f>
        <v>0</v>
      </c>
      <c r="F30" s="19" t="n">
        <f aca="false">D30-E30</f>
        <v>0</v>
      </c>
      <c r="G30" s="19" t="n">
        <f aca="false">C30-F30</f>
        <v>0</v>
      </c>
    </row>
    <row r="31" customFormat="false" ht="15" hidden="false" customHeight="false" outlineLevel="0" collapsed="false">
      <c r="A31" s="1"/>
      <c r="B31" s="19" t="n">
        <f aca="false">B30+1</f>
        <v>18</v>
      </c>
      <c r="C31" s="19" t="n">
        <f aca="false">IF(B31&gt;$C$7,0,G30)</f>
        <v>0</v>
      </c>
      <c r="D31" s="19" t="n">
        <f aca="false">IF(C31&lt;=0.005,0,$C$8)</f>
        <v>0</v>
      </c>
      <c r="E31" s="19" t="n">
        <f aca="false">C31*$C$6</f>
        <v>0</v>
      </c>
      <c r="F31" s="19" t="n">
        <f aca="false">D31-E31</f>
        <v>0</v>
      </c>
      <c r="G31" s="19" t="n">
        <f aca="false">C31-F31</f>
        <v>0</v>
      </c>
    </row>
    <row r="32" customFormat="false" ht="15" hidden="false" customHeight="false" outlineLevel="0" collapsed="false">
      <c r="A32" s="1"/>
      <c r="B32" s="19" t="n">
        <f aca="false">B31+1</f>
        <v>19</v>
      </c>
      <c r="C32" s="19" t="n">
        <f aca="false">IF(B32&gt;$C$7,0,G31)</f>
        <v>0</v>
      </c>
      <c r="D32" s="19" t="n">
        <f aca="false">IF(C32&lt;=0.005,0,$C$8)</f>
        <v>0</v>
      </c>
      <c r="E32" s="19" t="n">
        <f aca="false">C32*$C$6</f>
        <v>0</v>
      </c>
      <c r="F32" s="19" t="n">
        <f aca="false">D32-E32</f>
        <v>0</v>
      </c>
      <c r="G32" s="19" t="n">
        <f aca="false">C32-F32</f>
        <v>0</v>
      </c>
    </row>
    <row r="33" customFormat="false" ht="15" hidden="false" customHeight="false" outlineLevel="0" collapsed="false">
      <c r="A33" s="1"/>
      <c r="B33" s="19" t="n">
        <f aca="false">B32+1</f>
        <v>20</v>
      </c>
      <c r="C33" s="19" t="n">
        <f aca="false">IF(B33&gt;$C$7,0,G32)</f>
        <v>0</v>
      </c>
      <c r="D33" s="19" t="n">
        <f aca="false">IF(C33&lt;=0.005,0,$C$8)</f>
        <v>0</v>
      </c>
      <c r="E33" s="19" t="n">
        <f aca="false">C33*$C$6</f>
        <v>0</v>
      </c>
      <c r="F33" s="19" t="n">
        <f aca="false">D33-E33</f>
        <v>0</v>
      </c>
      <c r="G33" s="19" t="n">
        <f aca="false">C33-F33</f>
        <v>0</v>
      </c>
    </row>
    <row r="34" customFormat="false" ht="15" hidden="false" customHeight="false" outlineLevel="0" collapsed="false">
      <c r="A34" s="1"/>
      <c r="B34" s="19" t="n">
        <f aca="false">B33+1</f>
        <v>21</v>
      </c>
      <c r="C34" s="19" t="n">
        <f aca="false">IF(B34&gt;$C$7,0,G33)</f>
        <v>0</v>
      </c>
      <c r="D34" s="19" t="n">
        <f aca="false">IF(C34&lt;=0.005,0,$C$8)</f>
        <v>0</v>
      </c>
      <c r="E34" s="19" t="n">
        <f aca="false">C34*$C$6</f>
        <v>0</v>
      </c>
      <c r="F34" s="19" t="n">
        <f aca="false">D34-E34</f>
        <v>0</v>
      </c>
      <c r="G34" s="19" t="n">
        <f aca="false">C34-F34</f>
        <v>0</v>
      </c>
    </row>
    <row r="35" customFormat="false" ht="15" hidden="false" customHeight="false" outlineLevel="0" collapsed="false">
      <c r="A35" s="1"/>
      <c r="B35" s="19" t="n">
        <f aca="false">B34+1</f>
        <v>22</v>
      </c>
      <c r="C35" s="19" t="n">
        <f aca="false">IF(B35&gt;$C$7,0,G34)</f>
        <v>0</v>
      </c>
      <c r="D35" s="19" t="n">
        <f aca="false">IF(C35&lt;=0.005,0,$C$8)</f>
        <v>0</v>
      </c>
      <c r="E35" s="19" t="n">
        <f aca="false">C35*$C$6</f>
        <v>0</v>
      </c>
      <c r="F35" s="19" t="n">
        <f aca="false">D35-E35</f>
        <v>0</v>
      </c>
      <c r="G35" s="19" t="n">
        <f aca="false">C35-F35</f>
        <v>0</v>
      </c>
    </row>
    <row r="36" customFormat="false" ht="15" hidden="false" customHeight="false" outlineLevel="0" collapsed="false">
      <c r="A36" s="1"/>
      <c r="B36" s="19" t="n">
        <f aca="false">B35+1</f>
        <v>23</v>
      </c>
      <c r="C36" s="19" t="n">
        <f aca="false">IF(B36&gt;$C$7,0,G35)</f>
        <v>0</v>
      </c>
      <c r="D36" s="19" t="n">
        <f aca="false">IF(C36&lt;=0.005,0,$C$8)</f>
        <v>0</v>
      </c>
      <c r="E36" s="19" t="n">
        <f aca="false">C36*$C$6</f>
        <v>0</v>
      </c>
      <c r="F36" s="19" t="n">
        <f aca="false">D36-E36</f>
        <v>0</v>
      </c>
      <c r="G36" s="19" t="n">
        <f aca="false">C36-F36</f>
        <v>0</v>
      </c>
    </row>
    <row r="37" customFormat="false" ht="15" hidden="false" customHeight="false" outlineLevel="0" collapsed="false">
      <c r="A37" s="1"/>
      <c r="B37" s="19" t="n">
        <f aca="false">B36+1</f>
        <v>24</v>
      </c>
      <c r="C37" s="19" t="n">
        <f aca="false">IF(B37&gt;$C$7,0,G36)</f>
        <v>0</v>
      </c>
      <c r="D37" s="19" t="n">
        <f aca="false">IF(C37&lt;=0.005,0,$C$8)</f>
        <v>0</v>
      </c>
      <c r="E37" s="19" t="n">
        <f aca="false">C37*$C$6</f>
        <v>0</v>
      </c>
      <c r="F37" s="19" t="n">
        <f aca="false">D37-E37</f>
        <v>0</v>
      </c>
      <c r="G37" s="19" t="n">
        <f aca="false">C37-F37</f>
        <v>0</v>
      </c>
    </row>
    <row r="38" customFormat="false" ht="15" hidden="false" customHeight="false" outlineLevel="0" collapsed="false">
      <c r="A38" s="1"/>
      <c r="B38" s="19" t="n">
        <f aca="false">B37+1</f>
        <v>25</v>
      </c>
      <c r="C38" s="19" t="n">
        <f aca="false">IF(B38&gt;$C$7,0,G37)</f>
        <v>0</v>
      </c>
      <c r="D38" s="19" t="n">
        <f aca="false">IF(C38&lt;=0.005,0,$C$8)</f>
        <v>0</v>
      </c>
      <c r="E38" s="19" t="n">
        <f aca="false">C38*$C$6</f>
        <v>0</v>
      </c>
      <c r="F38" s="19" t="n">
        <f aca="false">D38-E38</f>
        <v>0</v>
      </c>
      <c r="G38" s="19" t="n">
        <f aca="false">C38-F38</f>
        <v>0</v>
      </c>
    </row>
    <row r="39" customFormat="false" ht="15" hidden="false" customHeight="false" outlineLevel="0" collapsed="false">
      <c r="A39" s="1"/>
      <c r="B39" s="19" t="n">
        <f aca="false">B38+1</f>
        <v>26</v>
      </c>
      <c r="C39" s="19" t="n">
        <f aca="false">IF(B39&gt;$C$7,0,G38)</f>
        <v>0</v>
      </c>
      <c r="D39" s="19" t="n">
        <f aca="false">IF(C39&lt;=0.005,0,$C$8)</f>
        <v>0</v>
      </c>
      <c r="E39" s="19" t="n">
        <f aca="false">C39*$C$6</f>
        <v>0</v>
      </c>
      <c r="F39" s="19" t="n">
        <f aca="false">D39-E39</f>
        <v>0</v>
      </c>
      <c r="G39" s="19" t="n">
        <f aca="false">C39-F39</f>
        <v>0</v>
      </c>
    </row>
    <row r="40" customFormat="false" ht="15" hidden="false" customHeight="false" outlineLevel="0" collapsed="false">
      <c r="A40" s="1"/>
      <c r="B40" s="19" t="n">
        <f aca="false">B39+1</f>
        <v>27</v>
      </c>
      <c r="C40" s="19" t="n">
        <f aca="false">IF(B40&gt;$C$7,0,G39)</f>
        <v>0</v>
      </c>
      <c r="D40" s="19" t="n">
        <f aca="false">IF(C40&lt;=0.005,0,$C$8)</f>
        <v>0</v>
      </c>
      <c r="E40" s="19" t="n">
        <f aca="false">C40*$C$6</f>
        <v>0</v>
      </c>
      <c r="F40" s="19" t="n">
        <f aca="false">D40-E40</f>
        <v>0</v>
      </c>
      <c r="G40" s="19" t="n">
        <f aca="false">C40-F40</f>
        <v>0</v>
      </c>
    </row>
    <row r="41" customFormat="false" ht="15" hidden="false" customHeight="false" outlineLevel="0" collapsed="false">
      <c r="A41" s="1"/>
      <c r="B41" s="19" t="n">
        <f aca="false">B40+1</f>
        <v>28</v>
      </c>
      <c r="C41" s="19" t="n">
        <f aca="false">IF(B41&gt;$C$7,0,G40)</f>
        <v>0</v>
      </c>
      <c r="D41" s="19" t="n">
        <f aca="false">IF(C41&lt;=0.005,0,$C$8)</f>
        <v>0</v>
      </c>
      <c r="E41" s="19" t="n">
        <f aca="false">C41*$C$6</f>
        <v>0</v>
      </c>
      <c r="F41" s="19" t="n">
        <f aca="false">D41-E41</f>
        <v>0</v>
      </c>
      <c r="G41" s="19" t="n">
        <f aca="false">C41-F41</f>
        <v>0</v>
      </c>
    </row>
    <row r="42" customFormat="false" ht="15" hidden="false" customHeight="false" outlineLevel="0" collapsed="false">
      <c r="A42" s="1"/>
      <c r="B42" s="19" t="n">
        <f aca="false">B41+1</f>
        <v>29</v>
      </c>
      <c r="C42" s="19" t="n">
        <f aca="false">IF(B42&gt;$C$7,0,G41)</f>
        <v>0</v>
      </c>
      <c r="D42" s="19" t="n">
        <f aca="false">IF(C42&lt;=0.005,0,$C$8)</f>
        <v>0</v>
      </c>
      <c r="E42" s="19" t="n">
        <f aca="false">C42*$C$6</f>
        <v>0</v>
      </c>
      <c r="F42" s="19" t="n">
        <f aca="false">D42-E42</f>
        <v>0</v>
      </c>
      <c r="G42" s="19" t="n">
        <f aca="false">C42-F42</f>
        <v>0</v>
      </c>
    </row>
    <row r="43" customFormat="false" ht="15" hidden="false" customHeight="false" outlineLevel="0" collapsed="false">
      <c r="A43" s="1"/>
      <c r="B43" s="19" t="n">
        <f aca="false">B42+1</f>
        <v>30</v>
      </c>
      <c r="C43" s="19" t="n">
        <f aca="false">IF(B43&gt;$C$7,0,G42)</f>
        <v>0</v>
      </c>
      <c r="D43" s="19" t="n">
        <f aca="false">IF(C43&lt;=0.005,0,$C$8)</f>
        <v>0</v>
      </c>
      <c r="E43" s="19" t="n">
        <f aca="false">C43*$C$6</f>
        <v>0</v>
      </c>
      <c r="F43" s="19" t="n">
        <f aca="false">D43-E43</f>
        <v>0</v>
      </c>
      <c r="G43" s="19" t="n">
        <f aca="false">C43-F43</f>
        <v>0</v>
      </c>
    </row>
    <row r="44" customFormat="false" ht="15" hidden="false" customHeight="false" outlineLevel="0" collapsed="false">
      <c r="A44" s="1"/>
      <c r="B44" s="19" t="n">
        <f aca="false">B43+1</f>
        <v>31</v>
      </c>
      <c r="C44" s="19" t="n">
        <f aca="false">IF(B44&gt;$C$7,0,G43)</f>
        <v>0</v>
      </c>
      <c r="D44" s="19" t="n">
        <f aca="false">IF(C44&lt;=0.005,0,$C$8)</f>
        <v>0</v>
      </c>
      <c r="E44" s="19" t="n">
        <f aca="false">C44*$C$6</f>
        <v>0</v>
      </c>
      <c r="F44" s="19" t="n">
        <f aca="false">D44-E44</f>
        <v>0</v>
      </c>
      <c r="G44" s="19" t="n">
        <f aca="false">C44-F44</f>
        <v>0</v>
      </c>
    </row>
    <row r="45" customFormat="false" ht="15" hidden="false" customHeight="false" outlineLevel="0" collapsed="false">
      <c r="A45" s="1"/>
      <c r="B45" s="19" t="n">
        <f aca="false">B44+1</f>
        <v>32</v>
      </c>
      <c r="C45" s="19" t="n">
        <f aca="false">IF(B45&gt;$C$7,0,G44)</f>
        <v>0</v>
      </c>
      <c r="D45" s="19" t="n">
        <f aca="false">IF(C45&lt;=0.005,0,$C$8)</f>
        <v>0</v>
      </c>
      <c r="E45" s="19" t="n">
        <f aca="false">C45*$C$6</f>
        <v>0</v>
      </c>
      <c r="F45" s="19" t="n">
        <f aca="false">D45-E45</f>
        <v>0</v>
      </c>
      <c r="G45" s="19" t="n">
        <f aca="false">C45-F45</f>
        <v>0</v>
      </c>
    </row>
    <row r="46" customFormat="false" ht="15" hidden="false" customHeight="false" outlineLevel="0" collapsed="false">
      <c r="A46" s="1"/>
      <c r="B46" s="19" t="n">
        <f aca="false">B45+1</f>
        <v>33</v>
      </c>
      <c r="C46" s="19" t="n">
        <f aca="false">IF(B46&gt;$C$7,0,G45)</f>
        <v>0</v>
      </c>
      <c r="D46" s="19" t="n">
        <f aca="false">IF(C46&lt;=0.005,0,$C$8)</f>
        <v>0</v>
      </c>
      <c r="E46" s="19" t="n">
        <f aca="false">C46*$C$6</f>
        <v>0</v>
      </c>
      <c r="F46" s="19" t="n">
        <f aca="false">D46-E46</f>
        <v>0</v>
      </c>
      <c r="G46" s="19" t="n">
        <f aca="false">C46-F46</f>
        <v>0</v>
      </c>
    </row>
    <row r="47" customFormat="false" ht="15" hidden="false" customHeight="false" outlineLevel="0" collapsed="false">
      <c r="A47" s="1"/>
      <c r="B47" s="19" t="n">
        <f aca="false">B46+1</f>
        <v>34</v>
      </c>
      <c r="C47" s="19" t="n">
        <f aca="false">IF(B47&gt;$C$7,0,G46)</f>
        <v>0</v>
      </c>
      <c r="D47" s="19" t="n">
        <f aca="false">IF(C47&lt;=0.005,0,$C$8)</f>
        <v>0</v>
      </c>
      <c r="E47" s="19" t="n">
        <f aca="false">C47*$C$6</f>
        <v>0</v>
      </c>
      <c r="F47" s="19" t="n">
        <f aca="false">D47-E47</f>
        <v>0</v>
      </c>
      <c r="G47" s="19" t="n">
        <f aca="false">C47-F47</f>
        <v>0</v>
      </c>
    </row>
    <row r="48" customFormat="false" ht="15" hidden="false" customHeight="false" outlineLevel="0" collapsed="false">
      <c r="A48" s="1"/>
      <c r="B48" s="19" t="n">
        <f aca="false">B47+1</f>
        <v>35</v>
      </c>
      <c r="C48" s="19" t="n">
        <f aca="false">IF(B48&gt;$C$7,0,G47)</f>
        <v>0</v>
      </c>
      <c r="D48" s="19" t="n">
        <f aca="false">IF(C48&lt;=0.005,0,$C$8)</f>
        <v>0</v>
      </c>
      <c r="E48" s="19" t="n">
        <f aca="false">C48*$C$6</f>
        <v>0</v>
      </c>
      <c r="F48" s="19" t="n">
        <f aca="false">D48-E48</f>
        <v>0</v>
      </c>
      <c r="G48" s="19" t="n">
        <f aca="false">C48-F48</f>
        <v>0</v>
      </c>
    </row>
    <row r="49" customFormat="false" ht="15" hidden="false" customHeight="false" outlineLevel="0" collapsed="false">
      <c r="A49" s="1"/>
      <c r="B49" s="19" t="n">
        <f aca="false">B48+1</f>
        <v>36</v>
      </c>
      <c r="C49" s="19" t="n">
        <f aca="false">IF(B49&gt;$C$7,0,G48)</f>
        <v>0</v>
      </c>
      <c r="D49" s="19" t="n">
        <f aca="false">IF(C49&lt;=0.005,0,$C$8)</f>
        <v>0</v>
      </c>
      <c r="E49" s="19" t="n">
        <f aca="false">C49*$C$6</f>
        <v>0</v>
      </c>
      <c r="F49" s="19" t="n">
        <f aca="false">D49-E49</f>
        <v>0</v>
      </c>
      <c r="G49" s="19" t="n">
        <f aca="false">C49-F49</f>
        <v>0</v>
      </c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" hidden="false" customHeight="false" outlineLevel="0" collapsed="false">
      <c r="A52" s="1"/>
      <c r="B52" s="16" t="s">
        <v>156</v>
      </c>
      <c r="C52" s="38"/>
      <c r="D52" s="1"/>
      <c r="E52" s="1"/>
      <c r="F52" s="1"/>
      <c r="G52" s="1"/>
    </row>
    <row r="53" customFormat="false" ht="15" hidden="false" customHeight="false" outlineLevel="0" collapsed="false">
      <c r="A53" s="1"/>
      <c r="B53" s="7" t="s">
        <v>157</v>
      </c>
      <c r="C53" s="19" t="n">
        <f aca="false">SUM(E14:E49)</f>
        <v>281436.777102252</v>
      </c>
      <c r="D53" s="1"/>
      <c r="E53" s="1"/>
      <c r="F53" s="1"/>
      <c r="G53" s="1"/>
    </row>
    <row r="54" customFormat="false" ht="15" hidden="false" customHeight="false" outlineLevel="0" collapsed="false">
      <c r="A54" s="1"/>
      <c r="B54" s="7" t="s">
        <v>148</v>
      </c>
      <c r="C54" s="19" t="n">
        <f aca="false">C9</f>
        <v>45000</v>
      </c>
      <c r="D54" s="1"/>
      <c r="E54" s="1"/>
      <c r="F54" s="1"/>
      <c r="G54" s="1"/>
    </row>
    <row r="55" customFormat="false" ht="15" hidden="false" customHeight="false" outlineLevel="0" collapsed="false">
      <c r="A55" s="1"/>
      <c r="B55" s="7" t="s">
        <v>158</v>
      </c>
      <c r="C55" s="19" t="n">
        <f aca="false">C53+C54</f>
        <v>326436.777102252</v>
      </c>
      <c r="D55" s="1"/>
      <c r="E55" s="1"/>
      <c r="F55" s="1"/>
      <c r="G55" s="1"/>
    </row>
    <row r="56" customFormat="false" ht="15" hidden="false" customHeight="false" outlineLevel="0" collapsed="false">
      <c r="A56" s="1"/>
      <c r="B56" s="7" t="s">
        <v>159</v>
      </c>
      <c r="C56" s="19" t="n">
        <f aca="false">SUM(C14:C49)*Supuestos!$C$16/12</f>
        <v>98758.7236013356</v>
      </c>
      <c r="D56" s="1"/>
      <c r="E56" s="1"/>
      <c r="F56" s="1"/>
      <c r="G56" s="1"/>
    </row>
    <row r="57" customFormat="false" ht="15" hidden="false" customHeight="false" outlineLevel="0" collapsed="false">
      <c r="A57" s="1"/>
      <c r="B57" s="23" t="s">
        <v>160</v>
      </c>
      <c r="C57" s="20" t="n">
        <f aca="false">C55-C56</f>
        <v>227678.053500916</v>
      </c>
      <c r="D57" s="1"/>
      <c r="E57" s="1"/>
      <c r="F57" s="1"/>
      <c r="G5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2" topLeftCell="C63" activePane="bottomRight" state="frozen"/>
      <selection pane="topLeft" activeCell="A1" activeCellId="0" sqref="A1"/>
      <selection pane="topRight" activeCell="C1" activeCellId="0" sqref="C1"/>
      <selection pane="bottomLeft" activeCell="A63" activeCellId="0" sqref="A6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62" min="3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customFormat="false" ht="17.35" hidden="false" customHeight="false" outlineLevel="0" collapsed="false">
      <c r="A2" s="1"/>
      <c r="B2" s="2" t="s">
        <v>161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customFormat="false" ht="15" hidden="false" customHeight="false" outlineLevel="0" collapsed="false">
      <c r="A3" s="1"/>
      <c r="B3" s="3" t="s">
        <v>162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customFormat="false" ht="15" hidden="false" customHeight="false" outlineLevel="0" collapsed="false">
      <c r="A5" s="1"/>
      <c r="B5" s="7" t="s">
        <v>42</v>
      </c>
      <c r="C5" s="25" t="n">
        <f aca="false">Supuestos!$C$13</f>
        <v>1500000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customFormat="false" ht="15" hidden="false" customHeight="false" outlineLevel="0" collapsed="false">
      <c r="A6" s="1"/>
      <c r="B6" s="7" t="s">
        <v>145</v>
      </c>
      <c r="C6" s="37" t="n">
        <f aca="false">Supuestos!$C$14/12</f>
        <v>0.0275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customFormat="false" ht="15" hidden="false" customHeight="false" outlineLevel="0" collapsed="false">
      <c r="A7" s="1"/>
      <c r="B7" s="7" t="s">
        <v>146</v>
      </c>
      <c r="C7" s="25" t="n">
        <f aca="false">Supuestos!$C$15</f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customFormat="false" ht="15" hidden="false" customHeight="false" outlineLevel="0" collapsed="false">
      <c r="A8" s="1"/>
      <c r="B8" s="7" t="s">
        <v>163</v>
      </c>
      <c r="C8" s="19" t="n">
        <f aca="false">C5*C6/(1-(1+C6)^(-C7))</f>
        <v>148453.064758521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customFormat="false" ht="15" hidden="false" customHeight="false" outlineLevel="0" collapsed="false">
      <c r="A9" s="1"/>
      <c r="B9" s="7" t="s">
        <v>164</v>
      </c>
      <c r="C9" s="25" t="n">
        <f aca="false">Supuestos!$C$23</f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customFormat="false" ht="15" hidden="false" customHeight="false" outlineLevel="0" collapsed="false">
      <c r="A10" s="1"/>
      <c r="B10" s="7" t="s">
        <v>86</v>
      </c>
      <c r="C10" s="25" t="n">
        <f aca="false">Supuestos!$C$24</f>
        <v>500000000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customFormat="false" ht="15" hidden="false" customHeight="false" outlineLevel="0" collapsed="false">
      <c r="A11" s="1"/>
      <c r="B11" s="7" t="s">
        <v>165</v>
      </c>
      <c r="C11" s="25" t="n">
        <f aca="false">Supuestos!$C$25</f>
        <v>48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customFormat="false" ht="15" hidden="false" customHeight="false" outlineLevel="0" collapsed="false">
      <c r="A12" s="1"/>
      <c r="B12" s="7" t="s">
        <v>166</v>
      </c>
      <c r="C12" s="39" t="n">
        <f aca="false">SUM(C24:C59)</f>
        <v>5.82270974793336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customFormat="false" ht="15" hidden="false" customHeight="false" outlineLevel="0" collapsed="false">
      <c r="A13" s="1"/>
      <c r="B13" s="7" t="s">
        <v>167</v>
      </c>
      <c r="C13" s="39" t="n">
        <f aca="false">SUMPRODUCT(D24:D59,C24:C59)</f>
        <v>253.700064212017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customFormat="false" ht="15" hidden="false" customHeight="false" outlineLevel="0" collapsed="false">
      <c r="A14" s="1"/>
      <c r="B14" s="7" t="s">
        <v>168</v>
      </c>
      <c r="C14" s="40" t="n">
        <f aca="false">IF(C13=0,0,(C10/C5-C9*C12)/C13)</f>
        <v>1.26798514945834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customFormat="false" ht="15" hidden="false" customHeight="false" outlineLevel="0" collapsed="false">
      <c r="A15" s="1"/>
      <c r="B15" s="7" t="s">
        <v>169</v>
      </c>
      <c r="C15" s="41" t="str">
        <f aca="false">Supuestos!$C$26</f>
        <v>Resolver para la meta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customFormat="false" ht="15" hidden="false" customHeight="false" outlineLevel="0" collapsed="false">
      <c r="A16" s="1"/>
      <c r="B16" s="7" t="s">
        <v>170</v>
      </c>
      <c r="C16" s="42" t="n">
        <f aca="false">Supuestos!$C$27</f>
        <v>1.5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customFormat="false" ht="15" hidden="false" customHeight="false" outlineLevel="0" collapsed="false">
      <c r="A17" s="1"/>
      <c r="B17" s="7" t="s">
        <v>171</v>
      </c>
      <c r="C17" s="40" t="n">
        <f aca="false">IF(C15="Rampa manual",C16,C14)</f>
        <v>1.26798514945834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customFormat="false" ht="15" hidden="false" customHeight="false" outlineLevel="0" collapsed="false">
      <c r="A18" s="1"/>
      <c r="B18" s="7" t="s">
        <v>172</v>
      </c>
      <c r="C18" s="19" t="n">
        <f aca="false">MIN(Supuestos!$C$42,MIN(C80:BJ80))</f>
        <v>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customFormat="false" ht="15" hidden="false" customHeight="false" outlineLevel="0" collapsed="false">
      <c r="A19" s="1"/>
      <c r="B19" s="7" t="s">
        <v>173</v>
      </c>
      <c r="C19" s="19" t="n">
        <f aca="false">INDEX(C75:BJ75,1,C11)</f>
        <v>500465980.886322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customFormat="false" ht="15" hidden="false" customHeight="false" outlineLevel="0" collapsed="false">
      <c r="A20" s="1"/>
      <c r="B20" s="7" t="s">
        <v>174</v>
      </c>
      <c r="C20" s="12" t="n">
        <f aca="false">IF(C10=0,0,C19/C10)</f>
        <v>1.00093196177264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customFormat="false" ht="15" hidden="false" customHeight="false" outlineLevel="0" collapsed="false">
      <c r="A23" s="1"/>
      <c r="B23" s="16" t="s">
        <v>175</v>
      </c>
      <c r="C23" s="16" t="s">
        <v>176</v>
      </c>
      <c r="D23" s="16" t="s">
        <v>177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customFormat="false" ht="15" hidden="false" customHeight="false" outlineLevel="0" collapsed="false">
      <c r="A24" s="1"/>
      <c r="B24" s="19" t="n">
        <v>1</v>
      </c>
      <c r="C24" s="39" t="n">
        <f aca="false">IF(B24&gt;$C$7,0,(1-(1+$C$6)^(-($C$7-B24)))/(1-(1+$C$6)^(-$C$7)))</f>
        <v>0.928531290160986</v>
      </c>
      <c r="D24" s="19" t="n">
        <f aca="false">IF(B24&gt;$C$7,0,$C$11-B24)</f>
        <v>47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customFormat="false" ht="15" hidden="false" customHeight="false" outlineLevel="0" collapsed="false">
      <c r="A25" s="1"/>
      <c r="B25" s="19" t="n">
        <v>2</v>
      </c>
      <c r="C25" s="39" t="n">
        <f aca="false">IF(B25&gt;$C$7,0,(1-(1+$C$6)^(-($C$7-B25)))/(1-(1+$C$6)^(-$C$7)))</f>
        <v>0.855097190801399</v>
      </c>
      <c r="D25" s="19" t="n">
        <f aca="false">IF(B25&gt;$C$7,0,$C$11-B25)</f>
        <v>46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customFormat="false" ht="15" hidden="false" customHeight="false" outlineLevel="0" collapsed="false">
      <c r="A26" s="1"/>
      <c r="B26" s="19" t="n">
        <v>3</v>
      </c>
      <c r="C26" s="39" t="n">
        <f aca="false">IF(B26&gt;$C$7,0,(1-(1+$C$6)^(-($C$7-B26)))/(1-(1+$C$6)^(-$C$7)))</f>
        <v>0.779643653709424</v>
      </c>
      <c r="D26" s="19" t="n">
        <f aca="false">IF(B26&gt;$C$7,0,$C$11-B26)</f>
        <v>45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customFormat="false" ht="15" hidden="false" customHeight="false" outlineLevel="0" collapsed="false">
      <c r="A27" s="1"/>
      <c r="B27" s="19" t="n">
        <v>4</v>
      </c>
      <c r="C27" s="39" t="n">
        <f aca="false">IF(B27&gt;$C$7,0,(1-(1+$C$6)^(-($C$7-B27)))/(1-(1+$C$6)^(-$C$7)))</f>
        <v>0.702115144347419</v>
      </c>
      <c r="D27" s="19" t="n">
        <f aca="false">IF(B27&gt;$C$7,0,$C$11-B27)</f>
        <v>44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customFormat="false" ht="15" hidden="false" customHeight="false" outlineLevel="0" collapsed="false">
      <c r="A28" s="1"/>
      <c r="B28" s="19" t="n">
        <v>5</v>
      </c>
      <c r="C28" s="39" t="n">
        <f aca="false">IF(B28&gt;$C$7,0,(1-(1+$C$6)^(-($C$7-B28)))/(1-(1+$C$6)^(-$C$7)))</f>
        <v>0.622454600977959</v>
      </c>
      <c r="D28" s="19" t="n">
        <f aca="false">IF(B28&gt;$C$7,0,$C$11-B28)</f>
        <v>43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customFormat="false" ht="15" hidden="false" customHeight="false" outlineLevel="0" collapsed="false">
      <c r="A29" s="1"/>
      <c r="B29" s="19" t="n">
        <v>6</v>
      </c>
      <c r="C29" s="39" t="n">
        <f aca="false">IF(B29&gt;$C$7,0,(1-(1+$C$6)^(-($C$7-B29)))/(1-(1+$C$6)^(-$C$7)))</f>
        <v>0.540603392665839</v>
      </c>
      <c r="D29" s="19" t="n">
        <f aca="false">IF(B29&gt;$C$7,0,$C$11-B29)</f>
        <v>42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customFormat="false" ht="15" hidden="false" customHeight="false" outlineLevel="0" collapsed="false">
      <c r="A30" s="1"/>
      <c r="B30" s="19" t="n">
        <v>7</v>
      </c>
      <c r="C30" s="39" t="n">
        <f aca="false">IF(B30&gt;$C$7,0,(1-(1+$C$6)^(-($C$7-B30)))/(1-(1+$C$6)^(-$C$7)))</f>
        <v>0.456501276125136</v>
      </c>
      <c r="D30" s="19" t="n">
        <f aca="false">IF(B30&gt;$C$7,0,$C$11-B30)</f>
        <v>41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customFormat="false" ht="15" hidden="false" customHeight="false" outlineLevel="0" collapsed="false">
      <c r="A31" s="1"/>
      <c r="B31" s="19" t="n">
        <v>8</v>
      </c>
      <c r="C31" s="39" t="n">
        <f aca="false">IF(B31&gt;$C$7,0,(1-(1+$C$6)^(-($C$7-B31)))/(1-(1+$C$6)^(-$C$7)))</f>
        <v>0.370086351379563</v>
      </c>
      <c r="D31" s="19" t="n">
        <f aca="false">IF(B31&gt;$C$7,0,$C$11-B31)</f>
        <v>40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customFormat="false" ht="15" hidden="false" customHeight="false" outlineLevel="0" collapsed="false">
      <c r="A32" s="1"/>
      <c r="B32" s="19" t="n">
        <v>9</v>
      </c>
      <c r="C32" s="39" t="n">
        <f aca="false">IF(B32&gt;$C$7,0,(1-(1+$C$6)^(-($C$7-B32)))/(1-(1+$C$6)^(-$C$7)))</f>
        <v>0.281295016203487</v>
      </c>
      <c r="D32" s="19" t="n">
        <f aca="false">IF(B32&gt;$C$7,0,$C$11-B32)</f>
        <v>39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customFormat="false" ht="15" hidden="false" customHeight="false" outlineLevel="0" collapsed="false">
      <c r="A33" s="1"/>
      <c r="B33" s="19" t="n">
        <v>10</v>
      </c>
      <c r="C33" s="39" t="n">
        <f aca="false">IF(B33&gt;$C$7,0,(1-(1+$C$6)^(-($C$7-B33)))/(1-(1+$C$6)^(-$C$7)))</f>
        <v>0.190061919310069</v>
      </c>
      <c r="D33" s="19" t="n">
        <f aca="false">IF(B33&gt;$C$7,0,$C$11-B33)</f>
        <v>38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customFormat="false" ht="15" hidden="false" customHeight="false" outlineLevel="0" collapsed="false">
      <c r="A34" s="1"/>
      <c r="B34" s="19" t="n">
        <v>11</v>
      </c>
      <c r="C34" s="39" t="n">
        <f aca="false">IF(B34&gt;$C$7,0,(1-(1+$C$6)^(-($C$7-B34)))/(1-(1+$C$6)^(-$C$7)))</f>
        <v>0.0963199122520818</v>
      </c>
      <c r="D34" s="19" t="n">
        <f aca="false">IF(B34&gt;$C$7,0,$C$11-B34)</f>
        <v>37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customFormat="false" ht="15" hidden="false" customHeight="false" outlineLevel="0" collapsed="false">
      <c r="A35" s="1"/>
      <c r="B35" s="19" t="n">
        <v>12</v>
      </c>
      <c r="C35" s="39" t="n">
        <f aca="false">IF(B35&gt;$C$7,0,(1-(1+$C$6)^(-($C$7-B35)))/(1-(1+$C$6)^(-$C$7)))</f>
        <v>0</v>
      </c>
      <c r="D35" s="19" t="n">
        <f aca="false">IF(B35&gt;$C$7,0,$C$11-B35)</f>
        <v>36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customFormat="false" ht="15" hidden="false" customHeight="false" outlineLevel="0" collapsed="false">
      <c r="A36" s="1"/>
      <c r="B36" s="19" t="n">
        <v>13</v>
      </c>
      <c r="C36" s="39" t="n">
        <f aca="false">IF(B36&gt;$C$7,0,(1-(1+$C$6)^(-($C$7-B36)))/(1-(1+$C$6)^(-$C$7)))</f>
        <v>0</v>
      </c>
      <c r="D36" s="19" t="n">
        <f aca="false">IF(B36&gt;$C$7,0,$C$11-B36)</f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customFormat="false" ht="15" hidden="false" customHeight="false" outlineLevel="0" collapsed="false">
      <c r="A37" s="1"/>
      <c r="B37" s="19" t="n">
        <v>14</v>
      </c>
      <c r="C37" s="39" t="n">
        <f aca="false">IF(B37&gt;$C$7,0,(1-(1+$C$6)^(-($C$7-B37)))/(1-(1+$C$6)^(-$C$7)))</f>
        <v>0</v>
      </c>
      <c r="D37" s="19" t="n">
        <f aca="false">IF(B37&gt;$C$7,0,$C$11-B37)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customFormat="false" ht="15" hidden="false" customHeight="false" outlineLevel="0" collapsed="false">
      <c r="A38" s="1"/>
      <c r="B38" s="19" t="n">
        <v>15</v>
      </c>
      <c r="C38" s="39" t="n">
        <f aca="false">IF(B38&gt;$C$7,0,(1-(1+$C$6)^(-($C$7-B38)))/(1-(1+$C$6)^(-$C$7)))</f>
        <v>0</v>
      </c>
      <c r="D38" s="19" t="n">
        <f aca="false">IF(B38&gt;$C$7,0,$C$11-B38)</f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customFormat="false" ht="15" hidden="false" customHeight="false" outlineLevel="0" collapsed="false">
      <c r="A39" s="1"/>
      <c r="B39" s="19" t="n">
        <v>16</v>
      </c>
      <c r="C39" s="39" t="n">
        <f aca="false">IF(B39&gt;$C$7,0,(1-(1+$C$6)^(-($C$7-B39)))/(1-(1+$C$6)^(-$C$7)))</f>
        <v>0</v>
      </c>
      <c r="D39" s="19" t="n">
        <f aca="false">IF(B39&gt;$C$7,0,$C$11-B39)</f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customFormat="false" ht="15" hidden="false" customHeight="false" outlineLevel="0" collapsed="false">
      <c r="A40" s="1"/>
      <c r="B40" s="19" t="n">
        <v>17</v>
      </c>
      <c r="C40" s="39" t="n">
        <f aca="false">IF(B40&gt;$C$7,0,(1-(1+$C$6)^(-($C$7-B40)))/(1-(1+$C$6)^(-$C$7)))</f>
        <v>0</v>
      </c>
      <c r="D40" s="19" t="n">
        <f aca="false">IF(B40&gt;$C$7,0,$C$11-B40)</f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customFormat="false" ht="15" hidden="false" customHeight="false" outlineLevel="0" collapsed="false">
      <c r="A41" s="1"/>
      <c r="B41" s="19" t="n">
        <v>18</v>
      </c>
      <c r="C41" s="39" t="n">
        <f aca="false">IF(B41&gt;$C$7,0,(1-(1+$C$6)^(-($C$7-B41)))/(1-(1+$C$6)^(-$C$7)))</f>
        <v>0</v>
      </c>
      <c r="D41" s="19" t="n">
        <f aca="false">IF(B41&gt;$C$7,0,$C$11-B41)</f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customFormat="false" ht="15" hidden="false" customHeight="false" outlineLevel="0" collapsed="false">
      <c r="A42" s="1"/>
      <c r="B42" s="19" t="n">
        <v>19</v>
      </c>
      <c r="C42" s="39" t="n">
        <f aca="false">IF(B42&gt;$C$7,0,(1-(1+$C$6)^(-($C$7-B42)))/(1-(1+$C$6)^(-$C$7)))</f>
        <v>0</v>
      </c>
      <c r="D42" s="19" t="n">
        <f aca="false">IF(B42&gt;$C$7,0,$C$11-B42)</f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customFormat="false" ht="15" hidden="false" customHeight="false" outlineLevel="0" collapsed="false">
      <c r="A43" s="1"/>
      <c r="B43" s="19" t="n">
        <v>20</v>
      </c>
      <c r="C43" s="39" t="n">
        <f aca="false">IF(B43&gt;$C$7,0,(1-(1+$C$6)^(-($C$7-B43)))/(1-(1+$C$6)^(-$C$7)))</f>
        <v>0</v>
      </c>
      <c r="D43" s="19" t="n">
        <f aca="false">IF(B43&gt;$C$7,0,$C$11-B43)</f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customFormat="false" ht="15" hidden="false" customHeight="false" outlineLevel="0" collapsed="false">
      <c r="A44" s="1"/>
      <c r="B44" s="19" t="n">
        <v>21</v>
      </c>
      <c r="C44" s="39" t="n">
        <f aca="false">IF(B44&gt;$C$7,0,(1-(1+$C$6)^(-($C$7-B44)))/(1-(1+$C$6)^(-$C$7)))</f>
        <v>0</v>
      </c>
      <c r="D44" s="19" t="n">
        <f aca="false">IF(B44&gt;$C$7,0,$C$11-B44)</f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customFormat="false" ht="15" hidden="false" customHeight="false" outlineLevel="0" collapsed="false">
      <c r="A45" s="1"/>
      <c r="B45" s="19" t="n">
        <v>22</v>
      </c>
      <c r="C45" s="39" t="n">
        <f aca="false">IF(B45&gt;$C$7,0,(1-(1+$C$6)^(-($C$7-B45)))/(1-(1+$C$6)^(-$C$7)))</f>
        <v>0</v>
      </c>
      <c r="D45" s="19" t="n">
        <f aca="false">IF(B45&gt;$C$7,0,$C$11-B45)</f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customFormat="false" ht="15" hidden="false" customHeight="false" outlineLevel="0" collapsed="false">
      <c r="A46" s="1"/>
      <c r="B46" s="19" t="n">
        <v>23</v>
      </c>
      <c r="C46" s="39" t="n">
        <f aca="false">IF(B46&gt;$C$7,0,(1-(1+$C$6)^(-($C$7-B46)))/(1-(1+$C$6)^(-$C$7)))</f>
        <v>0</v>
      </c>
      <c r="D46" s="19" t="n">
        <f aca="false">IF(B46&gt;$C$7,0,$C$11-B46)</f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customFormat="false" ht="15" hidden="false" customHeight="false" outlineLevel="0" collapsed="false">
      <c r="A47" s="1"/>
      <c r="B47" s="19" t="n">
        <v>24</v>
      </c>
      <c r="C47" s="39" t="n">
        <f aca="false">IF(B47&gt;$C$7,0,(1-(1+$C$6)^(-($C$7-B47)))/(1-(1+$C$6)^(-$C$7)))</f>
        <v>0</v>
      </c>
      <c r="D47" s="19" t="n">
        <f aca="false">IF(B47&gt;$C$7,0,$C$11-B47)</f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customFormat="false" ht="15" hidden="false" customHeight="false" outlineLevel="0" collapsed="false">
      <c r="A48" s="1"/>
      <c r="B48" s="19" t="n">
        <v>25</v>
      </c>
      <c r="C48" s="39" t="n">
        <f aca="false">IF(B48&gt;$C$7,0,(1-(1+$C$6)^(-($C$7-B48)))/(1-(1+$C$6)^(-$C$7)))</f>
        <v>0</v>
      </c>
      <c r="D48" s="19" t="n">
        <f aca="false">IF(B48&gt;$C$7,0,$C$11-B48)</f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customFormat="false" ht="15" hidden="false" customHeight="false" outlineLevel="0" collapsed="false">
      <c r="A49" s="1"/>
      <c r="B49" s="19" t="n">
        <v>26</v>
      </c>
      <c r="C49" s="39" t="n">
        <f aca="false">IF(B49&gt;$C$7,0,(1-(1+$C$6)^(-($C$7-B49)))/(1-(1+$C$6)^(-$C$7)))</f>
        <v>0</v>
      </c>
      <c r="D49" s="19" t="n">
        <f aca="false">IF(B49&gt;$C$7,0,$C$11-B49)</f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customFormat="false" ht="15" hidden="false" customHeight="false" outlineLevel="0" collapsed="false">
      <c r="A50" s="1"/>
      <c r="B50" s="19" t="n">
        <v>27</v>
      </c>
      <c r="C50" s="39" t="n">
        <f aca="false">IF(B50&gt;$C$7,0,(1-(1+$C$6)^(-($C$7-B50)))/(1-(1+$C$6)^(-$C$7)))</f>
        <v>0</v>
      </c>
      <c r="D50" s="19" t="n">
        <f aca="false">IF(B50&gt;$C$7,0,$C$11-B50)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customFormat="false" ht="15" hidden="false" customHeight="false" outlineLevel="0" collapsed="false">
      <c r="A51" s="1"/>
      <c r="B51" s="19" t="n">
        <v>28</v>
      </c>
      <c r="C51" s="39" t="n">
        <f aca="false">IF(B51&gt;$C$7,0,(1-(1+$C$6)^(-($C$7-B51)))/(1-(1+$C$6)^(-$C$7)))</f>
        <v>0</v>
      </c>
      <c r="D51" s="19" t="n">
        <f aca="false">IF(B51&gt;$C$7,0,$C$11-B51)</f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customFormat="false" ht="15" hidden="false" customHeight="false" outlineLevel="0" collapsed="false">
      <c r="A52" s="1"/>
      <c r="B52" s="19" t="n">
        <v>29</v>
      </c>
      <c r="C52" s="39" t="n">
        <f aca="false">IF(B52&gt;$C$7,0,(1-(1+$C$6)^(-($C$7-B52)))/(1-(1+$C$6)^(-$C$7)))</f>
        <v>0</v>
      </c>
      <c r="D52" s="19" t="n">
        <f aca="false">IF(B52&gt;$C$7,0,$C$11-B52)</f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customFormat="false" ht="15" hidden="false" customHeight="false" outlineLevel="0" collapsed="false">
      <c r="A53" s="1"/>
      <c r="B53" s="19" t="n">
        <v>30</v>
      </c>
      <c r="C53" s="39" t="n">
        <f aca="false">IF(B53&gt;$C$7,0,(1-(1+$C$6)^(-($C$7-B53)))/(1-(1+$C$6)^(-$C$7)))</f>
        <v>0</v>
      </c>
      <c r="D53" s="19" t="n">
        <f aca="false">IF(B53&gt;$C$7,0,$C$11-B53)</f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customFormat="false" ht="15" hidden="false" customHeight="false" outlineLevel="0" collapsed="false">
      <c r="A54" s="1"/>
      <c r="B54" s="19" t="n">
        <v>31</v>
      </c>
      <c r="C54" s="39" t="n">
        <f aca="false">IF(B54&gt;$C$7,0,(1-(1+$C$6)^(-($C$7-B54)))/(1-(1+$C$6)^(-$C$7)))</f>
        <v>0</v>
      </c>
      <c r="D54" s="19" t="n">
        <f aca="false">IF(B54&gt;$C$7,0,$C$11-B54)</f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customFormat="false" ht="15" hidden="false" customHeight="false" outlineLevel="0" collapsed="false">
      <c r="A55" s="1"/>
      <c r="B55" s="19" t="n">
        <v>32</v>
      </c>
      <c r="C55" s="39" t="n">
        <f aca="false">IF(B55&gt;$C$7,0,(1-(1+$C$6)^(-($C$7-B55)))/(1-(1+$C$6)^(-$C$7)))</f>
        <v>0</v>
      </c>
      <c r="D55" s="19" t="n">
        <f aca="false">IF(B55&gt;$C$7,0,$C$11-B55)</f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customFormat="false" ht="15" hidden="false" customHeight="false" outlineLevel="0" collapsed="false">
      <c r="A56" s="1"/>
      <c r="B56" s="19" t="n">
        <v>33</v>
      </c>
      <c r="C56" s="39" t="n">
        <f aca="false">IF(B56&gt;$C$7,0,(1-(1+$C$6)^(-($C$7-B56)))/(1-(1+$C$6)^(-$C$7)))</f>
        <v>0</v>
      </c>
      <c r="D56" s="19" t="n">
        <f aca="false">IF(B56&gt;$C$7,0,$C$11-B56)</f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customFormat="false" ht="15" hidden="false" customHeight="false" outlineLevel="0" collapsed="false">
      <c r="A57" s="1"/>
      <c r="B57" s="19" t="n">
        <v>34</v>
      </c>
      <c r="C57" s="39" t="n">
        <f aca="false">IF(B57&gt;$C$7,0,(1-(1+$C$6)^(-($C$7-B57)))/(1-(1+$C$6)^(-$C$7)))</f>
        <v>0</v>
      </c>
      <c r="D57" s="19" t="n">
        <f aca="false">IF(B57&gt;$C$7,0,$C$11-B57)</f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customFormat="false" ht="15" hidden="false" customHeight="false" outlineLevel="0" collapsed="false">
      <c r="A58" s="1"/>
      <c r="B58" s="19" t="n">
        <v>35</v>
      </c>
      <c r="C58" s="39" t="n">
        <f aca="false">IF(B58&gt;$C$7,0,(1-(1+$C$6)^(-($C$7-B58)))/(1-(1+$C$6)^(-$C$7)))</f>
        <v>0</v>
      </c>
      <c r="D58" s="19" t="n">
        <f aca="false">IF(B58&gt;$C$7,0,$C$11-B58)</f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customFormat="false" ht="15" hidden="false" customHeight="false" outlineLevel="0" collapsed="false">
      <c r="A59" s="1"/>
      <c r="B59" s="19" t="n">
        <v>36</v>
      </c>
      <c r="C59" s="39" t="n">
        <f aca="false">IF(B59&gt;$C$7,0,(1-(1+$C$6)^(-($C$7-B59)))/(1-(1+$C$6)^(-$C$7)))</f>
        <v>0</v>
      </c>
      <c r="D59" s="19" t="n">
        <f aca="false">IF(B59&gt;$C$7,0,$C$11-B59)</f>
        <v>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customFormat="false" ht="15" hidden="false" customHeight="false" outlineLevel="0" collapsed="false">
      <c r="A61" s="1"/>
      <c r="B61" s="6" t="s">
        <v>178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</row>
    <row r="62" customFormat="false" ht="15" hidden="false" customHeight="false" outlineLevel="0" collapsed="false">
      <c r="A62" s="1"/>
      <c r="B62" s="23" t="s">
        <v>179</v>
      </c>
      <c r="C62" s="43" t="n">
        <v>1</v>
      </c>
      <c r="D62" s="43" t="n">
        <f aca="false">C62+1</f>
        <v>2</v>
      </c>
      <c r="E62" s="43" t="n">
        <f aca="false">D62+1</f>
        <v>3</v>
      </c>
      <c r="F62" s="43" t="n">
        <f aca="false">E62+1</f>
        <v>4</v>
      </c>
      <c r="G62" s="43" t="n">
        <f aca="false">F62+1</f>
        <v>5</v>
      </c>
      <c r="H62" s="43" t="n">
        <f aca="false">G62+1</f>
        <v>6</v>
      </c>
      <c r="I62" s="43" t="n">
        <f aca="false">H62+1</f>
        <v>7</v>
      </c>
      <c r="J62" s="43" t="n">
        <f aca="false">I62+1</f>
        <v>8</v>
      </c>
      <c r="K62" s="43" t="n">
        <f aca="false">J62+1</f>
        <v>9</v>
      </c>
      <c r="L62" s="43" t="n">
        <f aca="false">K62+1</f>
        <v>10</v>
      </c>
      <c r="M62" s="43" t="n">
        <f aca="false">L62+1</f>
        <v>11</v>
      </c>
      <c r="N62" s="43" t="n">
        <f aca="false">M62+1</f>
        <v>12</v>
      </c>
      <c r="O62" s="43" t="n">
        <f aca="false">N62+1</f>
        <v>13</v>
      </c>
      <c r="P62" s="43" t="n">
        <f aca="false">O62+1</f>
        <v>14</v>
      </c>
      <c r="Q62" s="43" t="n">
        <f aca="false">P62+1</f>
        <v>15</v>
      </c>
      <c r="R62" s="43" t="n">
        <f aca="false">Q62+1</f>
        <v>16</v>
      </c>
      <c r="S62" s="43" t="n">
        <f aca="false">R62+1</f>
        <v>17</v>
      </c>
      <c r="T62" s="43" t="n">
        <f aca="false">S62+1</f>
        <v>18</v>
      </c>
      <c r="U62" s="43" t="n">
        <f aca="false">T62+1</f>
        <v>19</v>
      </c>
      <c r="V62" s="43" t="n">
        <f aca="false">U62+1</f>
        <v>20</v>
      </c>
      <c r="W62" s="43" t="n">
        <f aca="false">V62+1</f>
        <v>21</v>
      </c>
      <c r="X62" s="43" t="n">
        <f aca="false">W62+1</f>
        <v>22</v>
      </c>
      <c r="Y62" s="43" t="n">
        <f aca="false">X62+1</f>
        <v>23</v>
      </c>
      <c r="Z62" s="43" t="n">
        <f aca="false">Y62+1</f>
        <v>24</v>
      </c>
      <c r="AA62" s="43" t="n">
        <f aca="false">Z62+1</f>
        <v>25</v>
      </c>
      <c r="AB62" s="43" t="n">
        <f aca="false">AA62+1</f>
        <v>26</v>
      </c>
      <c r="AC62" s="43" t="n">
        <f aca="false">AB62+1</f>
        <v>27</v>
      </c>
      <c r="AD62" s="43" t="n">
        <f aca="false">AC62+1</f>
        <v>28</v>
      </c>
      <c r="AE62" s="43" t="n">
        <f aca="false">AD62+1</f>
        <v>29</v>
      </c>
      <c r="AF62" s="43" t="n">
        <f aca="false">AE62+1</f>
        <v>30</v>
      </c>
      <c r="AG62" s="43" t="n">
        <f aca="false">AF62+1</f>
        <v>31</v>
      </c>
      <c r="AH62" s="43" t="n">
        <f aca="false">AG62+1</f>
        <v>32</v>
      </c>
      <c r="AI62" s="43" t="n">
        <f aca="false">AH62+1</f>
        <v>33</v>
      </c>
      <c r="AJ62" s="43" t="n">
        <f aca="false">AI62+1</f>
        <v>34</v>
      </c>
      <c r="AK62" s="43" t="n">
        <f aca="false">AJ62+1</f>
        <v>35</v>
      </c>
      <c r="AL62" s="43" t="n">
        <f aca="false">AK62+1</f>
        <v>36</v>
      </c>
      <c r="AM62" s="43" t="n">
        <f aca="false">AL62+1</f>
        <v>37</v>
      </c>
      <c r="AN62" s="43" t="n">
        <f aca="false">AM62+1</f>
        <v>38</v>
      </c>
      <c r="AO62" s="43" t="n">
        <f aca="false">AN62+1</f>
        <v>39</v>
      </c>
      <c r="AP62" s="43" t="n">
        <f aca="false">AO62+1</f>
        <v>40</v>
      </c>
      <c r="AQ62" s="43" t="n">
        <f aca="false">AP62+1</f>
        <v>41</v>
      </c>
      <c r="AR62" s="43" t="n">
        <f aca="false">AQ62+1</f>
        <v>42</v>
      </c>
      <c r="AS62" s="43" t="n">
        <f aca="false">AR62+1</f>
        <v>43</v>
      </c>
      <c r="AT62" s="43" t="n">
        <f aca="false">AS62+1</f>
        <v>44</v>
      </c>
      <c r="AU62" s="43" t="n">
        <f aca="false">AT62+1</f>
        <v>45</v>
      </c>
      <c r="AV62" s="43" t="n">
        <f aca="false">AU62+1</f>
        <v>46</v>
      </c>
      <c r="AW62" s="43" t="n">
        <f aca="false">AV62+1</f>
        <v>47</v>
      </c>
      <c r="AX62" s="43" t="n">
        <f aca="false">AW62+1</f>
        <v>48</v>
      </c>
      <c r="AY62" s="43" t="n">
        <f aca="false">AX62+1</f>
        <v>49</v>
      </c>
      <c r="AZ62" s="43" t="n">
        <f aca="false">AY62+1</f>
        <v>50</v>
      </c>
      <c r="BA62" s="43" t="n">
        <f aca="false">AZ62+1</f>
        <v>51</v>
      </c>
      <c r="BB62" s="43" t="n">
        <f aca="false">BA62+1</f>
        <v>52</v>
      </c>
      <c r="BC62" s="43" t="n">
        <f aca="false">BB62+1</f>
        <v>53</v>
      </c>
      <c r="BD62" s="43" t="n">
        <f aca="false">BC62+1</f>
        <v>54</v>
      </c>
      <c r="BE62" s="43" t="n">
        <f aca="false">BD62+1</f>
        <v>55</v>
      </c>
      <c r="BF62" s="43" t="n">
        <f aca="false">BE62+1</f>
        <v>56</v>
      </c>
      <c r="BG62" s="43" t="n">
        <f aca="false">BF62+1</f>
        <v>57</v>
      </c>
      <c r="BH62" s="43" t="n">
        <f aca="false">BG62+1</f>
        <v>58</v>
      </c>
      <c r="BI62" s="43" t="n">
        <f aca="false">BH62+1</f>
        <v>59</v>
      </c>
      <c r="BJ62" s="43" t="n">
        <f aca="false">BI62+1</f>
        <v>60</v>
      </c>
    </row>
    <row r="63" customFormat="false" ht="15" hidden="false" customHeight="false" outlineLevel="0" collapsed="false">
      <c r="A63" s="1"/>
      <c r="B63" s="7" t="s">
        <v>180</v>
      </c>
      <c r="C63" s="19" t="n">
        <f aca="false">ROUNDUP(C62/12,0)</f>
        <v>1</v>
      </c>
      <c r="D63" s="19" t="n">
        <f aca="false">ROUNDUP(D62/12,0)</f>
        <v>1</v>
      </c>
      <c r="E63" s="19" t="n">
        <f aca="false">ROUNDUP(E62/12,0)</f>
        <v>1</v>
      </c>
      <c r="F63" s="19" t="n">
        <f aca="false">ROUNDUP(F62/12,0)</f>
        <v>1</v>
      </c>
      <c r="G63" s="19" t="n">
        <f aca="false">ROUNDUP(G62/12,0)</f>
        <v>1</v>
      </c>
      <c r="H63" s="19" t="n">
        <f aca="false">ROUNDUP(H62/12,0)</f>
        <v>1</v>
      </c>
      <c r="I63" s="19" t="n">
        <f aca="false">ROUNDUP(I62/12,0)</f>
        <v>1</v>
      </c>
      <c r="J63" s="19" t="n">
        <f aca="false">ROUNDUP(J62/12,0)</f>
        <v>1</v>
      </c>
      <c r="K63" s="19" t="n">
        <f aca="false">ROUNDUP(K62/12,0)</f>
        <v>1</v>
      </c>
      <c r="L63" s="19" t="n">
        <f aca="false">ROUNDUP(L62/12,0)</f>
        <v>1</v>
      </c>
      <c r="M63" s="19" t="n">
        <f aca="false">ROUNDUP(M62/12,0)</f>
        <v>1</v>
      </c>
      <c r="N63" s="19" t="n">
        <f aca="false">ROUNDUP(N62/12,0)</f>
        <v>1</v>
      </c>
      <c r="O63" s="19" t="n">
        <f aca="false">ROUNDUP(O62/12,0)</f>
        <v>2</v>
      </c>
      <c r="P63" s="19" t="n">
        <f aca="false">ROUNDUP(P62/12,0)</f>
        <v>2</v>
      </c>
      <c r="Q63" s="19" t="n">
        <f aca="false">ROUNDUP(Q62/12,0)</f>
        <v>2</v>
      </c>
      <c r="R63" s="19" t="n">
        <f aca="false">ROUNDUP(R62/12,0)</f>
        <v>2</v>
      </c>
      <c r="S63" s="19" t="n">
        <f aca="false">ROUNDUP(S62/12,0)</f>
        <v>2</v>
      </c>
      <c r="T63" s="19" t="n">
        <f aca="false">ROUNDUP(T62/12,0)</f>
        <v>2</v>
      </c>
      <c r="U63" s="19" t="n">
        <f aca="false">ROUNDUP(U62/12,0)</f>
        <v>2</v>
      </c>
      <c r="V63" s="19" t="n">
        <f aca="false">ROUNDUP(V62/12,0)</f>
        <v>2</v>
      </c>
      <c r="W63" s="19" t="n">
        <f aca="false">ROUNDUP(W62/12,0)</f>
        <v>2</v>
      </c>
      <c r="X63" s="19" t="n">
        <f aca="false">ROUNDUP(X62/12,0)</f>
        <v>2</v>
      </c>
      <c r="Y63" s="19" t="n">
        <f aca="false">ROUNDUP(Y62/12,0)</f>
        <v>2</v>
      </c>
      <c r="Z63" s="19" t="n">
        <f aca="false">ROUNDUP(Z62/12,0)</f>
        <v>2</v>
      </c>
      <c r="AA63" s="19" t="n">
        <f aca="false">ROUNDUP(AA62/12,0)</f>
        <v>3</v>
      </c>
      <c r="AB63" s="19" t="n">
        <f aca="false">ROUNDUP(AB62/12,0)</f>
        <v>3</v>
      </c>
      <c r="AC63" s="19" t="n">
        <f aca="false">ROUNDUP(AC62/12,0)</f>
        <v>3</v>
      </c>
      <c r="AD63" s="19" t="n">
        <f aca="false">ROUNDUP(AD62/12,0)</f>
        <v>3</v>
      </c>
      <c r="AE63" s="19" t="n">
        <f aca="false">ROUNDUP(AE62/12,0)</f>
        <v>3</v>
      </c>
      <c r="AF63" s="19" t="n">
        <f aca="false">ROUNDUP(AF62/12,0)</f>
        <v>3</v>
      </c>
      <c r="AG63" s="19" t="n">
        <f aca="false">ROUNDUP(AG62/12,0)</f>
        <v>3</v>
      </c>
      <c r="AH63" s="19" t="n">
        <f aca="false">ROUNDUP(AH62/12,0)</f>
        <v>3</v>
      </c>
      <c r="AI63" s="19" t="n">
        <f aca="false">ROUNDUP(AI62/12,0)</f>
        <v>3</v>
      </c>
      <c r="AJ63" s="19" t="n">
        <f aca="false">ROUNDUP(AJ62/12,0)</f>
        <v>3</v>
      </c>
      <c r="AK63" s="19" t="n">
        <f aca="false">ROUNDUP(AK62/12,0)</f>
        <v>3</v>
      </c>
      <c r="AL63" s="19" t="n">
        <f aca="false">ROUNDUP(AL62/12,0)</f>
        <v>3</v>
      </c>
      <c r="AM63" s="19" t="n">
        <f aca="false">ROUNDUP(AM62/12,0)</f>
        <v>4</v>
      </c>
      <c r="AN63" s="19" t="n">
        <f aca="false">ROUNDUP(AN62/12,0)</f>
        <v>4</v>
      </c>
      <c r="AO63" s="19" t="n">
        <f aca="false">ROUNDUP(AO62/12,0)</f>
        <v>4</v>
      </c>
      <c r="AP63" s="19" t="n">
        <f aca="false">ROUNDUP(AP62/12,0)</f>
        <v>4</v>
      </c>
      <c r="AQ63" s="19" t="n">
        <f aca="false">ROUNDUP(AQ62/12,0)</f>
        <v>4</v>
      </c>
      <c r="AR63" s="19" t="n">
        <f aca="false">ROUNDUP(AR62/12,0)</f>
        <v>4</v>
      </c>
      <c r="AS63" s="19" t="n">
        <f aca="false">ROUNDUP(AS62/12,0)</f>
        <v>4</v>
      </c>
      <c r="AT63" s="19" t="n">
        <f aca="false">ROUNDUP(AT62/12,0)</f>
        <v>4</v>
      </c>
      <c r="AU63" s="19" t="n">
        <f aca="false">ROUNDUP(AU62/12,0)</f>
        <v>4</v>
      </c>
      <c r="AV63" s="19" t="n">
        <f aca="false">ROUNDUP(AV62/12,0)</f>
        <v>4</v>
      </c>
      <c r="AW63" s="19" t="n">
        <f aca="false">ROUNDUP(AW62/12,0)</f>
        <v>4</v>
      </c>
      <c r="AX63" s="19" t="n">
        <f aca="false">ROUNDUP(AX62/12,0)</f>
        <v>4</v>
      </c>
      <c r="AY63" s="19" t="n">
        <f aca="false">ROUNDUP(AY62/12,0)</f>
        <v>5</v>
      </c>
      <c r="AZ63" s="19" t="n">
        <f aca="false">ROUNDUP(AZ62/12,0)</f>
        <v>5</v>
      </c>
      <c r="BA63" s="19" t="n">
        <f aca="false">ROUNDUP(BA62/12,0)</f>
        <v>5</v>
      </c>
      <c r="BB63" s="19" t="n">
        <f aca="false">ROUNDUP(BB62/12,0)</f>
        <v>5</v>
      </c>
      <c r="BC63" s="19" t="n">
        <f aca="false">ROUNDUP(BC62/12,0)</f>
        <v>5</v>
      </c>
      <c r="BD63" s="19" t="n">
        <f aca="false">ROUNDUP(BD62/12,0)</f>
        <v>5</v>
      </c>
      <c r="BE63" s="19" t="n">
        <f aca="false">ROUNDUP(BE62/12,0)</f>
        <v>5</v>
      </c>
      <c r="BF63" s="19" t="n">
        <f aca="false">ROUNDUP(BF62/12,0)</f>
        <v>5</v>
      </c>
      <c r="BG63" s="19" t="n">
        <f aca="false">ROUNDUP(BG62/12,0)</f>
        <v>5</v>
      </c>
      <c r="BH63" s="19" t="n">
        <f aca="false">ROUNDUP(BH62/12,0)</f>
        <v>5</v>
      </c>
      <c r="BI63" s="19" t="n">
        <f aca="false">ROUNDUP(BI62/12,0)</f>
        <v>5</v>
      </c>
      <c r="BJ63" s="19" t="n">
        <f aca="false">ROUNDUP(BJ62/12,0)</f>
        <v>5</v>
      </c>
    </row>
    <row r="64" customFormat="false" ht="15" hidden="false" customHeight="false" outlineLevel="0" collapsed="false">
      <c r="A64" s="1"/>
      <c r="B64" s="7" t="s">
        <v>181</v>
      </c>
      <c r="C64" s="19" t="n">
        <f aca="false">ROUND(MAX(0,$C$9+(MIN(C62,$C$11)-1)*$C$17),0)</f>
        <v>2</v>
      </c>
      <c r="D64" s="19" t="n">
        <f aca="false">ROUND(MAX(0,$C$9+(MIN(D62,$C$11)-1)*$C$17),0)</f>
        <v>3</v>
      </c>
      <c r="E64" s="19" t="n">
        <f aca="false">ROUND(MAX(0,$C$9+(MIN(E62,$C$11)-1)*$C$17),0)</f>
        <v>5</v>
      </c>
      <c r="F64" s="19" t="n">
        <f aca="false">ROUND(MAX(0,$C$9+(MIN(F62,$C$11)-1)*$C$17),0)</f>
        <v>6</v>
      </c>
      <c r="G64" s="19" t="n">
        <f aca="false">ROUND(MAX(0,$C$9+(MIN(G62,$C$11)-1)*$C$17),0)</f>
        <v>7</v>
      </c>
      <c r="H64" s="19" t="n">
        <f aca="false">ROUND(MAX(0,$C$9+(MIN(H62,$C$11)-1)*$C$17),0)</f>
        <v>8</v>
      </c>
      <c r="I64" s="19" t="n">
        <f aca="false">ROUND(MAX(0,$C$9+(MIN(I62,$C$11)-1)*$C$17),0)</f>
        <v>10</v>
      </c>
      <c r="J64" s="19" t="n">
        <f aca="false">ROUND(MAX(0,$C$9+(MIN(J62,$C$11)-1)*$C$17),0)</f>
        <v>11</v>
      </c>
      <c r="K64" s="19" t="n">
        <f aca="false">ROUND(MAX(0,$C$9+(MIN(K62,$C$11)-1)*$C$17),0)</f>
        <v>12</v>
      </c>
      <c r="L64" s="19" t="n">
        <f aca="false">ROUND(MAX(0,$C$9+(MIN(L62,$C$11)-1)*$C$17),0)</f>
        <v>13</v>
      </c>
      <c r="M64" s="19" t="n">
        <f aca="false">ROUND(MAX(0,$C$9+(MIN(M62,$C$11)-1)*$C$17),0)</f>
        <v>15</v>
      </c>
      <c r="N64" s="19" t="n">
        <f aca="false">ROUND(MAX(0,$C$9+(MIN(N62,$C$11)-1)*$C$17),0)</f>
        <v>16</v>
      </c>
      <c r="O64" s="19" t="n">
        <f aca="false">ROUND(MAX(0,$C$9+(MIN(O62,$C$11)-1)*$C$17),0)</f>
        <v>17</v>
      </c>
      <c r="P64" s="19" t="n">
        <f aca="false">ROUND(MAX(0,$C$9+(MIN(P62,$C$11)-1)*$C$17),0)</f>
        <v>18</v>
      </c>
      <c r="Q64" s="19" t="n">
        <f aca="false">ROUND(MAX(0,$C$9+(MIN(Q62,$C$11)-1)*$C$17),0)</f>
        <v>20</v>
      </c>
      <c r="R64" s="19" t="n">
        <f aca="false">ROUND(MAX(0,$C$9+(MIN(R62,$C$11)-1)*$C$17),0)</f>
        <v>21</v>
      </c>
      <c r="S64" s="19" t="n">
        <f aca="false">ROUND(MAX(0,$C$9+(MIN(S62,$C$11)-1)*$C$17),0)</f>
        <v>22</v>
      </c>
      <c r="T64" s="19" t="n">
        <f aca="false">ROUND(MAX(0,$C$9+(MIN(T62,$C$11)-1)*$C$17),0)</f>
        <v>24</v>
      </c>
      <c r="U64" s="19" t="n">
        <f aca="false">ROUND(MAX(0,$C$9+(MIN(U62,$C$11)-1)*$C$17),0)</f>
        <v>25</v>
      </c>
      <c r="V64" s="19" t="n">
        <f aca="false">ROUND(MAX(0,$C$9+(MIN(V62,$C$11)-1)*$C$17),0)</f>
        <v>26</v>
      </c>
      <c r="W64" s="19" t="n">
        <f aca="false">ROUND(MAX(0,$C$9+(MIN(W62,$C$11)-1)*$C$17),0)</f>
        <v>27</v>
      </c>
      <c r="X64" s="19" t="n">
        <f aca="false">ROUND(MAX(0,$C$9+(MIN(X62,$C$11)-1)*$C$17),0)</f>
        <v>29</v>
      </c>
      <c r="Y64" s="19" t="n">
        <f aca="false">ROUND(MAX(0,$C$9+(MIN(Y62,$C$11)-1)*$C$17),0)</f>
        <v>30</v>
      </c>
      <c r="Z64" s="19" t="n">
        <f aca="false">ROUND(MAX(0,$C$9+(MIN(Z62,$C$11)-1)*$C$17),0)</f>
        <v>31</v>
      </c>
      <c r="AA64" s="19" t="n">
        <f aca="false">ROUND(MAX(0,$C$9+(MIN(AA62,$C$11)-1)*$C$17),0)</f>
        <v>32</v>
      </c>
      <c r="AB64" s="19" t="n">
        <f aca="false">ROUND(MAX(0,$C$9+(MIN(AB62,$C$11)-1)*$C$17),0)</f>
        <v>34</v>
      </c>
      <c r="AC64" s="19" t="n">
        <f aca="false">ROUND(MAX(0,$C$9+(MIN(AC62,$C$11)-1)*$C$17),0)</f>
        <v>35</v>
      </c>
      <c r="AD64" s="19" t="n">
        <f aca="false">ROUND(MAX(0,$C$9+(MIN(AD62,$C$11)-1)*$C$17),0)</f>
        <v>36</v>
      </c>
      <c r="AE64" s="19" t="n">
        <f aca="false">ROUND(MAX(0,$C$9+(MIN(AE62,$C$11)-1)*$C$17),0)</f>
        <v>38</v>
      </c>
      <c r="AF64" s="19" t="n">
        <f aca="false">ROUND(MAX(0,$C$9+(MIN(AF62,$C$11)-1)*$C$17),0)</f>
        <v>39</v>
      </c>
      <c r="AG64" s="19" t="n">
        <f aca="false">ROUND(MAX(0,$C$9+(MIN(AG62,$C$11)-1)*$C$17),0)</f>
        <v>40</v>
      </c>
      <c r="AH64" s="19" t="n">
        <f aca="false">ROUND(MAX(0,$C$9+(MIN(AH62,$C$11)-1)*$C$17),0)</f>
        <v>41</v>
      </c>
      <c r="AI64" s="19" t="n">
        <f aca="false">ROUND(MAX(0,$C$9+(MIN(AI62,$C$11)-1)*$C$17),0)</f>
        <v>43</v>
      </c>
      <c r="AJ64" s="19" t="n">
        <f aca="false">ROUND(MAX(0,$C$9+(MIN(AJ62,$C$11)-1)*$C$17),0)</f>
        <v>44</v>
      </c>
      <c r="AK64" s="19" t="n">
        <f aca="false">ROUND(MAX(0,$C$9+(MIN(AK62,$C$11)-1)*$C$17),0)</f>
        <v>45</v>
      </c>
      <c r="AL64" s="19" t="n">
        <f aca="false">ROUND(MAX(0,$C$9+(MIN(AL62,$C$11)-1)*$C$17),0)</f>
        <v>46</v>
      </c>
      <c r="AM64" s="19" t="n">
        <f aca="false">ROUND(MAX(0,$C$9+(MIN(AM62,$C$11)-1)*$C$17),0)</f>
        <v>48</v>
      </c>
      <c r="AN64" s="19" t="n">
        <f aca="false">ROUND(MAX(0,$C$9+(MIN(AN62,$C$11)-1)*$C$17),0)</f>
        <v>49</v>
      </c>
      <c r="AO64" s="19" t="n">
        <f aca="false">ROUND(MAX(0,$C$9+(MIN(AO62,$C$11)-1)*$C$17),0)</f>
        <v>50</v>
      </c>
      <c r="AP64" s="19" t="n">
        <f aca="false">ROUND(MAX(0,$C$9+(MIN(AP62,$C$11)-1)*$C$17),0)</f>
        <v>51</v>
      </c>
      <c r="AQ64" s="19" t="n">
        <f aca="false">ROUND(MAX(0,$C$9+(MIN(AQ62,$C$11)-1)*$C$17),0)</f>
        <v>53</v>
      </c>
      <c r="AR64" s="19" t="n">
        <f aca="false">ROUND(MAX(0,$C$9+(MIN(AR62,$C$11)-1)*$C$17),0)</f>
        <v>54</v>
      </c>
      <c r="AS64" s="19" t="n">
        <f aca="false">ROUND(MAX(0,$C$9+(MIN(AS62,$C$11)-1)*$C$17),0)</f>
        <v>55</v>
      </c>
      <c r="AT64" s="19" t="n">
        <f aca="false">ROUND(MAX(0,$C$9+(MIN(AT62,$C$11)-1)*$C$17),0)</f>
        <v>57</v>
      </c>
      <c r="AU64" s="19" t="n">
        <f aca="false">ROUND(MAX(0,$C$9+(MIN(AU62,$C$11)-1)*$C$17),0)</f>
        <v>58</v>
      </c>
      <c r="AV64" s="19" t="n">
        <f aca="false">ROUND(MAX(0,$C$9+(MIN(AV62,$C$11)-1)*$C$17),0)</f>
        <v>59</v>
      </c>
      <c r="AW64" s="19" t="n">
        <f aca="false">ROUND(MAX(0,$C$9+(MIN(AW62,$C$11)-1)*$C$17),0)</f>
        <v>60</v>
      </c>
      <c r="AX64" s="19" t="n">
        <f aca="false">ROUND(MAX(0,$C$9+(MIN(AX62,$C$11)-1)*$C$17),0)</f>
        <v>62</v>
      </c>
      <c r="AY64" s="19" t="n">
        <f aca="false">ROUND(MAX(0,$C$9+(MIN(AY62,$C$11)-1)*$C$17),0)</f>
        <v>62</v>
      </c>
      <c r="AZ64" s="19" t="n">
        <f aca="false">ROUND(MAX(0,$C$9+(MIN(AZ62,$C$11)-1)*$C$17),0)</f>
        <v>62</v>
      </c>
      <c r="BA64" s="19" t="n">
        <f aca="false">ROUND(MAX(0,$C$9+(MIN(BA62,$C$11)-1)*$C$17),0)</f>
        <v>62</v>
      </c>
      <c r="BB64" s="19" t="n">
        <f aca="false">ROUND(MAX(0,$C$9+(MIN(BB62,$C$11)-1)*$C$17),0)</f>
        <v>62</v>
      </c>
      <c r="BC64" s="19" t="n">
        <f aca="false">ROUND(MAX(0,$C$9+(MIN(BC62,$C$11)-1)*$C$17),0)</f>
        <v>62</v>
      </c>
      <c r="BD64" s="19" t="n">
        <f aca="false">ROUND(MAX(0,$C$9+(MIN(BD62,$C$11)-1)*$C$17),0)</f>
        <v>62</v>
      </c>
      <c r="BE64" s="19" t="n">
        <f aca="false">ROUND(MAX(0,$C$9+(MIN(BE62,$C$11)-1)*$C$17),0)</f>
        <v>62</v>
      </c>
      <c r="BF64" s="19" t="n">
        <f aca="false">ROUND(MAX(0,$C$9+(MIN(BF62,$C$11)-1)*$C$17),0)</f>
        <v>62</v>
      </c>
      <c r="BG64" s="19" t="n">
        <f aca="false">ROUND(MAX(0,$C$9+(MIN(BG62,$C$11)-1)*$C$17),0)</f>
        <v>62</v>
      </c>
      <c r="BH64" s="19" t="n">
        <f aca="false">ROUND(MAX(0,$C$9+(MIN(BH62,$C$11)-1)*$C$17),0)</f>
        <v>62</v>
      </c>
      <c r="BI64" s="19" t="n">
        <f aca="false">ROUND(MAX(0,$C$9+(MIN(BI62,$C$11)-1)*$C$17),0)</f>
        <v>62</v>
      </c>
      <c r="BJ64" s="19" t="n">
        <f aca="false">ROUND(MAX(0,$C$9+(MIN(BJ62,$C$11)-1)*$C$17),0)</f>
        <v>62</v>
      </c>
    </row>
    <row r="65" customFormat="false" ht="15" hidden="false" customHeight="false" outlineLevel="0" collapsed="false">
      <c r="A65" s="1"/>
      <c r="B65" s="7" t="s">
        <v>182</v>
      </c>
      <c r="C65" s="19" t="n">
        <f aca="false">C64</f>
        <v>2</v>
      </c>
      <c r="D65" s="19" t="n">
        <f aca="false">C65+D64</f>
        <v>5</v>
      </c>
      <c r="E65" s="19" t="n">
        <f aca="false">D65+E64</f>
        <v>10</v>
      </c>
      <c r="F65" s="19" t="n">
        <f aca="false">E65+F64</f>
        <v>16</v>
      </c>
      <c r="G65" s="19" t="n">
        <f aca="false">F65+G64</f>
        <v>23</v>
      </c>
      <c r="H65" s="19" t="n">
        <f aca="false">G65+H64</f>
        <v>31</v>
      </c>
      <c r="I65" s="19" t="n">
        <f aca="false">H65+I64</f>
        <v>41</v>
      </c>
      <c r="J65" s="19" t="n">
        <f aca="false">I65+J64</f>
        <v>52</v>
      </c>
      <c r="K65" s="19" t="n">
        <f aca="false">J65+K64</f>
        <v>64</v>
      </c>
      <c r="L65" s="19" t="n">
        <f aca="false">K65+L64</f>
        <v>77</v>
      </c>
      <c r="M65" s="19" t="n">
        <f aca="false">L65+M64</f>
        <v>92</v>
      </c>
      <c r="N65" s="19" t="n">
        <f aca="false">M65+N64</f>
        <v>108</v>
      </c>
      <c r="O65" s="19" t="n">
        <f aca="false">N65+O64</f>
        <v>125</v>
      </c>
      <c r="P65" s="19" t="n">
        <f aca="false">O65+P64</f>
        <v>143</v>
      </c>
      <c r="Q65" s="19" t="n">
        <f aca="false">P65+Q64</f>
        <v>163</v>
      </c>
      <c r="R65" s="19" t="n">
        <f aca="false">Q65+R64</f>
        <v>184</v>
      </c>
      <c r="S65" s="19" t="n">
        <f aca="false">R65+S64</f>
        <v>206</v>
      </c>
      <c r="T65" s="19" t="n">
        <f aca="false">S65+T64</f>
        <v>230</v>
      </c>
      <c r="U65" s="19" t="n">
        <f aca="false">T65+U64</f>
        <v>255</v>
      </c>
      <c r="V65" s="19" t="n">
        <f aca="false">U65+V64</f>
        <v>281</v>
      </c>
      <c r="W65" s="19" t="n">
        <f aca="false">V65+W64</f>
        <v>308</v>
      </c>
      <c r="X65" s="19" t="n">
        <f aca="false">W65+X64</f>
        <v>337</v>
      </c>
      <c r="Y65" s="19" t="n">
        <f aca="false">X65+Y64</f>
        <v>367</v>
      </c>
      <c r="Z65" s="19" t="n">
        <f aca="false">Y65+Z64</f>
        <v>398</v>
      </c>
      <c r="AA65" s="19" t="n">
        <f aca="false">Z65+AA64</f>
        <v>430</v>
      </c>
      <c r="AB65" s="19" t="n">
        <f aca="false">AA65+AB64</f>
        <v>464</v>
      </c>
      <c r="AC65" s="19" t="n">
        <f aca="false">AB65+AC64</f>
        <v>499</v>
      </c>
      <c r="AD65" s="19" t="n">
        <f aca="false">AC65+AD64</f>
        <v>535</v>
      </c>
      <c r="AE65" s="19" t="n">
        <f aca="false">AD65+AE64</f>
        <v>573</v>
      </c>
      <c r="AF65" s="19" t="n">
        <f aca="false">AE65+AF64</f>
        <v>612</v>
      </c>
      <c r="AG65" s="19" t="n">
        <f aca="false">AF65+AG64</f>
        <v>652</v>
      </c>
      <c r="AH65" s="19" t="n">
        <f aca="false">AG65+AH64</f>
        <v>693</v>
      </c>
      <c r="AI65" s="19" t="n">
        <f aca="false">AH65+AI64</f>
        <v>736</v>
      </c>
      <c r="AJ65" s="19" t="n">
        <f aca="false">AI65+AJ64</f>
        <v>780</v>
      </c>
      <c r="AK65" s="19" t="n">
        <f aca="false">AJ65+AK64</f>
        <v>825</v>
      </c>
      <c r="AL65" s="19" t="n">
        <f aca="false">AK65+AL64</f>
        <v>871</v>
      </c>
      <c r="AM65" s="19" t="n">
        <f aca="false">AL65+AM64</f>
        <v>919</v>
      </c>
      <c r="AN65" s="19" t="n">
        <f aca="false">AM65+AN64</f>
        <v>968</v>
      </c>
      <c r="AO65" s="19" t="n">
        <f aca="false">AN65+AO64</f>
        <v>1018</v>
      </c>
      <c r="AP65" s="19" t="n">
        <f aca="false">AO65+AP64</f>
        <v>1069</v>
      </c>
      <c r="AQ65" s="19" t="n">
        <f aca="false">AP65+AQ64</f>
        <v>1122</v>
      </c>
      <c r="AR65" s="19" t="n">
        <f aca="false">AQ65+AR64</f>
        <v>1176</v>
      </c>
      <c r="AS65" s="19" t="n">
        <f aca="false">AR65+AS64</f>
        <v>1231</v>
      </c>
      <c r="AT65" s="19" t="n">
        <f aca="false">AS65+AT64</f>
        <v>1288</v>
      </c>
      <c r="AU65" s="19" t="n">
        <f aca="false">AT65+AU64</f>
        <v>1346</v>
      </c>
      <c r="AV65" s="19" t="n">
        <f aca="false">AU65+AV64</f>
        <v>1405</v>
      </c>
      <c r="AW65" s="19" t="n">
        <f aca="false">AV65+AW64</f>
        <v>1465</v>
      </c>
      <c r="AX65" s="19" t="n">
        <f aca="false">AW65+AX64</f>
        <v>1527</v>
      </c>
      <c r="AY65" s="19" t="n">
        <f aca="false">AX65+AY64</f>
        <v>1589</v>
      </c>
      <c r="AZ65" s="19" t="n">
        <f aca="false">AY65+AZ64</f>
        <v>1651</v>
      </c>
      <c r="BA65" s="19" t="n">
        <f aca="false">AZ65+BA64</f>
        <v>1713</v>
      </c>
      <c r="BB65" s="19" t="n">
        <f aca="false">BA65+BB64</f>
        <v>1775</v>
      </c>
      <c r="BC65" s="19" t="n">
        <f aca="false">BB65+BC64</f>
        <v>1837</v>
      </c>
      <c r="BD65" s="19" t="n">
        <f aca="false">BC65+BD64</f>
        <v>1899</v>
      </c>
      <c r="BE65" s="19" t="n">
        <f aca="false">BD65+BE64</f>
        <v>1961</v>
      </c>
      <c r="BF65" s="19" t="n">
        <f aca="false">BE65+BF64</f>
        <v>2023</v>
      </c>
      <c r="BG65" s="19" t="n">
        <f aca="false">BF65+BG64</f>
        <v>2085</v>
      </c>
      <c r="BH65" s="19" t="n">
        <f aca="false">BG65+BH64</f>
        <v>2147</v>
      </c>
      <c r="BI65" s="19" t="n">
        <f aca="false">BH65+BI64</f>
        <v>2209</v>
      </c>
      <c r="BJ65" s="19" t="n">
        <f aca="false">BI65+BJ64</f>
        <v>2271</v>
      </c>
    </row>
    <row r="66" customFormat="false" ht="15" hidden="false" customHeight="false" outlineLevel="0" collapsed="false">
      <c r="A66" s="1"/>
      <c r="B66" s="7" t="s">
        <v>183</v>
      </c>
      <c r="C66" s="19" t="n">
        <f aca="false">C65-IF(C62&gt;$C$7,INDEX($C$65:$BJ$65,1,C62-$C$7),0)</f>
        <v>2</v>
      </c>
      <c r="D66" s="19" t="n">
        <f aca="false">D65-IF(D62&gt;$C$7,INDEX($C$65:$BJ$65,1,D62-$C$7),0)</f>
        <v>5</v>
      </c>
      <c r="E66" s="19" t="n">
        <f aca="false">E65-IF(E62&gt;$C$7,INDEX($C$65:$BJ$65,1,E62-$C$7),0)</f>
        <v>10</v>
      </c>
      <c r="F66" s="19" t="n">
        <f aca="false">F65-IF(F62&gt;$C$7,INDEX($C$65:$BJ$65,1,F62-$C$7),0)</f>
        <v>16</v>
      </c>
      <c r="G66" s="19" t="n">
        <f aca="false">G65-IF(G62&gt;$C$7,INDEX($C$65:$BJ$65,1,G62-$C$7),0)</f>
        <v>23</v>
      </c>
      <c r="H66" s="19" t="n">
        <f aca="false">H65-IF(H62&gt;$C$7,INDEX($C$65:$BJ$65,1,H62-$C$7),0)</f>
        <v>31</v>
      </c>
      <c r="I66" s="19" t="n">
        <f aca="false">I65-IF(I62&gt;$C$7,INDEX($C$65:$BJ$65,1,I62-$C$7),0)</f>
        <v>41</v>
      </c>
      <c r="J66" s="19" t="n">
        <f aca="false">J65-IF(J62&gt;$C$7,INDEX($C$65:$BJ$65,1,J62-$C$7),0)</f>
        <v>52</v>
      </c>
      <c r="K66" s="19" t="n">
        <f aca="false">K65-IF(K62&gt;$C$7,INDEX($C$65:$BJ$65,1,K62-$C$7),0)</f>
        <v>64</v>
      </c>
      <c r="L66" s="19" t="n">
        <f aca="false">L65-IF(L62&gt;$C$7,INDEX($C$65:$BJ$65,1,L62-$C$7),0)</f>
        <v>77</v>
      </c>
      <c r="M66" s="19" t="n">
        <f aca="false">M65-IF(M62&gt;$C$7,INDEX($C$65:$BJ$65,1,M62-$C$7),0)</f>
        <v>92</v>
      </c>
      <c r="N66" s="19" t="n">
        <f aca="false">N65-IF(N62&gt;$C$7,INDEX($C$65:$BJ$65,1,N62-$C$7),0)</f>
        <v>108</v>
      </c>
      <c r="O66" s="19" t="n">
        <f aca="false">O65-IF(O62&gt;$C$7,INDEX($C$65:$BJ$65,1,O62-$C$7),0)</f>
        <v>123</v>
      </c>
      <c r="P66" s="19" t="n">
        <f aca="false">P65-IF(P62&gt;$C$7,INDEX($C$65:$BJ$65,1,P62-$C$7),0)</f>
        <v>138</v>
      </c>
      <c r="Q66" s="19" t="n">
        <f aca="false">Q65-IF(Q62&gt;$C$7,INDEX($C$65:$BJ$65,1,Q62-$C$7),0)</f>
        <v>153</v>
      </c>
      <c r="R66" s="19" t="n">
        <f aca="false">R65-IF(R62&gt;$C$7,INDEX($C$65:$BJ$65,1,R62-$C$7),0)</f>
        <v>168</v>
      </c>
      <c r="S66" s="19" t="n">
        <f aca="false">S65-IF(S62&gt;$C$7,INDEX($C$65:$BJ$65,1,S62-$C$7),0)</f>
        <v>183</v>
      </c>
      <c r="T66" s="19" t="n">
        <f aca="false">T65-IF(T62&gt;$C$7,INDEX($C$65:$BJ$65,1,T62-$C$7),0)</f>
        <v>199</v>
      </c>
      <c r="U66" s="19" t="n">
        <f aca="false">U65-IF(U62&gt;$C$7,INDEX($C$65:$BJ$65,1,U62-$C$7),0)</f>
        <v>214</v>
      </c>
      <c r="V66" s="19" t="n">
        <f aca="false">V65-IF(V62&gt;$C$7,INDEX($C$65:$BJ$65,1,V62-$C$7),0)</f>
        <v>229</v>
      </c>
      <c r="W66" s="19" t="n">
        <f aca="false">W65-IF(W62&gt;$C$7,INDEX($C$65:$BJ$65,1,W62-$C$7),0)</f>
        <v>244</v>
      </c>
      <c r="X66" s="19" t="n">
        <f aca="false">X65-IF(X62&gt;$C$7,INDEX($C$65:$BJ$65,1,X62-$C$7),0)</f>
        <v>260</v>
      </c>
      <c r="Y66" s="19" t="n">
        <f aca="false">Y65-IF(Y62&gt;$C$7,INDEX($C$65:$BJ$65,1,Y62-$C$7),0)</f>
        <v>275</v>
      </c>
      <c r="Z66" s="19" t="n">
        <f aca="false">Z65-IF(Z62&gt;$C$7,INDEX($C$65:$BJ$65,1,Z62-$C$7),0)</f>
        <v>290</v>
      </c>
      <c r="AA66" s="19" t="n">
        <f aca="false">AA65-IF(AA62&gt;$C$7,INDEX($C$65:$BJ$65,1,AA62-$C$7),0)</f>
        <v>305</v>
      </c>
      <c r="AB66" s="19" t="n">
        <f aca="false">AB65-IF(AB62&gt;$C$7,INDEX($C$65:$BJ$65,1,AB62-$C$7),0)</f>
        <v>321</v>
      </c>
      <c r="AC66" s="19" t="n">
        <f aca="false">AC65-IF(AC62&gt;$C$7,INDEX($C$65:$BJ$65,1,AC62-$C$7),0)</f>
        <v>336</v>
      </c>
      <c r="AD66" s="19" t="n">
        <f aca="false">AD65-IF(AD62&gt;$C$7,INDEX($C$65:$BJ$65,1,AD62-$C$7),0)</f>
        <v>351</v>
      </c>
      <c r="AE66" s="19" t="n">
        <f aca="false">AE65-IF(AE62&gt;$C$7,INDEX($C$65:$BJ$65,1,AE62-$C$7),0)</f>
        <v>367</v>
      </c>
      <c r="AF66" s="19" t="n">
        <f aca="false">AF65-IF(AF62&gt;$C$7,INDEX($C$65:$BJ$65,1,AF62-$C$7),0)</f>
        <v>382</v>
      </c>
      <c r="AG66" s="19" t="n">
        <f aca="false">AG65-IF(AG62&gt;$C$7,INDEX($C$65:$BJ$65,1,AG62-$C$7),0)</f>
        <v>397</v>
      </c>
      <c r="AH66" s="19" t="n">
        <f aca="false">AH65-IF(AH62&gt;$C$7,INDEX($C$65:$BJ$65,1,AH62-$C$7),0)</f>
        <v>412</v>
      </c>
      <c r="AI66" s="19" t="n">
        <f aca="false">AI65-IF(AI62&gt;$C$7,INDEX($C$65:$BJ$65,1,AI62-$C$7),0)</f>
        <v>428</v>
      </c>
      <c r="AJ66" s="19" t="n">
        <f aca="false">AJ65-IF(AJ62&gt;$C$7,INDEX($C$65:$BJ$65,1,AJ62-$C$7),0)</f>
        <v>443</v>
      </c>
      <c r="AK66" s="19" t="n">
        <f aca="false">AK65-IF(AK62&gt;$C$7,INDEX($C$65:$BJ$65,1,AK62-$C$7),0)</f>
        <v>458</v>
      </c>
      <c r="AL66" s="19" t="n">
        <f aca="false">AL65-IF(AL62&gt;$C$7,INDEX($C$65:$BJ$65,1,AL62-$C$7),0)</f>
        <v>473</v>
      </c>
      <c r="AM66" s="19" t="n">
        <f aca="false">AM65-IF(AM62&gt;$C$7,INDEX($C$65:$BJ$65,1,AM62-$C$7),0)</f>
        <v>489</v>
      </c>
      <c r="AN66" s="19" t="n">
        <f aca="false">AN65-IF(AN62&gt;$C$7,INDEX($C$65:$BJ$65,1,AN62-$C$7),0)</f>
        <v>504</v>
      </c>
      <c r="AO66" s="19" t="n">
        <f aca="false">AO65-IF(AO62&gt;$C$7,INDEX($C$65:$BJ$65,1,AO62-$C$7),0)</f>
        <v>519</v>
      </c>
      <c r="AP66" s="19" t="n">
        <f aca="false">AP65-IF(AP62&gt;$C$7,INDEX($C$65:$BJ$65,1,AP62-$C$7),0)</f>
        <v>534</v>
      </c>
      <c r="AQ66" s="19" t="n">
        <f aca="false">AQ65-IF(AQ62&gt;$C$7,INDEX($C$65:$BJ$65,1,AQ62-$C$7),0)</f>
        <v>549</v>
      </c>
      <c r="AR66" s="19" t="n">
        <f aca="false">AR65-IF(AR62&gt;$C$7,INDEX($C$65:$BJ$65,1,AR62-$C$7),0)</f>
        <v>564</v>
      </c>
      <c r="AS66" s="19" t="n">
        <f aca="false">AS65-IF(AS62&gt;$C$7,INDEX($C$65:$BJ$65,1,AS62-$C$7),0)</f>
        <v>579</v>
      </c>
      <c r="AT66" s="19" t="n">
        <f aca="false">AT65-IF(AT62&gt;$C$7,INDEX($C$65:$BJ$65,1,AT62-$C$7),0)</f>
        <v>595</v>
      </c>
      <c r="AU66" s="19" t="n">
        <f aca="false">AU65-IF(AU62&gt;$C$7,INDEX($C$65:$BJ$65,1,AU62-$C$7),0)</f>
        <v>610</v>
      </c>
      <c r="AV66" s="19" t="n">
        <f aca="false">AV65-IF(AV62&gt;$C$7,INDEX($C$65:$BJ$65,1,AV62-$C$7),0)</f>
        <v>625</v>
      </c>
      <c r="AW66" s="19" t="n">
        <f aca="false">AW65-IF(AW62&gt;$C$7,INDEX($C$65:$BJ$65,1,AW62-$C$7),0)</f>
        <v>640</v>
      </c>
      <c r="AX66" s="19" t="n">
        <f aca="false">AX65-IF(AX62&gt;$C$7,INDEX($C$65:$BJ$65,1,AX62-$C$7),0)</f>
        <v>656</v>
      </c>
      <c r="AY66" s="19" t="n">
        <f aca="false">AY65-IF(AY62&gt;$C$7,INDEX($C$65:$BJ$65,1,AY62-$C$7),0)</f>
        <v>670</v>
      </c>
      <c r="AZ66" s="19" t="n">
        <f aca="false">AZ65-IF(AZ62&gt;$C$7,INDEX($C$65:$BJ$65,1,AZ62-$C$7),0)</f>
        <v>683</v>
      </c>
      <c r="BA66" s="19" t="n">
        <f aca="false">BA65-IF(BA62&gt;$C$7,INDEX($C$65:$BJ$65,1,BA62-$C$7),0)</f>
        <v>695</v>
      </c>
      <c r="BB66" s="19" t="n">
        <f aca="false">BB65-IF(BB62&gt;$C$7,INDEX($C$65:$BJ$65,1,BB62-$C$7),0)</f>
        <v>706</v>
      </c>
      <c r="BC66" s="19" t="n">
        <f aca="false">BC65-IF(BC62&gt;$C$7,INDEX($C$65:$BJ$65,1,BC62-$C$7),0)</f>
        <v>715</v>
      </c>
      <c r="BD66" s="19" t="n">
        <f aca="false">BD65-IF(BD62&gt;$C$7,INDEX($C$65:$BJ$65,1,BD62-$C$7),0)</f>
        <v>723</v>
      </c>
      <c r="BE66" s="19" t="n">
        <f aca="false">BE65-IF(BE62&gt;$C$7,INDEX($C$65:$BJ$65,1,BE62-$C$7),0)</f>
        <v>730</v>
      </c>
      <c r="BF66" s="19" t="n">
        <f aca="false">BF65-IF(BF62&gt;$C$7,INDEX($C$65:$BJ$65,1,BF62-$C$7),0)</f>
        <v>735</v>
      </c>
      <c r="BG66" s="19" t="n">
        <f aca="false">BG65-IF(BG62&gt;$C$7,INDEX($C$65:$BJ$65,1,BG62-$C$7),0)</f>
        <v>739</v>
      </c>
      <c r="BH66" s="19" t="n">
        <f aca="false">BH65-IF(BH62&gt;$C$7,INDEX($C$65:$BJ$65,1,BH62-$C$7),0)</f>
        <v>742</v>
      </c>
      <c r="BI66" s="19" t="n">
        <f aca="false">BI65-IF(BI62&gt;$C$7,INDEX($C$65:$BJ$65,1,BI62-$C$7),0)</f>
        <v>744</v>
      </c>
      <c r="BJ66" s="19" t="n">
        <f aca="false">BJ65-IF(BJ62&gt;$C$7,INDEX($C$65:$BJ$65,1,BJ62-$C$7),0)</f>
        <v>744</v>
      </c>
    </row>
    <row r="67" customFormat="false" ht="15" hidden="false" customHeight="false" outlineLevel="0" collapsed="false">
      <c r="A67" s="1"/>
      <c r="B67" s="7" t="s">
        <v>184</v>
      </c>
      <c r="C67" s="25" t="n">
        <f aca="false">C66*Supuestos!$C$18</f>
        <v>2</v>
      </c>
      <c r="D67" s="25" t="n">
        <f aca="false">D66*Supuestos!$C$18</f>
        <v>5</v>
      </c>
      <c r="E67" s="25" t="n">
        <f aca="false">E66*Supuestos!$C$18</f>
        <v>10</v>
      </c>
      <c r="F67" s="25" t="n">
        <f aca="false">F66*Supuestos!$C$18</f>
        <v>16</v>
      </c>
      <c r="G67" s="25" t="n">
        <f aca="false">G66*Supuestos!$C$18</f>
        <v>23</v>
      </c>
      <c r="H67" s="25" t="n">
        <f aca="false">H66*Supuestos!$C$18</f>
        <v>31</v>
      </c>
      <c r="I67" s="25" t="n">
        <f aca="false">I66*Supuestos!$C$18</f>
        <v>41</v>
      </c>
      <c r="J67" s="25" t="n">
        <f aca="false">J66*Supuestos!$C$18</f>
        <v>52</v>
      </c>
      <c r="K67" s="25" t="n">
        <f aca="false">K66*Supuestos!$C$18</f>
        <v>64</v>
      </c>
      <c r="L67" s="25" t="n">
        <f aca="false">L66*Supuestos!$C$18</f>
        <v>77</v>
      </c>
      <c r="M67" s="25" t="n">
        <f aca="false">M66*Supuestos!$C$18</f>
        <v>92</v>
      </c>
      <c r="N67" s="25" t="n">
        <f aca="false">N66*Supuestos!$C$18</f>
        <v>108</v>
      </c>
      <c r="O67" s="25" t="n">
        <f aca="false">O66*Supuestos!$C$18</f>
        <v>123</v>
      </c>
      <c r="P67" s="25" t="n">
        <f aca="false">P66*Supuestos!$C$18</f>
        <v>138</v>
      </c>
      <c r="Q67" s="25" t="n">
        <f aca="false">Q66*Supuestos!$C$18</f>
        <v>153</v>
      </c>
      <c r="R67" s="25" t="n">
        <f aca="false">R66*Supuestos!$C$18</f>
        <v>168</v>
      </c>
      <c r="S67" s="25" t="n">
        <f aca="false">S66*Supuestos!$C$18</f>
        <v>183</v>
      </c>
      <c r="T67" s="25" t="n">
        <f aca="false">T66*Supuestos!$C$18</f>
        <v>199</v>
      </c>
      <c r="U67" s="25" t="n">
        <f aca="false">U66*Supuestos!$C$18</f>
        <v>214</v>
      </c>
      <c r="V67" s="25" t="n">
        <f aca="false">V66*Supuestos!$C$18</f>
        <v>229</v>
      </c>
      <c r="W67" s="25" t="n">
        <f aca="false">W66*Supuestos!$C$18</f>
        <v>244</v>
      </c>
      <c r="X67" s="25" t="n">
        <f aca="false">X66*Supuestos!$C$18</f>
        <v>260</v>
      </c>
      <c r="Y67" s="25" t="n">
        <f aca="false">Y66*Supuestos!$C$18</f>
        <v>275</v>
      </c>
      <c r="Z67" s="25" t="n">
        <f aca="false">Z66*Supuestos!$C$18</f>
        <v>290</v>
      </c>
      <c r="AA67" s="25" t="n">
        <f aca="false">AA66*Supuestos!$C$18</f>
        <v>305</v>
      </c>
      <c r="AB67" s="25" t="n">
        <f aca="false">AB66*Supuestos!$C$18</f>
        <v>321</v>
      </c>
      <c r="AC67" s="25" t="n">
        <f aca="false">AC66*Supuestos!$C$18</f>
        <v>336</v>
      </c>
      <c r="AD67" s="25" t="n">
        <f aca="false">AD66*Supuestos!$C$18</f>
        <v>351</v>
      </c>
      <c r="AE67" s="25" t="n">
        <f aca="false">AE66*Supuestos!$C$18</f>
        <v>367</v>
      </c>
      <c r="AF67" s="25" t="n">
        <f aca="false">AF66*Supuestos!$C$18</f>
        <v>382</v>
      </c>
      <c r="AG67" s="25" t="n">
        <f aca="false">AG66*Supuestos!$C$18</f>
        <v>397</v>
      </c>
      <c r="AH67" s="25" t="n">
        <f aca="false">AH66*Supuestos!$C$18</f>
        <v>412</v>
      </c>
      <c r="AI67" s="25" t="n">
        <f aca="false">AI66*Supuestos!$C$18</f>
        <v>428</v>
      </c>
      <c r="AJ67" s="25" t="n">
        <f aca="false">AJ66*Supuestos!$C$18</f>
        <v>443</v>
      </c>
      <c r="AK67" s="25" t="n">
        <f aca="false">AK66*Supuestos!$C$18</f>
        <v>458</v>
      </c>
      <c r="AL67" s="25" t="n">
        <f aca="false">AL66*Supuestos!$C$18</f>
        <v>473</v>
      </c>
      <c r="AM67" s="25" t="n">
        <f aca="false">AM66*Supuestos!$C$18</f>
        <v>489</v>
      </c>
      <c r="AN67" s="25" t="n">
        <f aca="false">AN66*Supuestos!$C$18</f>
        <v>504</v>
      </c>
      <c r="AO67" s="25" t="n">
        <f aca="false">AO66*Supuestos!$C$18</f>
        <v>519</v>
      </c>
      <c r="AP67" s="25" t="n">
        <f aca="false">AP66*Supuestos!$C$18</f>
        <v>534</v>
      </c>
      <c r="AQ67" s="25" t="n">
        <f aca="false">AQ66*Supuestos!$C$18</f>
        <v>549</v>
      </c>
      <c r="AR67" s="25" t="n">
        <f aca="false">AR66*Supuestos!$C$18</f>
        <v>564</v>
      </c>
      <c r="AS67" s="25" t="n">
        <f aca="false">AS66*Supuestos!$C$18</f>
        <v>579</v>
      </c>
      <c r="AT67" s="25" t="n">
        <f aca="false">AT66*Supuestos!$C$18</f>
        <v>595</v>
      </c>
      <c r="AU67" s="25" t="n">
        <f aca="false">AU66*Supuestos!$C$18</f>
        <v>610</v>
      </c>
      <c r="AV67" s="25" t="n">
        <f aca="false">AV66*Supuestos!$C$18</f>
        <v>625</v>
      </c>
      <c r="AW67" s="25" t="n">
        <f aca="false">AW66*Supuestos!$C$18</f>
        <v>640</v>
      </c>
      <c r="AX67" s="25" t="n">
        <f aca="false">AX66*Supuestos!$C$18</f>
        <v>656</v>
      </c>
      <c r="AY67" s="25" t="n">
        <f aca="false">AY66*Supuestos!$C$18</f>
        <v>670</v>
      </c>
      <c r="AZ67" s="25" t="n">
        <f aca="false">AZ66*Supuestos!$C$18</f>
        <v>683</v>
      </c>
      <c r="BA67" s="25" t="n">
        <f aca="false">BA66*Supuestos!$C$18</f>
        <v>695</v>
      </c>
      <c r="BB67" s="25" t="n">
        <f aca="false">BB66*Supuestos!$C$18</f>
        <v>706</v>
      </c>
      <c r="BC67" s="25" t="n">
        <f aca="false">BC66*Supuestos!$C$18</f>
        <v>715</v>
      </c>
      <c r="BD67" s="25" t="n">
        <f aca="false">BD66*Supuestos!$C$18</f>
        <v>723</v>
      </c>
      <c r="BE67" s="25" t="n">
        <f aca="false">BE66*Supuestos!$C$18</f>
        <v>730</v>
      </c>
      <c r="BF67" s="25" t="n">
        <f aca="false">BF66*Supuestos!$C$18</f>
        <v>735</v>
      </c>
      <c r="BG67" s="25" t="n">
        <f aca="false">BG66*Supuestos!$C$18</f>
        <v>739</v>
      </c>
      <c r="BH67" s="25" t="n">
        <f aca="false">BH66*Supuestos!$C$18</f>
        <v>742</v>
      </c>
      <c r="BI67" s="25" t="n">
        <f aca="false">BI66*Supuestos!$C$18</f>
        <v>744</v>
      </c>
      <c r="BJ67" s="25" t="n">
        <f aca="false">BJ66*Supuestos!$C$18</f>
        <v>744</v>
      </c>
    </row>
    <row r="68" customFormat="false" ht="15" hidden="false" customHeight="false" outlineLevel="0" collapsed="false">
      <c r="A68" s="1"/>
      <c r="B68" s="7" t="s">
        <v>185</v>
      </c>
      <c r="C68" s="19" t="n">
        <f aca="false">MAX(0,IF(C62-Supuestos!$C$32+1&gt;=1,INDEX($C$65:$BJ$65,1,C62-Supuestos!$C$32+1),0)-IF(C62&gt;$C$7,INDEX($C$65:$BJ$65,1,C62-$C$7),0))*Supuestos!$C$18</f>
        <v>0</v>
      </c>
      <c r="D68" s="19" t="n">
        <f aca="false">MAX(0,IF(D62-Supuestos!$C$32+1&gt;=1,INDEX($C$65:$BJ$65,1,D62-Supuestos!$C$32+1),0)-IF(D62&gt;$C$7,INDEX($C$65:$BJ$65,1,D62-$C$7),0))*Supuestos!$C$18</f>
        <v>0</v>
      </c>
      <c r="E68" s="19" t="n">
        <f aca="false">MAX(0,IF(E62-Supuestos!$C$32+1&gt;=1,INDEX($C$65:$BJ$65,1,E62-Supuestos!$C$32+1),0)-IF(E62&gt;$C$7,INDEX($C$65:$BJ$65,1,E62-$C$7),0))*Supuestos!$C$18</f>
        <v>0</v>
      </c>
      <c r="F68" s="19" t="n">
        <f aca="false">MAX(0,IF(F62-Supuestos!$C$32+1&gt;=1,INDEX($C$65:$BJ$65,1,F62-Supuestos!$C$32+1),0)-IF(F62&gt;$C$7,INDEX($C$65:$BJ$65,1,F62-$C$7),0))*Supuestos!$C$18</f>
        <v>0</v>
      </c>
      <c r="G68" s="19" t="n">
        <f aca="false">MAX(0,IF(G62-Supuestos!$C$32+1&gt;=1,INDEX($C$65:$BJ$65,1,G62-Supuestos!$C$32+1),0)-IF(G62&gt;$C$7,INDEX($C$65:$BJ$65,1,G62-$C$7),0))*Supuestos!$C$18</f>
        <v>0</v>
      </c>
      <c r="H68" s="19" t="n">
        <f aca="false">MAX(0,IF(H62-Supuestos!$C$32+1&gt;=1,INDEX($C$65:$BJ$65,1,H62-Supuestos!$C$32+1),0)-IF(H62&gt;$C$7,INDEX($C$65:$BJ$65,1,H62-$C$7),0))*Supuestos!$C$18</f>
        <v>0</v>
      </c>
      <c r="I68" s="19" t="n">
        <f aca="false">MAX(0,IF(I62-Supuestos!$C$32+1&gt;=1,INDEX($C$65:$BJ$65,1,I62-Supuestos!$C$32+1),0)-IF(I62&gt;$C$7,INDEX($C$65:$BJ$65,1,I62-$C$7),0))*Supuestos!$C$18</f>
        <v>2</v>
      </c>
      <c r="J68" s="19" t="n">
        <f aca="false">MAX(0,IF(J62-Supuestos!$C$32+1&gt;=1,INDEX($C$65:$BJ$65,1,J62-Supuestos!$C$32+1),0)-IF(J62&gt;$C$7,INDEX($C$65:$BJ$65,1,J62-$C$7),0))*Supuestos!$C$18</f>
        <v>5</v>
      </c>
      <c r="K68" s="19" t="n">
        <f aca="false">MAX(0,IF(K62-Supuestos!$C$32+1&gt;=1,INDEX($C$65:$BJ$65,1,K62-Supuestos!$C$32+1),0)-IF(K62&gt;$C$7,INDEX($C$65:$BJ$65,1,K62-$C$7),0))*Supuestos!$C$18</f>
        <v>10</v>
      </c>
      <c r="L68" s="19" t="n">
        <f aca="false">MAX(0,IF(L62-Supuestos!$C$32+1&gt;=1,INDEX($C$65:$BJ$65,1,L62-Supuestos!$C$32+1),0)-IF(L62&gt;$C$7,INDEX($C$65:$BJ$65,1,L62-$C$7),0))*Supuestos!$C$18</f>
        <v>16</v>
      </c>
      <c r="M68" s="19" t="n">
        <f aca="false">MAX(0,IF(M62-Supuestos!$C$32+1&gt;=1,INDEX($C$65:$BJ$65,1,M62-Supuestos!$C$32+1),0)-IF(M62&gt;$C$7,INDEX($C$65:$BJ$65,1,M62-$C$7),0))*Supuestos!$C$18</f>
        <v>23</v>
      </c>
      <c r="N68" s="19" t="n">
        <f aca="false">MAX(0,IF(N62-Supuestos!$C$32+1&gt;=1,INDEX($C$65:$BJ$65,1,N62-Supuestos!$C$32+1),0)-IF(N62&gt;$C$7,INDEX($C$65:$BJ$65,1,N62-$C$7),0))*Supuestos!$C$18</f>
        <v>31</v>
      </c>
      <c r="O68" s="19" t="n">
        <f aca="false">MAX(0,IF(O62-Supuestos!$C$32+1&gt;=1,INDEX($C$65:$BJ$65,1,O62-Supuestos!$C$32+1),0)-IF(O62&gt;$C$7,INDEX($C$65:$BJ$65,1,O62-$C$7),0))*Supuestos!$C$18</f>
        <v>39</v>
      </c>
      <c r="P68" s="19" t="n">
        <f aca="false">MAX(0,IF(P62-Supuestos!$C$32+1&gt;=1,INDEX($C$65:$BJ$65,1,P62-Supuestos!$C$32+1),0)-IF(P62&gt;$C$7,INDEX($C$65:$BJ$65,1,P62-$C$7),0))*Supuestos!$C$18</f>
        <v>47</v>
      </c>
      <c r="Q68" s="19" t="n">
        <f aca="false">MAX(0,IF(Q62-Supuestos!$C$32+1&gt;=1,INDEX($C$65:$BJ$65,1,Q62-Supuestos!$C$32+1),0)-IF(Q62&gt;$C$7,INDEX($C$65:$BJ$65,1,Q62-$C$7),0))*Supuestos!$C$18</f>
        <v>54</v>
      </c>
      <c r="R68" s="19" t="n">
        <f aca="false">MAX(0,IF(R62-Supuestos!$C$32+1&gt;=1,INDEX($C$65:$BJ$65,1,R62-Supuestos!$C$32+1),0)-IF(R62&gt;$C$7,INDEX($C$65:$BJ$65,1,R62-$C$7),0))*Supuestos!$C$18</f>
        <v>61</v>
      </c>
      <c r="S68" s="19" t="n">
        <f aca="false">MAX(0,IF(S62-Supuestos!$C$32+1&gt;=1,INDEX($C$65:$BJ$65,1,S62-Supuestos!$C$32+1),0)-IF(S62&gt;$C$7,INDEX($C$65:$BJ$65,1,S62-$C$7),0))*Supuestos!$C$18</f>
        <v>69</v>
      </c>
      <c r="T68" s="19" t="n">
        <f aca="false">MAX(0,IF(T62-Supuestos!$C$32+1&gt;=1,INDEX($C$65:$BJ$65,1,T62-Supuestos!$C$32+1),0)-IF(T62&gt;$C$7,INDEX($C$65:$BJ$65,1,T62-$C$7),0))*Supuestos!$C$18</f>
        <v>77</v>
      </c>
      <c r="U68" s="19" t="n">
        <f aca="false">MAX(0,IF(U62-Supuestos!$C$32+1&gt;=1,INDEX($C$65:$BJ$65,1,U62-Supuestos!$C$32+1),0)-IF(U62&gt;$C$7,INDEX($C$65:$BJ$65,1,U62-$C$7),0))*Supuestos!$C$18</f>
        <v>84</v>
      </c>
      <c r="V68" s="19" t="n">
        <f aca="false">MAX(0,IF(V62-Supuestos!$C$32+1&gt;=1,INDEX($C$65:$BJ$65,1,V62-Supuestos!$C$32+1),0)-IF(V62&gt;$C$7,INDEX($C$65:$BJ$65,1,V62-$C$7),0))*Supuestos!$C$18</f>
        <v>91</v>
      </c>
      <c r="W68" s="19" t="n">
        <f aca="false">MAX(0,IF(W62-Supuestos!$C$32+1&gt;=1,INDEX($C$65:$BJ$65,1,W62-Supuestos!$C$32+1),0)-IF(W62&gt;$C$7,INDEX($C$65:$BJ$65,1,W62-$C$7),0))*Supuestos!$C$18</f>
        <v>99</v>
      </c>
      <c r="X68" s="19" t="n">
        <f aca="false">MAX(0,IF(X62-Supuestos!$C$32+1&gt;=1,INDEX($C$65:$BJ$65,1,X62-Supuestos!$C$32+1),0)-IF(X62&gt;$C$7,INDEX($C$65:$BJ$65,1,X62-$C$7),0))*Supuestos!$C$18</f>
        <v>107</v>
      </c>
      <c r="Y68" s="19" t="n">
        <f aca="false">MAX(0,IF(Y62-Supuestos!$C$32+1&gt;=1,INDEX($C$65:$BJ$65,1,Y62-Supuestos!$C$32+1),0)-IF(Y62&gt;$C$7,INDEX($C$65:$BJ$65,1,Y62-$C$7),0))*Supuestos!$C$18</f>
        <v>114</v>
      </c>
      <c r="Z68" s="19" t="n">
        <f aca="false">MAX(0,IF(Z62-Supuestos!$C$32+1&gt;=1,INDEX($C$65:$BJ$65,1,Z62-Supuestos!$C$32+1),0)-IF(Z62&gt;$C$7,INDEX($C$65:$BJ$65,1,Z62-$C$7),0))*Supuestos!$C$18</f>
        <v>122</v>
      </c>
      <c r="AA68" s="19" t="n">
        <f aca="false">MAX(0,IF(AA62-Supuestos!$C$32+1&gt;=1,INDEX($C$65:$BJ$65,1,AA62-Supuestos!$C$32+1),0)-IF(AA62&gt;$C$7,INDEX($C$65:$BJ$65,1,AA62-$C$7),0))*Supuestos!$C$18</f>
        <v>130</v>
      </c>
      <c r="AB68" s="19" t="n">
        <f aca="false">MAX(0,IF(AB62-Supuestos!$C$32+1&gt;=1,INDEX($C$65:$BJ$65,1,AB62-Supuestos!$C$32+1),0)-IF(AB62&gt;$C$7,INDEX($C$65:$BJ$65,1,AB62-$C$7),0))*Supuestos!$C$18</f>
        <v>138</v>
      </c>
      <c r="AC68" s="19" t="n">
        <f aca="false">MAX(0,IF(AC62-Supuestos!$C$32+1&gt;=1,INDEX($C$65:$BJ$65,1,AC62-Supuestos!$C$32+1),0)-IF(AC62&gt;$C$7,INDEX($C$65:$BJ$65,1,AC62-$C$7),0))*Supuestos!$C$18</f>
        <v>145</v>
      </c>
      <c r="AD68" s="19" t="n">
        <f aca="false">MAX(0,IF(AD62-Supuestos!$C$32+1&gt;=1,INDEX($C$65:$BJ$65,1,AD62-Supuestos!$C$32+1),0)-IF(AD62&gt;$C$7,INDEX($C$65:$BJ$65,1,AD62-$C$7),0))*Supuestos!$C$18</f>
        <v>153</v>
      </c>
      <c r="AE68" s="19" t="n">
        <f aca="false">MAX(0,IF(AE62-Supuestos!$C$32+1&gt;=1,INDEX($C$65:$BJ$65,1,AE62-Supuestos!$C$32+1),0)-IF(AE62&gt;$C$7,INDEX($C$65:$BJ$65,1,AE62-$C$7),0))*Supuestos!$C$18</f>
        <v>161</v>
      </c>
      <c r="AF68" s="19" t="n">
        <f aca="false">MAX(0,IF(AF62-Supuestos!$C$32+1&gt;=1,INDEX($C$65:$BJ$65,1,AF62-Supuestos!$C$32+1),0)-IF(AF62&gt;$C$7,INDEX($C$65:$BJ$65,1,AF62-$C$7),0))*Supuestos!$C$18</f>
        <v>168</v>
      </c>
      <c r="AG68" s="19" t="n">
        <f aca="false">MAX(0,IF(AG62-Supuestos!$C$32+1&gt;=1,INDEX($C$65:$BJ$65,1,AG62-Supuestos!$C$32+1),0)-IF(AG62&gt;$C$7,INDEX($C$65:$BJ$65,1,AG62-$C$7),0))*Supuestos!$C$18</f>
        <v>175</v>
      </c>
      <c r="AH68" s="19" t="n">
        <f aca="false">MAX(0,IF(AH62-Supuestos!$C$32+1&gt;=1,INDEX($C$65:$BJ$65,1,AH62-Supuestos!$C$32+1),0)-IF(AH62&gt;$C$7,INDEX($C$65:$BJ$65,1,AH62-$C$7),0))*Supuestos!$C$18</f>
        <v>183</v>
      </c>
      <c r="AI68" s="19" t="n">
        <f aca="false">MAX(0,IF(AI62-Supuestos!$C$32+1&gt;=1,INDEX($C$65:$BJ$65,1,AI62-Supuestos!$C$32+1),0)-IF(AI62&gt;$C$7,INDEX($C$65:$BJ$65,1,AI62-$C$7),0))*Supuestos!$C$18</f>
        <v>191</v>
      </c>
      <c r="AJ68" s="19" t="n">
        <f aca="false">MAX(0,IF(AJ62-Supuestos!$C$32+1&gt;=1,INDEX($C$65:$BJ$65,1,AJ62-Supuestos!$C$32+1),0)-IF(AJ62&gt;$C$7,INDEX($C$65:$BJ$65,1,AJ62-$C$7),0))*Supuestos!$C$18</f>
        <v>198</v>
      </c>
      <c r="AK68" s="19" t="n">
        <f aca="false">MAX(0,IF(AK62-Supuestos!$C$32+1&gt;=1,INDEX($C$65:$BJ$65,1,AK62-Supuestos!$C$32+1),0)-IF(AK62&gt;$C$7,INDEX($C$65:$BJ$65,1,AK62-$C$7),0))*Supuestos!$C$18</f>
        <v>206</v>
      </c>
      <c r="AL68" s="19" t="n">
        <f aca="false">MAX(0,IF(AL62-Supuestos!$C$32+1&gt;=1,INDEX($C$65:$BJ$65,1,AL62-Supuestos!$C$32+1),0)-IF(AL62&gt;$C$7,INDEX($C$65:$BJ$65,1,AL62-$C$7),0))*Supuestos!$C$18</f>
        <v>214</v>
      </c>
      <c r="AM68" s="19" t="n">
        <f aca="false">MAX(0,IF(AM62-Supuestos!$C$32+1&gt;=1,INDEX($C$65:$BJ$65,1,AM62-Supuestos!$C$32+1),0)-IF(AM62&gt;$C$7,INDEX($C$65:$BJ$65,1,AM62-$C$7),0))*Supuestos!$C$18</f>
        <v>222</v>
      </c>
      <c r="AN68" s="19" t="n">
        <f aca="false">MAX(0,IF(AN62-Supuestos!$C$32+1&gt;=1,INDEX($C$65:$BJ$65,1,AN62-Supuestos!$C$32+1),0)-IF(AN62&gt;$C$7,INDEX($C$65:$BJ$65,1,AN62-$C$7),0))*Supuestos!$C$18</f>
        <v>229</v>
      </c>
      <c r="AO68" s="19" t="n">
        <f aca="false">MAX(0,IF(AO62-Supuestos!$C$32+1&gt;=1,INDEX($C$65:$BJ$65,1,AO62-Supuestos!$C$32+1),0)-IF(AO62&gt;$C$7,INDEX($C$65:$BJ$65,1,AO62-$C$7),0))*Supuestos!$C$18</f>
        <v>237</v>
      </c>
      <c r="AP68" s="19" t="n">
        <f aca="false">MAX(0,IF(AP62-Supuestos!$C$32+1&gt;=1,INDEX($C$65:$BJ$65,1,AP62-Supuestos!$C$32+1),0)-IF(AP62&gt;$C$7,INDEX($C$65:$BJ$65,1,AP62-$C$7),0))*Supuestos!$C$18</f>
        <v>245</v>
      </c>
      <c r="AQ68" s="19" t="n">
        <f aca="false">MAX(0,IF(AQ62-Supuestos!$C$32+1&gt;=1,INDEX($C$65:$BJ$65,1,AQ62-Supuestos!$C$32+1),0)-IF(AQ62&gt;$C$7,INDEX($C$65:$BJ$65,1,AQ62-$C$7),0))*Supuestos!$C$18</f>
        <v>252</v>
      </c>
      <c r="AR68" s="19" t="n">
        <f aca="false">MAX(0,IF(AR62-Supuestos!$C$32+1&gt;=1,INDEX($C$65:$BJ$65,1,AR62-Supuestos!$C$32+1),0)-IF(AR62&gt;$C$7,INDEX($C$65:$BJ$65,1,AR62-$C$7),0))*Supuestos!$C$18</f>
        <v>259</v>
      </c>
      <c r="AS68" s="19" t="n">
        <f aca="false">MAX(0,IF(AS62-Supuestos!$C$32+1&gt;=1,INDEX($C$65:$BJ$65,1,AS62-Supuestos!$C$32+1),0)-IF(AS62&gt;$C$7,INDEX($C$65:$BJ$65,1,AS62-$C$7),0))*Supuestos!$C$18</f>
        <v>267</v>
      </c>
      <c r="AT68" s="19" t="n">
        <f aca="false">MAX(0,IF(AT62-Supuestos!$C$32+1&gt;=1,INDEX($C$65:$BJ$65,1,AT62-Supuestos!$C$32+1),0)-IF(AT62&gt;$C$7,INDEX($C$65:$BJ$65,1,AT62-$C$7),0))*Supuestos!$C$18</f>
        <v>275</v>
      </c>
      <c r="AU68" s="19" t="n">
        <f aca="false">MAX(0,IF(AU62-Supuestos!$C$32+1&gt;=1,INDEX($C$65:$BJ$65,1,AU62-Supuestos!$C$32+1),0)-IF(AU62&gt;$C$7,INDEX($C$65:$BJ$65,1,AU62-$C$7),0))*Supuestos!$C$18</f>
        <v>282</v>
      </c>
      <c r="AV68" s="19" t="n">
        <f aca="false">MAX(0,IF(AV62-Supuestos!$C$32+1&gt;=1,INDEX($C$65:$BJ$65,1,AV62-Supuestos!$C$32+1),0)-IF(AV62&gt;$C$7,INDEX($C$65:$BJ$65,1,AV62-$C$7),0))*Supuestos!$C$18</f>
        <v>289</v>
      </c>
      <c r="AW68" s="19" t="n">
        <f aca="false">MAX(0,IF(AW62-Supuestos!$C$32+1&gt;=1,INDEX($C$65:$BJ$65,1,AW62-Supuestos!$C$32+1),0)-IF(AW62&gt;$C$7,INDEX($C$65:$BJ$65,1,AW62-$C$7),0))*Supuestos!$C$18</f>
        <v>297</v>
      </c>
      <c r="AX68" s="19" t="n">
        <f aca="false">MAX(0,IF(AX62-Supuestos!$C$32+1&gt;=1,INDEX($C$65:$BJ$65,1,AX62-Supuestos!$C$32+1),0)-IF(AX62&gt;$C$7,INDEX($C$65:$BJ$65,1,AX62-$C$7),0))*Supuestos!$C$18</f>
        <v>305</v>
      </c>
      <c r="AY68" s="19" t="n">
        <f aca="false">MAX(0,IF(AY62-Supuestos!$C$32+1&gt;=1,INDEX($C$65:$BJ$65,1,AY62-Supuestos!$C$32+1),0)-IF(AY62&gt;$C$7,INDEX($C$65:$BJ$65,1,AY62-$C$7),0))*Supuestos!$C$18</f>
        <v>312</v>
      </c>
      <c r="AZ68" s="19" t="n">
        <f aca="false">MAX(0,IF(AZ62-Supuestos!$C$32+1&gt;=1,INDEX($C$65:$BJ$65,1,AZ62-Supuestos!$C$32+1),0)-IF(AZ62&gt;$C$7,INDEX($C$65:$BJ$65,1,AZ62-$C$7),0))*Supuestos!$C$18</f>
        <v>320</v>
      </c>
      <c r="BA68" s="19" t="n">
        <f aca="false">MAX(0,IF(BA62-Supuestos!$C$32+1&gt;=1,INDEX($C$65:$BJ$65,1,BA62-Supuestos!$C$32+1),0)-IF(BA62&gt;$C$7,INDEX($C$65:$BJ$65,1,BA62-$C$7),0))*Supuestos!$C$18</f>
        <v>328</v>
      </c>
      <c r="BB68" s="19" t="n">
        <f aca="false">MAX(0,IF(BB62-Supuestos!$C$32+1&gt;=1,INDEX($C$65:$BJ$65,1,BB62-Supuestos!$C$32+1),0)-IF(BB62&gt;$C$7,INDEX($C$65:$BJ$65,1,BB62-$C$7),0))*Supuestos!$C$18</f>
        <v>336</v>
      </c>
      <c r="BC68" s="19" t="n">
        <f aca="false">MAX(0,IF(BC62-Supuestos!$C$32+1&gt;=1,INDEX($C$65:$BJ$65,1,BC62-Supuestos!$C$32+1),0)-IF(BC62&gt;$C$7,INDEX($C$65:$BJ$65,1,BC62-$C$7),0))*Supuestos!$C$18</f>
        <v>343</v>
      </c>
      <c r="BD68" s="19" t="n">
        <f aca="false">MAX(0,IF(BD62-Supuestos!$C$32+1&gt;=1,INDEX($C$65:$BJ$65,1,BD62-Supuestos!$C$32+1),0)-IF(BD62&gt;$C$7,INDEX($C$65:$BJ$65,1,BD62-$C$7),0))*Supuestos!$C$18</f>
        <v>351</v>
      </c>
      <c r="BE68" s="19" t="n">
        <f aca="false">MAX(0,IF(BE62-Supuestos!$C$32+1&gt;=1,INDEX($C$65:$BJ$65,1,BE62-Supuestos!$C$32+1),0)-IF(BE62&gt;$C$7,INDEX($C$65:$BJ$65,1,BE62-$C$7),0))*Supuestos!$C$18</f>
        <v>358</v>
      </c>
      <c r="BF68" s="19" t="n">
        <f aca="false">MAX(0,IF(BF62-Supuestos!$C$32+1&gt;=1,INDEX($C$65:$BJ$65,1,BF62-Supuestos!$C$32+1),0)-IF(BF62&gt;$C$7,INDEX($C$65:$BJ$65,1,BF62-$C$7),0))*Supuestos!$C$18</f>
        <v>363</v>
      </c>
      <c r="BG68" s="19" t="n">
        <f aca="false">MAX(0,IF(BG62-Supuestos!$C$32+1&gt;=1,INDEX($C$65:$BJ$65,1,BG62-Supuestos!$C$32+1),0)-IF(BG62&gt;$C$7,INDEX($C$65:$BJ$65,1,BG62-$C$7),0))*Supuestos!$C$18</f>
        <v>367</v>
      </c>
      <c r="BH68" s="19" t="n">
        <f aca="false">MAX(0,IF(BH62-Supuestos!$C$32+1&gt;=1,INDEX($C$65:$BJ$65,1,BH62-Supuestos!$C$32+1),0)-IF(BH62&gt;$C$7,INDEX($C$65:$BJ$65,1,BH62-$C$7),0))*Supuestos!$C$18</f>
        <v>370</v>
      </c>
      <c r="BI68" s="19" t="n">
        <f aca="false">MAX(0,IF(BI62-Supuestos!$C$32+1&gt;=1,INDEX($C$65:$BJ$65,1,BI62-Supuestos!$C$32+1),0)-IF(BI62&gt;$C$7,INDEX($C$65:$BJ$65,1,BI62-$C$7),0))*Supuestos!$C$18</f>
        <v>372</v>
      </c>
      <c r="BJ68" s="19" t="n">
        <f aca="false">MAX(0,IF(BJ62-Supuestos!$C$32+1&gt;=1,INDEX($C$65:$BJ$65,1,BJ62-Supuestos!$C$32+1),0)-IF(BJ62&gt;$C$7,INDEX($C$65:$BJ$65,1,BJ62-$C$7),0))*Supuestos!$C$18</f>
        <v>372</v>
      </c>
    </row>
    <row r="69" customFormat="false" ht="15" hidden="false" customHeight="false" outlineLevel="0" collapsed="false">
      <c r="A69" s="1"/>
      <c r="B69" s="7" t="s">
        <v>186</v>
      </c>
      <c r="C69" s="19" t="n">
        <f aca="false">C67-C68</f>
        <v>2</v>
      </c>
      <c r="D69" s="19" t="n">
        <f aca="false">D67-D68</f>
        <v>5</v>
      </c>
      <c r="E69" s="19" t="n">
        <f aca="false">E67-E68</f>
        <v>10</v>
      </c>
      <c r="F69" s="19" t="n">
        <f aca="false">F67-F68</f>
        <v>16</v>
      </c>
      <c r="G69" s="19" t="n">
        <f aca="false">G67-G68</f>
        <v>23</v>
      </c>
      <c r="H69" s="19" t="n">
        <f aca="false">H67-H68</f>
        <v>31</v>
      </c>
      <c r="I69" s="19" t="n">
        <f aca="false">I67-I68</f>
        <v>39</v>
      </c>
      <c r="J69" s="19" t="n">
        <f aca="false">J67-J68</f>
        <v>47</v>
      </c>
      <c r="K69" s="19" t="n">
        <f aca="false">K67-K68</f>
        <v>54</v>
      </c>
      <c r="L69" s="19" t="n">
        <f aca="false">L67-L68</f>
        <v>61</v>
      </c>
      <c r="M69" s="19" t="n">
        <f aca="false">M67-M68</f>
        <v>69</v>
      </c>
      <c r="N69" s="19" t="n">
        <f aca="false">N67-N68</f>
        <v>77</v>
      </c>
      <c r="O69" s="19" t="n">
        <f aca="false">O67-O68</f>
        <v>84</v>
      </c>
      <c r="P69" s="19" t="n">
        <f aca="false">P67-P68</f>
        <v>91</v>
      </c>
      <c r="Q69" s="19" t="n">
        <f aca="false">Q67-Q68</f>
        <v>99</v>
      </c>
      <c r="R69" s="19" t="n">
        <f aca="false">R67-R68</f>
        <v>107</v>
      </c>
      <c r="S69" s="19" t="n">
        <f aca="false">S67-S68</f>
        <v>114</v>
      </c>
      <c r="T69" s="19" t="n">
        <f aca="false">T67-T68</f>
        <v>122</v>
      </c>
      <c r="U69" s="19" t="n">
        <f aca="false">U67-U68</f>
        <v>130</v>
      </c>
      <c r="V69" s="19" t="n">
        <f aca="false">V67-V68</f>
        <v>138</v>
      </c>
      <c r="W69" s="19" t="n">
        <f aca="false">W67-W68</f>
        <v>145</v>
      </c>
      <c r="X69" s="19" t="n">
        <f aca="false">X67-X68</f>
        <v>153</v>
      </c>
      <c r="Y69" s="19" t="n">
        <f aca="false">Y67-Y68</f>
        <v>161</v>
      </c>
      <c r="Z69" s="19" t="n">
        <f aca="false">Z67-Z68</f>
        <v>168</v>
      </c>
      <c r="AA69" s="19" t="n">
        <f aca="false">AA67-AA68</f>
        <v>175</v>
      </c>
      <c r="AB69" s="19" t="n">
        <f aca="false">AB67-AB68</f>
        <v>183</v>
      </c>
      <c r="AC69" s="19" t="n">
        <f aca="false">AC67-AC68</f>
        <v>191</v>
      </c>
      <c r="AD69" s="19" t="n">
        <f aca="false">AD67-AD68</f>
        <v>198</v>
      </c>
      <c r="AE69" s="19" t="n">
        <f aca="false">AE67-AE68</f>
        <v>206</v>
      </c>
      <c r="AF69" s="19" t="n">
        <f aca="false">AF67-AF68</f>
        <v>214</v>
      </c>
      <c r="AG69" s="19" t="n">
        <f aca="false">AG67-AG68</f>
        <v>222</v>
      </c>
      <c r="AH69" s="19" t="n">
        <f aca="false">AH67-AH68</f>
        <v>229</v>
      </c>
      <c r="AI69" s="19" t="n">
        <f aca="false">AI67-AI68</f>
        <v>237</v>
      </c>
      <c r="AJ69" s="19" t="n">
        <f aca="false">AJ67-AJ68</f>
        <v>245</v>
      </c>
      <c r="AK69" s="19" t="n">
        <f aca="false">AK67-AK68</f>
        <v>252</v>
      </c>
      <c r="AL69" s="19" t="n">
        <f aca="false">AL67-AL68</f>
        <v>259</v>
      </c>
      <c r="AM69" s="19" t="n">
        <f aca="false">AM67-AM68</f>
        <v>267</v>
      </c>
      <c r="AN69" s="19" t="n">
        <f aca="false">AN67-AN68</f>
        <v>275</v>
      </c>
      <c r="AO69" s="19" t="n">
        <f aca="false">AO67-AO68</f>
        <v>282</v>
      </c>
      <c r="AP69" s="19" t="n">
        <f aca="false">AP67-AP68</f>
        <v>289</v>
      </c>
      <c r="AQ69" s="19" t="n">
        <f aca="false">AQ67-AQ68</f>
        <v>297</v>
      </c>
      <c r="AR69" s="19" t="n">
        <f aca="false">AR67-AR68</f>
        <v>305</v>
      </c>
      <c r="AS69" s="19" t="n">
        <f aca="false">AS67-AS68</f>
        <v>312</v>
      </c>
      <c r="AT69" s="19" t="n">
        <f aca="false">AT67-AT68</f>
        <v>320</v>
      </c>
      <c r="AU69" s="19" t="n">
        <f aca="false">AU67-AU68</f>
        <v>328</v>
      </c>
      <c r="AV69" s="19" t="n">
        <f aca="false">AV67-AV68</f>
        <v>336</v>
      </c>
      <c r="AW69" s="19" t="n">
        <f aca="false">AW67-AW68</f>
        <v>343</v>
      </c>
      <c r="AX69" s="19" t="n">
        <f aca="false">AX67-AX68</f>
        <v>351</v>
      </c>
      <c r="AY69" s="19" t="n">
        <f aca="false">AY67-AY68</f>
        <v>358</v>
      </c>
      <c r="AZ69" s="19" t="n">
        <f aca="false">AZ67-AZ68</f>
        <v>363</v>
      </c>
      <c r="BA69" s="19" t="n">
        <f aca="false">BA67-BA68</f>
        <v>367</v>
      </c>
      <c r="BB69" s="19" t="n">
        <f aca="false">BB67-BB68</f>
        <v>370</v>
      </c>
      <c r="BC69" s="19" t="n">
        <f aca="false">BC67-BC68</f>
        <v>372</v>
      </c>
      <c r="BD69" s="19" t="n">
        <f aca="false">BD67-BD68</f>
        <v>372</v>
      </c>
      <c r="BE69" s="19" t="n">
        <f aca="false">BE67-BE68</f>
        <v>372</v>
      </c>
      <c r="BF69" s="19" t="n">
        <f aca="false">BF67-BF68</f>
        <v>372</v>
      </c>
      <c r="BG69" s="19" t="n">
        <f aca="false">BG67-BG68</f>
        <v>372</v>
      </c>
      <c r="BH69" s="19" t="n">
        <f aca="false">BH67-BH68</f>
        <v>372</v>
      </c>
      <c r="BI69" s="19" t="n">
        <f aca="false">BI67-BI68</f>
        <v>372</v>
      </c>
      <c r="BJ69" s="19" t="n">
        <f aca="false">BJ67-BJ68</f>
        <v>372</v>
      </c>
    </row>
    <row r="70" customFormat="false" ht="15" hidden="false" customHeight="false" outlineLevel="0" collapsed="false">
      <c r="A70" s="1"/>
      <c r="B70" s="7" t="s">
        <v>187</v>
      </c>
      <c r="C70" s="19" t="n">
        <f aca="false">C64*$C$5</f>
        <v>3000000</v>
      </c>
      <c r="D70" s="19" t="n">
        <f aca="false">D64*$C$5</f>
        <v>4500000</v>
      </c>
      <c r="E70" s="19" t="n">
        <f aca="false">E64*$C$5</f>
        <v>7500000</v>
      </c>
      <c r="F70" s="19" t="n">
        <f aca="false">F64*$C$5</f>
        <v>9000000</v>
      </c>
      <c r="G70" s="19" t="n">
        <f aca="false">G64*$C$5</f>
        <v>10500000</v>
      </c>
      <c r="H70" s="19" t="n">
        <f aca="false">H64*$C$5</f>
        <v>12000000</v>
      </c>
      <c r="I70" s="19" t="n">
        <f aca="false">I64*$C$5</f>
        <v>15000000</v>
      </c>
      <c r="J70" s="19" t="n">
        <f aca="false">J64*$C$5</f>
        <v>16500000</v>
      </c>
      <c r="K70" s="19" t="n">
        <f aca="false">K64*$C$5</f>
        <v>18000000</v>
      </c>
      <c r="L70" s="19" t="n">
        <f aca="false">L64*$C$5</f>
        <v>19500000</v>
      </c>
      <c r="M70" s="19" t="n">
        <f aca="false">M64*$C$5</f>
        <v>22500000</v>
      </c>
      <c r="N70" s="19" t="n">
        <f aca="false">N64*$C$5</f>
        <v>24000000</v>
      </c>
      <c r="O70" s="19" t="n">
        <f aca="false">O64*$C$5</f>
        <v>25500000</v>
      </c>
      <c r="P70" s="19" t="n">
        <f aca="false">P64*$C$5</f>
        <v>27000000</v>
      </c>
      <c r="Q70" s="19" t="n">
        <f aca="false">Q64*$C$5</f>
        <v>30000000</v>
      </c>
      <c r="R70" s="19" t="n">
        <f aca="false">R64*$C$5</f>
        <v>31500000</v>
      </c>
      <c r="S70" s="19" t="n">
        <f aca="false">S64*$C$5</f>
        <v>33000000</v>
      </c>
      <c r="T70" s="19" t="n">
        <f aca="false">T64*$C$5</f>
        <v>36000000</v>
      </c>
      <c r="U70" s="19" t="n">
        <f aca="false">U64*$C$5</f>
        <v>37500000</v>
      </c>
      <c r="V70" s="19" t="n">
        <f aca="false">V64*$C$5</f>
        <v>39000000</v>
      </c>
      <c r="W70" s="19" t="n">
        <f aca="false">W64*$C$5</f>
        <v>40500000</v>
      </c>
      <c r="X70" s="19" t="n">
        <f aca="false">X64*$C$5</f>
        <v>43500000</v>
      </c>
      <c r="Y70" s="19" t="n">
        <f aca="false">Y64*$C$5</f>
        <v>45000000</v>
      </c>
      <c r="Z70" s="19" t="n">
        <f aca="false">Z64*$C$5</f>
        <v>46500000</v>
      </c>
      <c r="AA70" s="19" t="n">
        <f aca="false">AA64*$C$5</f>
        <v>48000000</v>
      </c>
      <c r="AB70" s="19" t="n">
        <f aca="false">AB64*$C$5</f>
        <v>51000000</v>
      </c>
      <c r="AC70" s="19" t="n">
        <f aca="false">AC64*$C$5</f>
        <v>52500000</v>
      </c>
      <c r="AD70" s="19" t="n">
        <f aca="false">AD64*$C$5</f>
        <v>54000000</v>
      </c>
      <c r="AE70" s="19" t="n">
        <f aca="false">AE64*$C$5</f>
        <v>57000000</v>
      </c>
      <c r="AF70" s="19" t="n">
        <f aca="false">AF64*$C$5</f>
        <v>58500000</v>
      </c>
      <c r="AG70" s="19" t="n">
        <f aca="false">AG64*$C$5</f>
        <v>60000000</v>
      </c>
      <c r="AH70" s="19" t="n">
        <f aca="false">AH64*$C$5</f>
        <v>61500000</v>
      </c>
      <c r="AI70" s="19" t="n">
        <f aca="false">AI64*$C$5</f>
        <v>64500000</v>
      </c>
      <c r="AJ70" s="19" t="n">
        <f aca="false">AJ64*$C$5</f>
        <v>66000000</v>
      </c>
      <c r="AK70" s="19" t="n">
        <f aca="false">AK64*$C$5</f>
        <v>67500000</v>
      </c>
      <c r="AL70" s="19" t="n">
        <f aca="false">AL64*$C$5</f>
        <v>69000000</v>
      </c>
      <c r="AM70" s="19" t="n">
        <f aca="false">AM64*$C$5</f>
        <v>72000000</v>
      </c>
      <c r="AN70" s="19" t="n">
        <f aca="false">AN64*$C$5</f>
        <v>73500000</v>
      </c>
      <c r="AO70" s="19" t="n">
        <f aca="false">AO64*$C$5</f>
        <v>75000000</v>
      </c>
      <c r="AP70" s="19" t="n">
        <f aca="false">AP64*$C$5</f>
        <v>76500000</v>
      </c>
      <c r="AQ70" s="19" t="n">
        <f aca="false">AQ64*$C$5</f>
        <v>79500000</v>
      </c>
      <c r="AR70" s="19" t="n">
        <f aca="false">AR64*$C$5</f>
        <v>81000000</v>
      </c>
      <c r="AS70" s="19" t="n">
        <f aca="false">AS64*$C$5</f>
        <v>82500000</v>
      </c>
      <c r="AT70" s="19" t="n">
        <f aca="false">AT64*$C$5</f>
        <v>85500000</v>
      </c>
      <c r="AU70" s="19" t="n">
        <f aca="false">AU64*$C$5</f>
        <v>87000000</v>
      </c>
      <c r="AV70" s="19" t="n">
        <f aca="false">AV64*$C$5</f>
        <v>88500000</v>
      </c>
      <c r="AW70" s="19" t="n">
        <f aca="false">AW64*$C$5</f>
        <v>90000000</v>
      </c>
      <c r="AX70" s="19" t="n">
        <f aca="false">AX64*$C$5</f>
        <v>93000000</v>
      </c>
      <c r="AY70" s="19" t="n">
        <f aca="false">AY64*$C$5</f>
        <v>93000000</v>
      </c>
      <c r="AZ70" s="19" t="n">
        <f aca="false">AZ64*$C$5</f>
        <v>93000000</v>
      </c>
      <c r="BA70" s="19" t="n">
        <f aca="false">BA64*$C$5</f>
        <v>93000000</v>
      </c>
      <c r="BB70" s="19" t="n">
        <f aca="false">BB64*$C$5</f>
        <v>93000000</v>
      </c>
      <c r="BC70" s="19" t="n">
        <f aca="false">BC64*$C$5</f>
        <v>93000000</v>
      </c>
      <c r="BD70" s="19" t="n">
        <f aca="false">BD64*$C$5</f>
        <v>93000000</v>
      </c>
      <c r="BE70" s="19" t="n">
        <f aca="false">BE64*$C$5</f>
        <v>93000000</v>
      </c>
      <c r="BF70" s="19" t="n">
        <f aca="false">BF64*$C$5</f>
        <v>93000000</v>
      </c>
      <c r="BG70" s="19" t="n">
        <f aca="false">BG64*$C$5</f>
        <v>93000000</v>
      </c>
      <c r="BH70" s="19" t="n">
        <f aca="false">BH64*$C$5</f>
        <v>93000000</v>
      </c>
      <c r="BI70" s="19" t="n">
        <f aca="false">BI64*$C$5</f>
        <v>93000000</v>
      </c>
      <c r="BJ70" s="19" t="n">
        <f aca="false">BJ64*$C$5</f>
        <v>93000000</v>
      </c>
    </row>
    <row r="71" customFormat="false" ht="15" hidden="false" customHeight="false" outlineLevel="0" collapsed="false">
      <c r="A71" s="1"/>
      <c r="B71" s="7" t="s">
        <v>188</v>
      </c>
      <c r="C71" s="19" t="n">
        <f aca="false">C70</f>
        <v>3000000</v>
      </c>
      <c r="D71" s="19" t="n">
        <f aca="false">C75+D70</f>
        <v>7285593.87048296</v>
      </c>
      <c r="E71" s="19" t="n">
        <f aca="false">D75+E70</f>
        <v>14243682.3781286</v>
      </c>
      <c r="F71" s="19" t="n">
        <f aca="false">E75+F70</f>
        <v>22150852.995942</v>
      </c>
      <c r="G71" s="19" t="n">
        <f aca="false">F75+G70</f>
        <v>30884752.417194</v>
      </c>
      <c r="H71" s="19" t="n">
        <f aca="false">G75+H70</f>
        <v>40319662.6192209</v>
      </c>
      <c r="I71" s="19" t="n">
        <f aca="false">H75+I70</f>
        <v>51826408.3337353</v>
      </c>
      <c r="J71" s="19" t="n">
        <f aca="false">I75+J70</f>
        <v>63665058.9078137</v>
      </c>
      <c r="K71" s="19" t="n">
        <f aca="false">J75+K70</f>
        <v>75696288.6603355</v>
      </c>
      <c r="L71" s="19" t="n">
        <f aca="false">K75+L70</f>
        <v>87776940.4539494</v>
      </c>
      <c r="M71" s="19" t="n">
        <f aca="false">L75+M70</f>
        <v>101259920.330027</v>
      </c>
      <c r="N71" s="19" t="n">
        <f aca="false">M75+N70</f>
        <v>114386886.181319</v>
      </c>
      <c r="O71" s="19" t="n">
        <f aca="false">N75+O70</f>
        <v>126999594.557385</v>
      </c>
      <c r="P71" s="19" t="n">
        <f aca="false">O75+P70</f>
        <v>139232356.442415</v>
      </c>
      <c r="Q71" s="19" t="n">
        <f aca="false">P75+Q70</f>
        <v>152574723.307905</v>
      </c>
      <c r="R71" s="19" t="n">
        <f aca="false">Q75+R70</f>
        <v>165557209.290819</v>
      </c>
      <c r="S71" s="19" t="n">
        <f aca="false">R75+S70</f>
        <v>178169917.666885</v>
      </c>
      <c r="T71" s="19" t="n">
        <f aca="false">S75+T70</f>
        <v>191902679.551915</v>
      </c>
      <c r="U71" s="19" t="n">
        <f aca="false">T75+U70</f>
        <v>205137843.352647</v>
      </c>
      <c r="V71" s="19" t="n">
        <f aca="false">U75+V70</f>
        <v>218010178.186522</v>
      </c>
      <c r="W71" s="19" t="n">
        <f aca="false">V75+W70</f>
        <v>230509706.25695</v>
      </c>
      <c r="X71" s="19" t="n">
        <f aca="false">W75+X70</f>
        <v>244126175.377937</v>
      </c>
      <c r="Y71" s="19" t="n">
        <f aca="false">X75+Y70</f>
        <v>257241848.363615</v>
      </c>
      <c r="Z71" s="19" t="n">
        <f aca="false">Y75+Z70</f>
        <v>269991406.385021</v>
      </c>
      <c r="AA71" s="19" t="n">
        <f aca="false">Z75+AA70</f>
        <v>282364781.280638</v>
      </c>
      <c r="AB71" s="19" t="n">
        <f aca="false">AA75+AB70</f>
        <v>295851628.014507</v>
      </c>
      <c r="AC71" s="19" t="n">
        <f aca="false">AB75+AC70</f>
        <v>308834113.997421</v>
      </c>
      <c r="AD71" s="19" t="n">
        <f aca="false">AC75+AD70</f>
        <v>321446822.373487</v>
      </c>
      <c r="AE71" s="19" t="n">
        <f aca="false">AD75+AE70</f>
        <v>335179584.258517</v>
      </c>
      <c r="AF71" s="19" t="n">
        <f aca="false">AE75+AF70</f>
        <v>348414748.059249</v>
      </c>
      <c r="AG71" s="19" t="n">
        <f aca="false">AF75+AG70</f>
        <v>361287082.893124</v>
      </c>
      <c r="AH71" s="19" t="n">
        <f aca="false">AG75+AH70</f>
        <v>373786610.963552</v>
      </c>
      <c r="AI71" s="19" t="n">
        <f aca="false">AH75+AI70</f>
        <v>387403080.084539</v>
      </c>
      <c r="AJ71" s="19" t="n">
        <f aca="false">AI75+AJ70</f>
        <v>400518753.070217</v>
      </c>
      <c r="AK71" s="19" t="n">
        <f aca="false">AJ75+AK70</f>
        <v>413268311.091623</v>
      </c>
      <c r="AL71" s="19" t="n">
        <f aca="false">AK75+AL70</f>
        <v>425641685.987241</v>
      </c>
      <c r="AM71" s="19" t="n">
        <f aca="false">AL75+AM70</f>
        <v>439128532.72111</v>
      </c>
      <c r="AN71" s="19" t="n">
        <f aca="false">AM75+AN70</f>
        <v>452111018.704023</v>
      </c>
      <c r="AO71" s="19" t="n">
        <f aca="false">AN75+AO70</f>
        <v>464723727.08009</v>
      </c>
      <c r="AP71" s="19" t="n">
        <f aca="false">AO75+AP70</f>
        <v>476956488.96512</v>
      </c>
      <c r="AQ71" s="19" t="n">
        <f aca="false">AP75+AQ70</f>
        <v>490298855.830611</v>
      </c>
      <c r="AR71" s="19" t="n">
        <f aca="false">AQ75+AR70</f>
        <v>503281341.813525</v>
      </c>
      <c r="AS71" s="19" t="n">
        <f aca="false">AR75+AS70</f>
        <v>515894050.189591</v>
      </c>
      <c r="AT71" s="19" t="n">
        <f aca="false">AS75+AT70</f>
        <v>529626812.074621</v>
      </c>
      <c r="AU71" s="19" t="n">
        <f aca="false">AT75+AU70</f>
        <v>542861975.875354</v>
      </c>
      <c r="AV71" s="19" t="n">
        <f aca="false">AU75+AV70</f>
        <v>555734310.709228</v>
      </c>
      <c r="AW71" s="19" t="n">
        <f aca="false">AV75+AW70</f>
        <v>568233838.779657</v>
      </c>
      <c r="AX71" s="19" t="n">
        <f aca="false">AW75+AX70</f>
        <v>581850307.900644</v>
      </c>
      <c r="AY71" s="19" t="n">
        <f aca="false">AX75+AY70</f>
        <v>593465980.886322</v>
      </c>
      <c r="AZ71" s="19" t="n">
        <f aca="false">AY75+AZ70</f>
        <v>603322741.972487</v>
      </c>
      <c r="BA71" s="19" t="n">
        <f aca="false">AZ75+BA70</f>
        <v>611520674.146661</v>
      </c>
      <c r="BB71" s="19" t="n">
        <f aca="false">BA75+BB70</f>
        <v>618162612.678523</v>
      </c>
      <c r="BC71" s="19" t="n">
        <f aca="false">BB75+BC70</f>
        <v>623354220.807666</v>
      </c>
      <c r="BD71" s="19" t="n">
        <f aca="false">BC75+BD70</f>
        <v>627352520.577535</v>
      </c>
      <c r="BE71" s="19" t="n">
        <f aca="false">BD75+BE70</f>
        <v>630273149.073007</v>
      </c>
      <c r="BF71" s="19" t="n">
        <f aca="false">BE75+BF70</f>
        <v>632234923.398795</v>
      </c>
      <c r="BG71" s="19" t="n">
        <f aca="false">BF75+BG70</f>
        <v>633508381.194749</v>
      </c>
      <c r="BH71" s="19" t="n">
        <f aca="false">BG75+BH70</f>
        <v>634223046.821058</v>
      </c>
      <c r="BI71" s="19" t="n">
        <f aca="false">BH75+BI70</f>
        <v>634512006.557814</v>
      </c>
      <c r="BJ71" s="19" t="n">
        <f aca="false">BI75+BJ70</f>
        <v>634512006.557815</v>
      </c>
    </row>
    <row r="72" customFormat="false" ht="15" hidden="false" customHeight="false" outlineLevel="0" collapsed="false">
      <c r="A72" s="1"/>
      <c r="B72" s="7" t="s">
        <v>189</v>
      </c>
      <c r="C72" s="19" t="n">
        <f aca="false">C71*$C$6</f>
        <v>82500</v>
      </c>
      <c r="D72" s="19" t="n">
        <f aca="false">D71*$C$6</f>
        <v>200353.831438281</v>
      </c>
      <c r="E72" s="19" t="n">
        <f aca="false">E71*$C$6</f>
        <v>391701.265398538</v>
      </c>
      <c r="F72" s="19" t="n">
        <f aca="false">F71*$C$6</f>
        <v>609148.457388404</v>
      </c>
      <c r="G72" s="19" t="n">
        <f aca="false">G71*$C$6</f>
        <v>849330.691472836</v>
      </c>
      <c r="H72" s="19" t="n">
        <f aca="false">H71*$C$6</f>
        <v>1108790.72202858</v>
      </c>
      <c r="I72" s="19" t="n">
        <f aca="false">I71*$C$6</f>
        <v>1425226.22917772</v>
      </c>
      <c r="J72" s="19" t="n">
        <f aca="false">J71*$C$6</f>
        <v>1750789.11996488</v>
      </c>
      <c r="K72" s="19" t="n">
        <f aca="false">K71*$C$6</f>
        <v>2081647.93815923</v>
      </c>
      <c r="L72" s="19" t="n">
        <f aca="false">L71*$C$6</f>
        <v>2413865.86248361</v>
      </c>
      <c r="M72" s="19" t="n">
        <f aca="false">M71*$C$6</f>
        <v>2784647.80907574</v>
      </c>
      <c r="N72" s="19" t="n">
        <f aca="false">N71*$C$6</f>
        <v>3145639.36998627</v>
      </c>
      <c r="O72" s="19" t="n">
        <f aca="false">O71*$C$6</f>
        <v>3492488.85032808</v>
      </c>
      <c r="P72" s="19" t="n">
        <f aca="false">P71*$C$6</f>
        <v>3828889.80216641</v>
      </c>
      <c r="Q72" s="19" t="n">
        <f aca="false">Q71*$C$6</f>
        <v>4195804.8909674</v>
      </c>
      <c r="R72" s="19" t="n">
        <f aca="false">R71*$C$6</f>
        <v>4552823.25549753</v>
      </c>
      <c r="S72" s="19" t="n">
        <f aca="false">S71*$C$6</f>
        <v>4899672.73583934</v>
      </c>
      <c r="T72" s="19" t="n">
        <f aca="false">T71*$C$6</f>
        <v>5277323.68767767</v>
      </c>
      <c r="U72" s="19" t="n">
        <f aca="false">U71*$C$6</f>
        <v>5641290.6921978</v>
      </c>
      <c r="V72" s="19" t="n">
        <f aca="false">V71*$C$6</f>
        <v>5995279.90012935</v>
      </c>
      <c r="W72" s="19" t="n">
        <f aca="false">W71*$C$6</f>
        <v>6339016.92206612</v>
      </c>
      <c r="X72" s="19" t="n">
        <f aca="false">X71*$C$6</f>
        <v>6713469.82289327</v>
      </c>
      <c r="Y72" s="19" t="n">
        <f aca="false">Y71*$C$6</f>
        <v>7074150.82999941</v>
      </c>
      <c r="Z72" s="19" t="n">
        <f aca="false">Z71*$C$6</f>
        <v>7424763.67558808</v>
      </c>
      <c r="AA72" s="19" t="n">
        <f aca="false">AA71*$C$6</f>
        <v>7765031.48521755</v>
      </c>
      <c r="AB72" s="19" t="n">
        <f aca="false">AB71*$C$6</f>
        <v>8135919.77039894</v>
      </c>
      <c r="AC72" s="19" t="n">
        <f aca="false">AC71*$C$6</f>
        <v>8492938.13492907</v>
      </c>
      <c r="AD72" s="19" t="n">
        <f aca="false">AD71*$C$6</f>
        <v>8839787.61527089</v>
      </c>
      <c r="AE72" s="19" t="n">
        <f aca="false">AE71*$C$6</f>
        <v>9217438.56710922</v>
      </c>
      <c r="AF72" s="19" t="n">
        <f aca="false">AF71*$C$6</f>
        <v>9581405.57162935</v>
      </c>
      <c r="AG72" s="19" t="n">
        <f aca="false">AG71*$C$6</f>
        <v>9935394.7795609</v>
      </c>
      <c r="AH72" s="19" t="n">
        <f aca="false">AH71*$C$6</f>
        <v>10279131.8014977</v>
      </c>
      <c r="AI72" s="19" t="n">
        <f aca="false">AI71*$C$6</f>
        <v>10653584.7023248</v>
      </c>
      <c r="AJ72" s="19" t="n">
        <f aca="false">AJ71*$C$6</f>
        <v>11014265.709431</v>
      </c>
      <c r="AK72" s="19" t="n">
        <f aca="false">AK71*$C$6</f>
        <v>11364878.5550196</v>
      </c>
      <c r="AL72" s="19" t="n">
        <f aca="false">AL71*$C$6</f>
        <v>11705146.3646491</v>
      </c>
      <c r="AM72" s="19" t="n">
        <f aca="false">AM71*$C$6</f>
        <v>12076034.6498305</v>
      </c>
      <c r="AN72" s="19" t="n">
        <f aca="false">AN71*$C$6</f>
        <v>12433053.0143606</v>
      </c>
      <c r="AO72" s="19" t="n">
        <f aca="false">AO71*$C$6</f>
        <v>12779902.4947025</v>
      </c>
      <c r="AP72" s="19" t="n">
        <f aca="false">AP71*$C$6</f>
        <v>13116303.4465408</v>
      </c>
      <c r="AQ72" s="19" t="n">
        <f aca="false">AQ71*$C$6</f>
        <v>13483218.5353418</v>
      </c>
      <c r="AR72" s="19" t="n">
        <f aca="false">AR71*$C$6</f>
        <v>13840236.8998719</v>
      </c>
      <c r="AS72" s="19" t="n">
        <f aca="false">AS71*$C$6</f>
        <v>14187086.3802138</v>
      </c>
      <c r="AT72" s="19" t="n">
        <f aca="false">AT71*$C$6</f>
        <v>14564737.3320521</v>
      </c>
      <c r="AU72" s="19" t="n">
        <f aca="false">AU71*$C$6</f>
        <v>14928704.3365722</v>
      </c>
      <c r="AV72" s="19" t="n">
        <f aca="false">AV71*$C$6</f>
        <v>15282693.5445038</v>
      </c>
      <c r="AW72" s="19" t="n">
        <f aca="false">AW71*$C$6</f>
        <v>15626430.5664406</v>
      </c>
      <c r="AX72" s="19" t="n">
        <f aca="false">AX71*$C$6</f>
        <v>16000883.4672677</v>
      </c>
      <c r="AY72" s="19" t="n">
        <f aca="false">AY71*$C$6</f>
        <v>16320314.4743739</v>
      </c>
      <c r="AZ72" s="19" t="n">
        <f aca="false">AZ71*$C$6</f>
        <v>16591375.4042434</v>
      </c>
      <c r="BA72" s="19" t="n">
        <f aca="false">BA71*$C$6</f>
        <v>16816818.5390332</v>
      </c>
      <c r="BB72" s="19" t="n">
        <f aca="false">BB71*$C$6</f>
        <v>16999471.8486594</v>
      </c>
      <c r="BC72" s="19" t="n">
        <f aca="false">BC71*$C$6</f>
        <v>17142241.0722108</v>
      </c>
      <c r="BD72" s="19" t="n">
        <f aca="false">BD71*$C$6</f>
        <v>17252194.3158822</v>
      </c>
      <c r="BE72" s="19" t="n">
        <f aca="false">BE71*$C$6</f>
        <v>17332511.5995077</v>
      </c>
      <c r="BF72" s="19" t="n">
        <f aca="false">BF71*$C$6</f>
        <v>17386460.3934669</v>
      </c>
      <c r="BG72" s="19" t="n">
        <f aca="false">BG71*$C$6</f>
        <v>17421480.4828556</v>
      </c>
      <c r="BH72" s="19" t="n">
        <f aca="false">BH71*$C$6</f>
        <v>17441133.7875791</v>
      </c>
      <c r="BI72" s="19" t="n">
        <f aca="false">BI71*$C$6</f>
        <v>17449080.1803399</v>
      </c>
      <c r="BJ72" s="19" t="n">
        <f aca="false">BJ71*$C$6</f>
        <v>17449080.1803399</v>
      </c>
    </row>
    <row r="73" customFormat="false" ht="15" hidden="false" customHeight="false" outlineLevel="0" collapsed="false">
      <c r="A73" s="1"/>
      <c r="B73" s="7" t="s">
        <v>190</v>
      </c>
      <c r="C73" s="19" t="n">
        <f aca="false">C66*$C$8</f>
        <v>296906.129517041</v>
      </c>
      <c r="D73" s="19" t="n">
        <f aca="false">D66*$C$8</f>
        <v>742265.323792603</v>
      </c>
      <c r="E73" s="19" t="n">
        <f aca="false">E66*$C$8</f>
        <v>1484530.64758521</v>
      </c>
      <c r="F73" s="19" t="n">
        <f aca="false">F66*$C$8</f>
        <v>2375249.03613633</v>
      </c>
      <c r="G73" s="19" t="n">
        <f aca="false">G66*$C$8</f>
        <v>3414420.48944597</v>
      </c>
      <c r="H73" s="19" t="n">
        <f aca="false">H66*$C$8</f>
        <v>4602045.00751414</v>
      </c>
      <c r="I73" s="19" t="n">
        <f aca="false">I66*$C$8</f>
        <v>6086575.65509934</v>
      </c>
      <c r="J73" s="19" t="n">
        <f aca="false">J66*$C$8</f>
        <v>7719559.36744307</v>
      </c>
      <c r="K73" s="19" t="n">
        <f aca="false">K66*$C$8</f>
        <v>9500996.14454532</v>
      </c>
      <c r="L73" s="19" t="n">
        <f aca="false">L66*$C$8</f>
        <v>11430885.9864061</v>
      </c>
      <c r="M73" s="19" t="n">
        <f aca="false">M66*$C$8</f>
        <v>13657681.9577839</v>
      </c>
      <c r="N73" s="19" t="n">
        <f aca="false">N66*$C$8</f>
        <v>16032930.9939202</v>
      </c>
      <c r="O73" s="19" t="n">
        <f aca="false">O66*$C$8</f>
        <v>18259726.965298</v>
      </c>
      <c r="P73" s="19" t="n">
        <f aca="false">P66*$C$8</f>
        <v>20486522.9366758</v>
      </c>
      <c r="Q73" s="19" t="n">
        <f aca="false">Q66*$C$8</f>
        <v>22713318.9080537</v>
      </c>
      <c r="R73" s="19" t="n">
        <f aca="false">R66*$C$8</f>
        <v>24940114.8794315</v>
      </c>
      <c r="S73" s="19" t="n">
        <f aca="false">S66*$C$8</f>
        <v>27166910.8508093</v>
      </c>
      <c r="T73" s="19" t="n">
        <f aca="false">T66*$C$8</f>
        <v>29542159.8869456</v>
      </c>
      <c r="U73" s="19" t="n">
        <f aca="false">U66*$C$8</f>
        <v>31768955.8583234</v>
      </c>
      <c r="V73" s="19" t="n">
        <f aca="false">V66*$C$8</f>
        <v>33995751.8297012</v>
      </c>
      <c r="W73" s="19" t="n">
        <f aca="false">W66*$C$8</f>
        <v>36222547.801079</v>
      </c>
      <c r="X73" s="19" t="n">
        <f aca="false">X66*$C$8</f>
        <v>38597796.8372154</v>
      </c>
      <c r="Y73" s="19" t="n">
        <f aca="false">Y66*$C$8</f>
        <v>40824592.8085932</v>
      </c>
      <c r="Z73" s="19" t="n">
        <f aca="false">Z66*$C$8</f>
        <v>43051388.779971</v>
      </c>
      <c r="AA73" s="19" t="n">
        <f aca="false">AA66*$C$8</f>
        <v>45278184.7513488</v>
      </c>
      <c r="AB73" s="19" t="n">
        <f aca="false">AB66*$C$8</f>
        <v>47653433.7874851</v>
      </c>
      <c r="AC73" s="19" t="n">
        <f aca="false">AC66*$C$8</f>
        <v>49880229.7588629</v>
      </c>
      <c r="AD73" s="19" t="n">
        <f aca="false">AD66*$C$8</f>
        <v>52107025.7302407</v>
      </c>
      <c r="AE73" s="19" t="n">
        <f aca="false">AE66*$C$8</f>
        <v>54482274.7663771</v>
      </c>
      <c r="AF73" s="19" t="n">
        <f aca="false">AF66*$C$8</f>
        <v>56709070.7377549</v>
      </c>
      <c r="AG73" s="19" t="n">
        <f aca="false">AG66*$C$8</f>
        <v>58935866.7091327</v>
      </c>
      <c r="AH73" s="19" t="n">
        <f aca="false">AH66*$C$8</f>
        <v>61162662.6805105</v>
      </c>
      <c r="AI73" s="19" t="n">
        <f aca="false">AI66*$C$8</f>
        <v>63537911.7166468</v>
      </c>
      <c r="AJ73" s="19" t="n">
        <f aca="false">AJ66*$C$8</f>
        <v>65764707.6880246</v>
      </c>
      <c r="AK73" s="19" t="n">
        <f aca="false">AK66*$C$8</f>
        <v>67991503.6594024</v>
      </c>
      <c r="AL73" s="19" t="n">
        <f aca="false">AL66*$C$8</f>
        <v>70218299.6307803</v>
      </c>
      <c r="AM73" s="19" t="n">
        <f aca="false">AM66*$C$8</f>
        <v>72593548.6669166</v>
      </c>
      <c r="AN73" s="19" t="n">
        <f aca="false">AN66*$C$8</f>
        <v>74820344.6382944</v>
      </c>
      <c r="AO73" s="19" t="n">
        <f aca="false">AO66*$C$8</f>
        <v>77047140.6096722</v>
      </c>
      <c r="AP73" s="19" t="n">
        <f aca="false">AP66*$C$8</f>
        <v>79273936.58105</v>
      </c>
      <c r="AQ73" s="19" t="n">
        <f aca="false">AQ66*$C$8</f>
        <v>81500732.5524278</v>
      </c>
      <c r="AR73" s="19" t="n">
        <f aca="false">AR66*$C$8</f>
        <v>83727528.5238056</v>
      </c>
      <c r="AS73" s="19" t="n">
        <f aca="false">AS66*$C$8</f>
        <v>85954324.4951834</v>
      </c>
      <c r="AT73" s="19" t="n">
        <f aca="false">AT66*$C$8</f>
        <v>88329573.5313198</v>
      </c>
      <c r="AU73" s="19" t="n">
        <f aca="false">AU66*$C$8</f>
        <v>90556369.5026976</v>
      </c>
      <c r="AV73" s="19" t="n">
        <f aca="false">AV66*$C$8</f>
        <v>92783165.4740754</v>
      </c>
      <c r="AW73" s="19" t="n">
        <f aca="false">AW66*$C$8</f>
        <v>95009961.4454532</v>
      </c>
      <c r="AX73" s="19" t="n">
        <f aca="false">AX66*$C$8</f>
        <v>97385210.4815895</v>
      </c>
      <c r="AY73" s="19" t="n">
        <f aca="false">AY66*$C$8</f>
        <v>99463553.3882088</v>
      </c>
      <c r="AZ73" s="19" t="n">
        <f aca="false">AZ66*$C$8</f>
        <v>101393443.23007</v>
      </c>
      <c r="BA73" s="19" t="n">
        <f aca="false">BA66*$C$8</f>
        <v>103174880.007172</v>
      </c>
      <c r="BB73" s="19" t="n">
        <f aca="false">BB66*$C$8</f>
        <v>104807863.719516</v>
      </c>
      <c r="BC73" s="19" t="n">
        <f aca="false">BC66*$C$8</f>
        <v>106143941.302342</v>
      </c>
      <c r="BD73" s="19" t="n">
        <f aca="false">BD66*$C$8</f>
        <v>107331565.82041</v>
      </c>
      <c r="BE73" s="19" t="n">
        <f aca="false">BE66*$C$8</f>
        <v>108370737.27372</v>
      </c>
      <c r="BF73" s="19" t="n">
        <f aca="false">BF66*$C$8</f>
        <v>109113002.597513</v>
      </c>
      <c r="BG73" s="19" t="n">
        <f aca="false">BG66*$C$8</f>
        <v>109706814.856547</v>
      </c>
      <c r="BH73" s="19" t="n">
        <f aca="false">BH66*$C$8</f>
        <v>110152174.050822</v>
      </c>
      <c r="BI73" s="19" t="n">
        <f aca="false">BI66*$C$8</f>
        <v>110449080.180339</v>
      </c>
      <c r="BJ73" s="19" t="n">
        <f aca="false">BJ66*$C$8</f>
        <v>110449080.180339</v>
      </c>
    </row>
    <row r="74" customFormat="false" ht="15" hidden="false" customHeight="false" outlineLevel="0" collapsed="false">
      <c r="A74" s="1"/>
      <c r="B74" s="7" t="s">
        <v>191</v>
      </c>
      <c r="C74" s="19" t="n">
        <f aca="false">MAX(0,MIN(C71,C73-C72))</f>
        <v>214406.129517041</v>
      </c>
      <c r="D74" s="19" t="n">
        <f aca="false">MAX(0,MIN(D71,D73-D72))</f>
        <v>541911.492354322</v>
      </c>
      <c r="E74" s="19" t="n">
        <f aca="false">MAX(0,MIN(E71,E73-E72))</f>
        <v>1092829.38218667</v>
      </c>
      <c r="F74" s="19" t="n">
        <f aca="false">MAX(0,MIN(F71,F73-F72))</f>
        <v>1766100.57874793</v>
      </c>
      <c r="G74" s="19" t="n">
        <f aca="false">MAX(0,MIN(G71,G73-G72))</f>
        <v>2565089.79797314</v>
      </c>
      <c r="H74" s="19" t="n">
        <f aca="false">MAX(0,MIN(H71,H73-H72))</f>
        <v>3493254.28548556</v>
      </c>
      <c r="I74" s="19" t="n">
        <f aca="false">MAX(0,MIN(I71,I73-I72))</f>
        <v>4661349.42592162</v>
      </c>
      <c r="J74" s="19" t="n">
        <f aca="false">MAX(0,MIN(J71,J73-J72))</f>
        <v>5968770.2474782</v>
      </c>
      <c r="K74" s="19" t="n">
        <f aca="false">MAX(0,MIN(K71,K73-K72))</f>
        <v>7419348.20638609</v>
      </c>
      <c r="L74" s="19" t="n">
        <f aca="false">MAX(0,MIN(L71,L73-L72))</f>
        <v>9017020.12392248</v>
      </c>
      <c r="M74" s="19" t="n">
        <f aca="false">MAX(0,MIN(M71,M73-M72))</f>
        <v>10873034.1487082</v>
      </c>
      <c r="N74" s="19" t="n">
        <f aca="false">MAX(0,MIN(N71,N73-N72))</f>
        <v>12887291.623934</v>
      </c>
      <c r="O74" s="19" t="n">
        <f aca="false">MAX(0,MIN(O71,O73-O72))</f>
        <v>14767238.11497</v>
      </c>
      <c r="P74" s="19" t="n">
        <f aca="false">MAX(0,MIN(P71,P73-P72))</f>
        <v>16657633.1345094</v>
      </c>
      <c r="Q74" s="19" t="n">
        <f aca="false">MAX(0,MIN(Q71,Q73-Q72))</f>
        <v>18517514.0170863</v>
      </c>
      <c r="R74" s="19" t="n">
        <f aca="false">MAX(0,MIN(R71,R73-R72))</f>
        <v>20387291.6239339</v>
      </c>
      <c r="S74" s="19" t="n">
        <f aca="false">MAX(0,MIN(S71,S73-S72))</f>
        <v>22267238.1149699</v>
      </c>
      <c r="T74" s="19" t="n">
        <f aca="false">MAX(0,MIN(T71,T73-T72))</f>
        <v>24264836.1992679</v>
      </c>
      <c r="U74" s="19" t="n">
        <f aca="false">MAX(0,MIN(U71,U73-U72))</f>
        <v>26127665.1661256</v>
      </c>
      <c r="V74" s="19" t="n">
        <f aca="false">MAX(0,MIN(V71,V73-V72))</f>
        <v>28000471.9295719</v>
      </c>
      <c r="W74" s="19" t="n">
        <f aca="false">MAX(0,MIN(W71,W73-W72))</f>
        <v>29883530.8790129</v>
      </c>
      <c r="X74" s="19" t="n">
        <f aca="false">MAX(0,MIN(X71,X73-X72))</f>
        <v>31884327.0143221</v>
      </c>
      <c r="Y74" s="19" t="n">
        <f aca="false">MAX(0,MIN(Y71,Y73-Y72))</f>
        <v>33750441.9785938</v>
      </c>
      <c r="Z74" s="19" t="n">
        <f aca="false">MAX(0,MIN(Z71,Z73-Z72))</f>
        <v>35626625.1043829</v>
      </c>
      <c r="AA74" s="19" t="n">
        <f aca="false">MAX(0,MIN(AA71,AA73-AA72))</f>
        <v>37513153.2661312</v>
      </c>
      <c r="AB74" s="19" t="n">
        <f aca="false">MAX(0,MIN(AB71,AB73-AB72))</f>
        <v>39517514.0170862</v>
      </c>
      <c r="AC74" s="19" t="n">
        <f aca="false">MAX(0,MIN(AC71,AC73-AC72))</f>
        <v>41387291.6239339</v>
      </c>
      <c r="AD74" s="19" t="n">
        <f aca="false">MAX(0,MIN(AD71,AD73-AD72))</f>
        <v>43267238.1149698</v>
      </c>
      <c r="AE74" s="19" t="n">
        <f aca="false">MAX(0,MIN(AE71,AE73-AE72))</f>
        <v>45264836.1992678</v>
      </c>
      <c r="AF74" s="19" t="n">
        <f aca="false">MAX(0,MIN(AF71,AF73-AF72))</f>
        <v>47127665.1661255</v>
      </c>
      <c r="AG74" s="19" t="n">
        <f aca="false">MAX(0,MIN(AG71,AG73-AG72))</f>
        <v>49000471.9295718</v>
      </c>
      <c r="AH74" s="19" t="n">
        <f aca="false">MAX(0,MIN(AH71,AH73-AH72))</f>
        <v>50883530.8790128</v>
      </c>
      <c r="AI74" s="19" t="n">
        <f aca="false">MAX(0,MIN(AI71,AI73-AI72))</f>
        <v>52884327.014322</v>
      </c>
      <c r="AJ74" s="19" t="n">
        <f aca="false">MAX(0,MIN(AJ71,AJ73-AJ72))</f>
        <v>54750441.9785937</v>
      </c>
      <c r="AK74" s="19" t="n">
        <f aca="false">MAX(0,MIN(AK71,AK73-AK72))</f>
        <v>56626625.1043828</v>
      </c>
      <c r="AL74" s="19" t="n">
        <f aca="false">MAX(0,MIN(AL71,AL73-AL72))</f>
        <v>58513153.2661311</v>
      </c>
      <c r="AM74" s="19" t="n">
        <f aca="false">MAX(0,MIN(AM71,AM73-AM72))</f>
        <v>60517514.0170861</v>
      </c>
      <c r="AN74" s="19" t="n">
        <f aca="false">MAX(0,MIN(AN71,AN73-AN72))</f>
        <v>62387291.6239337</v>
      </c>
      <c r="AO74" s="19" t="n">
        <f aca="false">MAX(0,MIN(AO71,AO73-AO72))</f>
        <v>64267238.1149697</v>
      </c>
      <c r="AP74" s="19" t="n">
        <f aca="false">MAX(0,MIN(AP71,AP73-AP72))</f>
        <v>66157633.1345092</v>
      </c>
      <c r="AQ74" s="19" t="n">
        <f aca="false">MAX(0,MIN(AQ71,AQ73-AQ72))</f>
        <v>68017514.017086</v>
      </c>
      <c r="AR74" s="19" t="n">
        <f aca="false">MAX(0,MIN(AR71,AR73-AR72))</f>
        <v>69887291.6239337</v>
      </c>
      <c r="AS74" s="19" t="n">
        <f aca="false">MAX(0,MIN(AS71,AS73-AS72))</f>
        <v>71767238.1149697</v>
      </c>
      <c r="AT74" s="19" t="n">
        <f aca="false">MAX(0,MIN(AT71,AT73-AT72))</f>
        <v>73764836.1992677</v>
      </c>
      <c r="AU74" s="19" t="n">
        <f aca="false">MAX(0,MIN(AU71,AU73-AU72))</f>
        <v>75627665.1661253</v>
      </c>
      <c r="AV74" s="19" t="n">
        <f aca="false">MAX(0,MIN(AV71,AV73-AV72))</f>
        <v>77500471.9295716</v>
      </c>
      <c r="AW74" s="19" t="n">
        <f aca="false">MAX(0,MIN(AW71,AW73-AW72))</f>
        <v>79383530.8790126</v>
      </c>
      <c r="AX74" s="19" t="n">
        <f aca="false">MAX(0,MIN(AX71,AX73-AX72))</f>
        <v>81384327.0143218</v>
      </c>
      <c r="AY74" s="19" t="n">
        <f aca="false">MAX(0,MIN(AY71,AY73-AY72))</f>
        <v>83143238.9138349</v>
      </c>
      <c r="AZ74" s="19" t="n">
        <f aca="false">MAX(0,MIN(AZ71,AZ73-AZ72))</f>
        <v>84802067.8258262</v>
      </c>
      <c r="BA74" s="19" t="n">
        <f aca="false">MAX(0,MIN(BA71,BA73-BA72))</f>
        <v>86358061.4681386</v>
      </c>
      <c r="BB74" s="19" t="n">
        <f aca="false">MAX(0,MIN(BB71,BB73-BB72))</f>
        <v>87808391.8708562</v>
      </c>
      <c r="BC74" s="19" t="n">
        <f aca="false">MAX(0,MIN(BC71,BC73-BC72))</f>
        <v>89001700.2301314</v>
      </c>
      <c r="BD74" s="19" t="n">
        <f aca="false">MAX(0,MIN(BD71,BD73-BD72))</f>
        <v>90079371.5045282</v>
      </c>
      <c r="BE74" s="19" t="n">
        <f aca="false">MAX(0,MIN(BE71,BE73-BE72))</f>
        <v>91038225.6742124</v>
      </c>
      <c r="BF74" s="19" t="n">
        <f aca="false">MAX(0,MIN(BF71,BF73-BF72))</f>
        <v>91726542.2040458</v>
      </c>
      <c r="BG74" s="19" t="n">
        <f aca="false">MAX(0,MIN(BG71,BG73-BG72))</f>
        <v>92285334.3736911</v>
      </c>
      <c r="BH74" s="19" t="n">
        <f aca="false">MAX(0,MIN(BH71,BH73-BH72))</f>
        <v>92711040.2632432</v>
      </c>
      <c r="BI74" s="19" t="n">
        <f aca="false">MAX(0,MIN(BI71,BI73-BI72))</f>
        <v>92999999.9999994</v>
      </c>
      <c r="BJ74" s="19" t="n">
        <f aca="false">MAX(0,MIN(BJ71,BJ73-BJ72))</f>
        <v>92999999.9999994</v>
      </c>
    </row>
    <row r="75" customFormat="false" ht="15" hidden="false" customHeight="false" outlineLevel="0" collapsed="false">
      <c r="A75" s="1"/>
      <c r="B75" s="23" t="s">
        <v>192</v>
      </c>
      <c r="C75" s="20" t="n">
        <f aca="false">C71-C74</f>
        <v>2785593.87048296</v>
      </c>
      <c r="D75" s="20" t="n">
        <f aca="false">D71-D74</f>
        <v>6743682.37812864</v>
      </c>
      <c r="E75" s="20" t="n">
        <f aca="false">E71-E74</f>
        <v>13150852.995942</v>
      </c>
      <c r="F75" s="20" t="n">
        <f aca="false">F71-F74</f>
        <v>20384752.417194</v>
      </c>
      <c r="G75" s="20" t="n">
        <f aca="false">G71-G74</f>
        <v>28319662.6192209</v>
      </c>
      <c r="H75" s="20" t="n">
        <f aca="false">H71-H74</f>
        <v>36826408.3337353</v>
      </c>
      <c r="I75" s="20" t="n">
        <f aca="false">I71-I74</f>
        <v>47165058.9078137</v>
      </c>
      <c r="J75" s="20" t="n">
        <f aca="false">J71-J74</f>
        <v>57696288.6603355</v>
      </c>
      <c r="K75" s="20" t="n">
        <f aca="false">K71-K74</f>
        <v>68276940.4539494</v>
      </c>
      <c r="L75" s="20" t="n">
        <f aca="false">L71-L74</f>
        <v>78759920.3300269</v>
      </c>
      <c r="M75" s="20" t="n">
        <f aca="false">M71-M74</f>
        <v>90386886.1813188</v>
      </c>
      <c r="N75" s="20" t="n">
        <f aca="false">N71-N74</f>
        <v>101499594.557385</v>
      </c>
      <c r="O75" s="20" t="n">
        <f aca="false">O71-O74</f>
        <v>112232356.442415</v>
      </c>
      <c r="P75" s="20" t="n">
        <f aca="false">P71-P74</f>
        <v>122574723.307905</v>
      </c>
      <c r="Q75" s="20" t="n">
        <f aca="false">Q71-Q74</f>
        <v>134057209.290819</v>
      </c>
      <c r="R75" s="20" t="n">
        <f aca="false">R71-R74</f>
        <v>145169917.666885</v>
      </c>
      <c r="S75" s="20" t="n">
        <f aca="false">S71-S74</f>
        <v>155902679.551915</v>
      </c>
      <c r="T75" s="20" t="n">
        <f aca="false">T71-T74</f>
        <v>167637843.352647</v>
      </c>
      <c r="U75" s="20" t="n">
        <f aca="false">U71-U74</f>
        <v>179010178.186522</v>
      </c>
      <c r="V75" s="20" t="n">
        <f aca="false">V71-V74</f>
        <v>190009706.25695</v>
      </c>
      <c r="W75" s="20" t="n">
        <f aca="false">W71-W74</f>
        <v>200626175.377937</v>
      </c>
      <c r="X75" s="20" t="n">
        <f aca="false">X71-X74</f>
        <v>212241848.363615</v>
      </c>
      <c r="Y75" s="20" t="n">
        <f aca="false">Y71-Y74</f>
        <v>223491406.385021</v>
      </c>
      <c r="Z75" s="20" t="n">
        <f aca="false">Z71-Z74</f>
        <v>234364781.280638</v>
      </c>
      <c r="AA75" s="20" t="n">
        <f aca="false">AA71-AA74</f>
        <v>244851628.014507</v>
      </c>
      <c r="AB75" s="20" t="n">
        <f aca="false">AB71-AB74</f>
        <v>256334113.997421</v>
      </c>
      <c r="AC75" s="20" t="n">
        <f aca="false">AC71-AC74</f>
        <v>267446822.373487</v>
      </c>
      <c r="AD75" s="20" t="n">
        <f aca="false">AD71-AD74</f>
        <v>278179584.258517</v>
      </c>
      <c r="AE75" s="20" t="n">
        <f aca="false">AE71-AE74</f>
        <v>289914748.059249</v>
      </c>
      <c r="AF75" s="20" t="n">
        <f aca="false">AF71-AF74</f>
        <v>301287082.893124</v>
      </c>
      <c r="AG75" s="20" t="n">
        <f aca="false">AG71-AG74</f>
        <v>312286610.963552</v>
      </c>
      <c r="AH75" s="20" t="n">
        <f aca="false">AH71-AH74</f>
        <v>322903080.084539</v>
      </c>
      <c r="AI75" s="20" t="n">
        <f aca="false">AI71-AI74</f>
        <v>334518753.070217</v>
      </c>
      <c r="AJ75" s="20" t="n">
        <f aca="false">AJ71-AJ74</f>
        <v>345768311.091623</v>
      </c>
      <c r="AK75" s="20" t="n">
        <f aca="false">AK71-AK74</f>
        <v>356641685.987241</v>
      </c>
      <c r="AL75" s="20" t="n">
        <f aca="false">AL71-AL74</f>
        <v>367128532.72111</v>
      </c>
      <c r="AM75" s="20" t="n">
        <f aca="false">AM71-AM74</f>
        <v>378611018.704023</v>
      </c>
      <c r="AN75" s="20" t="n">
        <f aca="false">AN71-AN74</f>
        <v>389723727.08009</v>
      </c>
      <c r="AO75" s="20" t="n">
        <f aca="false">AO71-AO74</f>
        <v>400456488.96512</v>
      </c>
      <c r="AP75" s="20" t="n">
        <f aca="false">AP71-AP74</f>
        <v>410798855.830611</v>
      </c>
      <c r="AQ75" s="20" t="n">
        <f aca="false">AQ71-AQ74</f>
        <v>422281341.813525</v>
      </c>
      <c r="AR75" s="20" t="n">
        <f aca="false">AR71-AR74</f>
        <v>433394050.189591</v>
      </c>
      <c r="AS75" s="20" t="n">
        <f aca="false">AS71-AS74</f>
        <v>444126812.074621</v>
      </c>
      <c r="AT75" s="20" t="n">
        <f aca="false">AT71-AT74</f>
        <v>455861975.875354</v>
      </c>
      <c r="AU75" s="20" t="n">
        <f aca="false">AU71-AU74</f>
        <v>467234310.709228</v>
      </c>
      <c r="AV75" s="20" t="n">
        <f aca="false">AV71-AV74</f>
        <v>478233838.779657</v>
      </c>
      <c r="AW75" s="20" t="n">
        <f aca="false">AW71-AW74</f>
        <v>488850307.900644</v>
      </c>
      <c r="AX75" s="20" t="n">
        <f aca="false">AX71-AX74</f>
        <v>500465980.886322</v>
      </c>
      <c r="AY75" s="20" t="n">
        <f aca="false">AY71-AY74</f>
        <v>510322741.972487</v>
      </c>
      <c r="AZ75" s="20" t="n">
        <f aca="false">AZ71-AZ74</f>
        <v>518520674.146661</v>
      </c>
      <c r="BA75" s="20" t="n">
        <f aca="false">BA71-BA74</f>
        <v>525162612.678523</v>
      </c>
      <c r="BB75" s="20" t="n">
        <f aca="false">BB71-BB74</f>
        <v>530354220.807666</v>
      </c>
      <c r="BC75" s="20" t="n">
        <f aca="false">BC71-BC74</f>
        <v>534352520.577535</v>
      </c>
      <c r="BD75" s="20" t="n">
        <f aca="false">BD71-BD74</f>
        <v>537273149.073007</v>
      </c>
      <c r="BE75" s="20" t="n">
        <f aca="false">BE71-BE74</f>
        <v>539234923.398795</v>
      </c>
      <c r="BF75" s="20" t="n">
        <f aca="false">BF71-BF74</f>
        <v>540508381.194749</v>
      </c>
      <c r="BG75" s="20" t="n">
        <f aca="false">BG71-BG74</f>
        <v>541223046.821058</v>
      </c>
      <c r="BH75" s="20" t="n">
        <f aca="false">BH71-BH74</f>
        <v>541512006.557814</v>
      </c>
      <c r="BI75" s="20" t="n">
        <f aca="false">BI71-BI74</f>
        <v>541512006.557815</v>
      </c>
      <c r="BJ75" s="20" t="n">
        <f aca="false">BJ71-BJ74</f>
        <v>541512006.557816</v>
      </c>
    </row>
    <row r="76" customFormat="false" ht="15" hidden="false" customHeight="false" outlineLevel="0" collapsed="false">
      <c r="A76" s="1"/>
      <c r="B76" s="7" t="s">
        <v>193</v>
      </c>
      <c r="C76" s="25" t="n">
        <f aca="false">C67*Supuestos!$C$11</f>
        <v>2000000</v>
      </c>
      <c r="D76" s="25" t="n">
        <f aca="false">D67*Supuestos!$C$11</f>
        <v>5000000</v>
      </c>
      <c r="E76" s="25" t="n">
        <f aca="false">E67*Supuestos!$C$11</f>
        <v>10000000</v>
      </c>
      <c r="F76" s="25" t="n">
        <f aca="false">F67*Supuestos!$C$11</f>
        <v>16000000</v>
      </c>
      <c r="G76" s="25" t="n">
        <f aca="false">G67*Supuestos!$C$11</f>
        <v>23000000</v>
      </c>
      <c r="H76" s="25" t="n">
        <f aca="false">H67*Supuestos!$C$11</f>
        <v>31000000</v>
      </c>
      <c r="I76" s="25" t="n">
        <f aca="false">I67*Supuestos!$C$11</f>
        <v>41000000</v>
      </c>
      <c r="J76" s="25" t="n">
        <f aca="false">J67*Supuestos!$C$11</f>
        <v>52000000</v>
      </c>
      <c r="K76" s="25" t="n">
        <f aca="false">K67*Supuestos!$C$11</f>
        <v>64000000</v>
      </c>
      <c r="L76" s="25" t="n">
        <f aca="false">L67*Supuestos!$C$11</f>
        <v>77000000</v>
      </c>
      <c r="M76" s="25" t="n">
        <f aca="false">M67*Supuestos!$C$11</f>
        <v>92000000</v>
      </c>
      <c r="N76" s="25" t="n">
        <f aca="false">N67*Supuestos!$C$11</f>
        <v>108000000</v>
      </c>
      <c r="O76" s="25" t="n">
        <f aca="false">O67*Supuestos!$C$11</f>
        <v>123000000</v>
      </c>
      <c r="P76" s="25" t="n">
        <f aca="false">P67*Supuestos!$C$11</f>
        <v>138000000</v>
      </c>
      <c r="Q76" s="25" t="n">
        <f aca="false">Q67*Supuestos!$C$11</f>
        <v>153000000</v>
      </c>
      <c r="R76" s="25" t="n">
        <f aca="false">R67*Supuestos!$C$11</f>
        <v>168000000</v>
      </c>
      <c r="S76" s="25" t="n">
        <f aca="false">S67*Supuestos!$C$11</f>
        <v>183000000</v>
      </c>
      <c r="T76" s="25" t="n">
        <f aca="false">T67*Supuestos!$C$11</f>
        <v>199000000</v>
      </c>
      <c r="U76" s="25" t="n">
        <f aca="false">U67*Supuestos!$C$11</f>
        <v>214000000</v>
      </c>
      <c r="V76" s="25" t="n">
        <f aca="false">V67*Supuestos!$C$11</f>
        <v>229000000</v>
      </c>
      <c r="W76" s="25" t="n">
        <f aca="false">W67*Supuestos!$C$11</f>
        <v>244000000</v>
      </c>
      <c r="X76" s="25" t="n">
        <f aca="false">X67*Supuestos!$C$11</f>
        <v>260000000</v>
      </c>
      <c r="Y76" s="25" t="n">
        <f aca="false">Y67*Supuestos!$C$11</f>
        <v>275000000</v>
      </c>
      <c r="Z76" s="25" t="n">
        <f aca="false">Z67*Supuestos!$C$11</f>
        <v>290000000</v>
      </c>
      <c r="AA76" s="25" t="n">
        <f aca="false">AA67*Supuestos!$C$11</f>
        <v>305000000</v>
      </c>
      <c r="AB76" s="25" t="n">
        <f aca="false">AB67*Supuestos!$C$11</f>
        <v>321000000</v>
      </c>
      <c r="AC76" s="25" t="n">
        <f aca="false">AC67*Supuestos!$C$11</f>
        <v>336000000</v>
      </c>
      <c r="AD76" s="25" t="n">
        <f aca="false">AD67*Supuestos!$C$11</f>
        <v>351000000</v>
      </c>
      <c r="AE76" s="25" t="n">
        <f aca="false">AE67*Supuestos!$C$11</f>
        <v>367000000</v>
      </c>
      <c r="AF76" s="25" t="n">
        <f aca="false">AF67*Supuestos!$C$11</f>
        <v>382000000</v>
      </c>
      <c r="AG76" s="25" t="n">
        <f aca="false">AG67*Supuestos!$C$11</f>
        <v>397000000</v>
      </c>
      <c r="AH76" s="25" t="n">
        <f aca="false">AH67*Supuestos!$C$11</f>
        <v>412000000</v>
      </c>
      <c r="AI76" s="25" t="n">
        <f aca="false">AI67*Supuestos!$C$11</f>
        <v>428000000</v>
      </c>
      <c r="AJ76" s="25" t="n">
        <f aca="false">AJ67*Supuestos!$C$11</f>
        <v>443000000</v>
      </c>
      <c r="AK76" s="25" t="n">
        <f aca="false">AK67*Supuestos!$C$11</f>
        <v>458000000</v>
      </c>
      <c r="AL76" s="25" t="n">
        <f aca="false">AL67*Supuestos!$C$11</f>
        <v>473000000</v>
      </c>
      <c r="AM76" s="25" t="n">
        <f aca="false">AM67*Supuestos!$C$11</f>
        <v>489000000</v>
      </c>
      <c r="AN76" s="25" t="n">
        <f aca="false">AN67*Supuestos!$C$11</f>
        <v>504000000</v>
      </c>
      <c r="AO76" s="25" t="n">
        <f aca="false">AO67*Supuestos!$C$11</f>
        <v>519000000</v>
      </c>
      <c r="AP76" s="25" t="n">
        <f aca="false">AP67*Supuestos!$C$11</f>
        <v>534000000</v>
      </c>
      <c r="AQ76" s="25" t="n">
        <f aca="false">AQ67*Supuestos!$C$11</f>
        <v>549000000</v>
      </c>
      <c r="AR76" s="25" t="n">
        <f aca="false">AR67*Supuestos!$C$11</f>
        <v>564000000</v>
      </c>
      <c r="AS76" s="25" t="n">
        <f aca="false">AS67*Supuestos!$C$11</f>
        <v>579000000</v>
      </c>
      <c r="AT76" s="25" t="n">
        <f aca="false">AT67*Supuestos!$C$11</f>
        <v>595000000</v>
      </c>
      <c r="AU76" s="25" t="n">
        <f aca="false">AU67*Supuestos!$C$11</f>
        <v>610000000</v>
      </c>
      <c r="AV76" s="25" t="n">
        <f aca="false">AV67*Supuestos!$C$11</f>
        <v>625000000</v>
      </c>
      <c r="AW76" s="25" t="n">
        <f aca="false">AW67*Supuestos!$C$11</f>
        <v>640000000</v>
      </c>
      <c r="AX76" s="25" t="n">
        <f aca="false">AX67*Supuestos!$C$11</f>
        <v>656000000</v>
      </c>
      <c r="AY76" s="25" t="n">
        <f aca="false">AY67*Supuestos!$C$11</f>
        <v>670000000</v>
      </c>
      <c r="AZ76" s="25" t="n">
        <f aca="false">AZ67*Supuestos!$C$11</f>
        <v>683000000</v>
      </c>
      <c r="BA76" s="25" t="n">
        <f aca="false">BA67*Supuestos!$C$11</f>
        <v>695000000</v>
      </c>
      <c r="BB76" s="25" t="n">
        <f aca="false">BB67*Supuestos!$C$11</f>
        <v>706000000</v>
      </c>
      <c r="BC76" s="25" t="n">
        <f aca="false">BC67*Supuestos!$C$11</f>
        <v>715000000</v>
      </c>
      <c r="BD76" s="25" t="n">
        <f aca="false">BD67*Supuestos!$C$11</f>
        <v>723000000</v>
      </c>
      <c r="BE76" s="25" t="n">
        <f aca="false">BE67*Supuestos!$C$11</f>
        <v>730000000</v>
      </c>
      <c r="BF76" s="25" t="n">
        <f aca="false">BF67*Supuestos!$C$11</f>
        <v>735000000</v>
      </c>
      <c r="BG76" s="25" t="n">
        <f aca="false">BG67*Supuestos!$C$11</f>
        <v>739000000</v>
      </c>
      <c r="BH76" s="25" t="n">
        <f aca="false">BH67*Supuestos!$C$11</f>
        <v>742000000</v>
      </c>
      <c r="BI76" s="25" t="n">
        <f aca="false">BI67*Supuestos!$C$11</f>
        <v>744000000</v>
      </c>
      <c r="BJ76" s="25" t="n">
        <f aca="false">BJ67*Supuestos!$C$11</f>
        <v>744000000</v>
      </c>
    </row>
    <row r="77" customFormat="false" ht="15" hidden="false" customHeight="false" outlineLevel="0" collapsed="false">
      <c r="A77" s="1"/>
      <c r="B77" s="7" t="s">
        <v>194</v>
      </c>
      <c r="C77" s="19" t="n">
        <f aca="false">IF(Supuestos!$C$19=0,0,C76/Supuestos!$C$19)</f>
        <v>4000</v>
      </c>
      <c r="D77" s="19" t="n">
        <f aca="false">IF(Supuestos!$C$19=0,0,D76/Supuestos!$C$19)</f>
        <v>10000</v>
      </c>
      <c r="E77" s="19" t="n">
        <f aca="false">IF(Supuestos!$C$19=0,0,E76/Supuestos!$C$19)</f>
        <v>20000</v>
      </c>
      <c r="F77" s="19" t="n">
        <f aca="false">IF(Supuestos!$C$19=0,0,F76/Supuestos!$C$19)</f>
        <v>32000</v>
      </c>
      <c r="G77" s="19" t="n">
        <f aca="false">IF(Supuestos!$C$19=0,0,G76/Supuestos!$C$19)</f>
        <v>46000</v>
      </c>
      <c r="H77" s="19" t="n">
        <f aca="false">IF(Supuestos!$C$19=0,0,H76/Supuestos!$C$19)</f>
        <v>62000</v>
      </c>
      <c r="I77" s="19" t="n">
        <f aca="false">IF(Supuestos!$C$19=0,0,I76/Supuestos!$C$19)</f>
        <v>82000</v>
      </c>
      <c r="J77" s="19" t="n">
        <f aca="false">IF(Supuestos!$C$19=0,0,J76/Supuestos!$C$19)</f>
        <v>104000</v>
      </c>
      <c r="K77" s="19" t="n">
        <f aca="false">IF(Supuestos!$C$19=0,0,K76/Supuestos!$C$19)</f>
        <v>128000</v>
      </c>
      <c r="L77" s="19" t="n">
        <f aca="false">IF(Supuestos!$C$19=0,0,L76/Supuestos!$C$19)</f>
        <v>154000</v>
      </c>
      <c r="M77" s="19" t="n">
        <f aca="false">IF(Supuestos!$C$19=0,0,M76/Supuestos!$C$19)</f>
        <v>184000</v>
      </c>
      <c r="N77" s="19" t="n">
        <f aca="false">IF(Supuestos!$C$19=0,0,N76/Supuestos!$C$19)</f>
        <v>216000</v>
      </c>
      <c r="O77" s="19" t="n">
        <f aca="false">IF(Supuestos!$C$19=0,0,O76/Supuestos!$C$19)</f>
        <v>246000</v>
      </c>
      <c r="P77" s="19" t="n">
        <f aca="false">IF(Supuestos!$C$19=0,0,P76/Supuestos!$C$19)</f>
        <v>276000</v>
      </c>
      <c r="Q77" s="19" t="n">
        <f aca="false">IF(Supuestos!$C$19=0,0,Q76/Supuestos!$C$19)</f>
        <v>306000</v>
      </c>
      <c r="R77" s="19" t="n">
        <f aca="false">IF(Supuestos!$C$19=0,0,R76/Supuestos!$C$19)</f>
        <v>336000</v>
      </c>
      <c r="S77" s="19" t="n">
        <f aca="false">IF(Supuestos!$C$19=0,0,S76/Supuestos!$C$19)</f>
        <v>366000</v>
      </c>
      <c r="T77" s="19" t="n">
        <f aca="false">IF(Supuestos!$C$19=0,0,T76/Supuestos!$C$19)</f>
        <v>398000</v>
      </c>
      <c r="U77" s="19" t="n">
        <f aca="false">IF(Supuestos!$C$19=0,0,U76/Supuestos!$C$19)</f>
        <v>428000</v>
      </c>
      <c r="V77" s="19" t="n">
        <f aca="false">IF(Supuestos!$C$19=0,0,V76/Supuestos!$C$19)</f>
        <v>458000</v>
      </c>
      <c r="W77" s="19" t="n">
        <f aca="false">IF(Supuestos!$C$19=0,0,W76/Supuestos!$C$19)</f>
        <v>488000</v>
      </c>
      <c r="X77" s="19" t="n">
        <f aca="false">IF(Supuestos!$C$19=0,0,X76/Supuestos!$C$19)</f>
        <v>520000</v>
      </c>
      <c r="Y77" s="19" t="n">
        <f aca="false">IF(Supuestos!$C$19=0,0,Y76/Supuestos!$C$19)</f>
        <v>550000</v>
      </c>
      <c r="Z77" s="19" t="n">
        <f aca="false">IF(Supuestos!$C$19=0,0,Z76/Supuestos!$C$19)</f>
        <v>580000</v>
      </c>
      <c r="AA77" s="19" t="n">
        <f aca="false">IF(Supuestos!$C$19=0,0,AA76/Supuestos!$C$19)</f>
        <v>610000</v>
      </c>
      <c r="AB77" s="19" t="n">
        <f aca="false">IF(Supuestos!$C$19=0,0,AB76/Supuestos!$C$19)</f>
        <v>642000</v>
      </c>
      <c r="AC77" s="19" t="n">
        <f aca="false">IF(Supuestos!$C$19=0,0,AC76/Supuestos!$C$19)</f>
        <v>672000</v>
      </c>
      <c r="AD77" s="19" t="n">
        <f aca="false">IF(Supuestos!$C$19=0,0,AD76/Supuestos!$C$19)</f>
        <v>702000</v>
      </c>
      <c r="AE77" s="19" t="n">
        <f aca="false">IF(Supuestos!$C$19=0,0,AE76/Supuestos!$C$19)</f>
        <v>734000</v>
      </c>
      <c r="AF77" s="19" t="n">
        <f aca="false">IF(Supuestos!$C$19=0,0,AF76/Supuestos!$C$19)</f>
        <v>764000</v>
      </c>
      <c r="AG77" s="19" t="n">
        <f aca="false">IF(Supuestos!$C$19=0,0,AG76/Supuestos!$C$19)</f>
        <v>794000</v>
      </c>
      <c r="AH77" s="19" t="n">
        <f aca="false">IF(Supuestos!$C$19=0,0,AH76/Supuestos!$C$19)</f>
        <v>824000</v>
      </c>
      <c r="AI77" s="19" t="n">
        <f aca="false">IF(Supuestos!$C$19=0,0,AI76/Supuestos!$C$19)</f>
        <v>856000</v>
      </c>
      <c r="AJ77" s="19" t="n">
        <f aca="false">IF(Supuestos!$C$19=0,0,AJ76/Supuestos!$C$19)</f>
        <v>886000</v>
      </c>
      <c r="AK77" s="19" t="n">
        <f aca="false">IF(Supuestos!$C$19=0,0,AK76/Supuestos!$C$19)</f>
        <v>916000</v>
      </c>
      <c r="AL77" s="19" t="n">
        <f aca="false">IF(Supuestos!$C$19=0,0,AL76/Supuestos!$C$19)</f>
        <v>946000</v>
      </c>
      <c r="AM77" s="19" t="n">
        <f aca="false">IF(Supuestos!$C$19=0,0,AM76/Supuestos!$C$19)</f>
        <v>978000</v>
      </c>
      <c r="AN77" s="19" t="n">
        <f aca="false">IF(Supuestos!$C$19=0,0,AN76/Supuestos!$C$19)</f>
        <v>1008000</v>
      </c>
      <c r="AO77" s="19" t="n">
        <f aca="false">IF(Supuestos!$C$19=0,0,AO76/Supuestos!$C$19)</f>
        <v>1038000</v>
      </c>
      <c r="AP77" s="19" t="n">
        <f aca="false">IF(Supuestos!$C$19=0,0,AP76/Supuestos!$C$19)</f>
        <v>1068000</v>
      </c>
      <c r="AQ77" s="19" t="n">
        <f aca="false">IF(Supuestos!$C$19=0,0,AQ76/Supuestos!$C$19)</f>
        <v>1098000</v>
      </c>
      <c r="AR77" s="19" t="n">
        <f aca="false">IF(Supuestos!$C$19=0,0,AR76/Supuestos!$C$19)</f>
        <v>1128000</v>
      </c>
      <c r="AS77" s="19" t="n">
        <f aca="false">IF(Supuestos!$C$19=0,0,AS76/Supuestos!$C$19)</f>
        <v>1158000</v>
      </c>
      <c r="AT77" s="19" t="n">
        <f aca="false">IF(Supuestos!$C$19=0,0,AT76/Supuestos!$C$19)</f>
        <v>1190000</v>
      </c>
      <c r="AU77" s="19" t="n">
        <f aca="false">IF(Supuestos!$C$19=0,0,AU76/Supuestos!$C$19)</f>
        <v>1220000</v>
      </c>
      <c r="AV77" s="19" t="n">
        <f aca="false">IF(Supuestos!$C$19=0,0,AV76/Supuestos!$C$19)</f>
        <v>1250000</v>
      </c>
      <c r="AW77" s="19" t="n">
        <f aca="false">IF(Supuestos!$C$19=0,0,AW76/Supuestos!$C$19)</f>
        <v>1280000</v>
      </c>
      <c r="AX77" s="19" t="n">
        <f aca="false">IF(Supuestos!$C$19=0,0,AX76/Supuestos!$C$19)</f>
        <v>1312000</v>
      </c>
      <c r="AY77" s="19" t="n">
        <f aca="false">IF(Supuestos!$C$19=0,0,AY76/Supuestos!$C$19)</f>
        <v>1340000</v>
      </c>
      <c r="AZ77" s="19" t="n">
        <f aca="false">IF(Supuestos!$C$19=0,0,AZ76/Supuestos!$C$19)</f>
        <v>1366000</v>
      </c>
      <c r="BA77" s="19" t="n">
        <f aca="false">IF(Supuestos!$C$19=0,0,BA76/Supuestos!$C$19)</f>
        <v>1390000</v>
      </c>
      <c r="BB77" s="19" t="n">
        <f aca="false">IF(Supuestos!$C$19=0,0,BB76/Supuestos!$C$19)</f>
        <v>1412000</v>
      </c>
      <c r="BC77" s="19" t="n">
        <f aca="false">IF(Supuestos!$C$19=0,0,BC76/Supuestos!$C$19)</f>
        <v>1430000</v>
      </c>
      <c r="BD77" s="19" t="n">
        <f aca="false">IF(Supuestos!$C$19=0,0,BD76/Supuestos!$C$19)</f>
        <v>1446000</v>
      </c>
      <c r="BE77" s="19" t="n">
        <f aca="false">IF(Supuestos!$C$19=0,0,BE76/Supuestos!$C$19)</f>
        <v>1460000</v>
      </c>
      <c r="BF77" s="19" t="n">
        <f aca="false">IF(Supuestos!$C$19=0,0,BF76/Supuestos!$C$19)</f>
        <v>1470000</v>
      </c>
      <c r="BG77" s="19" t="n">
        <f aca="false">IF(Supuestos!$C$19=0,0,BG76/Supuestos!$C$19)</f>
        <v>1478000</v>
      </c>
      <c r="BH77" s="19" t="n">
        <f aca="false">IF(Supuestos!$C$19=0,0,BH76/Supuestos!$C$19)</f>
        <v>1484000</v>
      </c>
      <c r="BI77" s="19" t="n">
        <f aca="false">IF(Supuestos!$C$19=0,0,BI76/Supuestos!$C$19)</f>
        <v>1488000</v>
      </c>
      <c r="BJ77" s="19" t="n">
        <f aca="false">IF(Supuestos!$C$19=0,0,BJ76/Supuestos!$C$19)</f>
        <v>1488000</v>
      </c>
    </row>
    <row r="78" customFormat="false" ht="15" hidden="false" customHeight="false" outlineLevel="0" collapsed="false">
      <c r="A78" s="1"/>
      <c r="B78" s="7" t="s">
        <v>195</v>
      </c>
      <c r="C78" s="19" t="n">
        <f aca="false">C67</f>
        <v>2</v>
      </c>
      <c r="D78" s="19" t="n">
        <f aca="false">MAX(C78,D67)</f>
        <v>5</v>
      </c>
      <c r="E78" s="19" t="n">
        <f aca="false">MAX(D78,E67)</f>
        <v>10</v>
      </c>
      <c r="F78" s="19" t="n">
        <f aca="false">MAX(E78,F67)</f>
        <v>16</v>
      </c>
      <c r="G78" s="19" t="n">
        <f aca="false">MAX(F78,G67)</f>
        <v>23</v>
      </c>
      <c r="H78" s="19" t="n">
        <f aca="false">MAX(G78,H67)</f>
        <v>31</v>
      </c>
      <c r="I78" s="19" t="n">
        <f aca="false">MAX(H78,I67)</f>
        <v>41</v>
      </c>
      <c r="J78" s="19" t="n">
        <f aca="false">MAX(I78,J67)</f>
        <v>52</v>
      </c>
      <c r="K78" s="19" t="n">
        <f aca="false">MAX(J78,K67)</f>
        <v>64</v>
      </c>
      <c r="L78" s="19" t="n">
        <f aca="false">MAX(K78,L67)</f>
        <v>77</v>
      </c>
      <c r="M78" s="19" t="n">
        <f aca="false">MAX(L78,M67)</f>
        <v>92</v>
      </c>
      <c r="N78" s="19" t="n">
        <f aca="false">MAX(M78,N67)</f>
        <v>108</v>
      </c>
      <c r="O78" s="19" t="n">
        <f aca="false">MAX(N78,O67)</f>
        <v>123</v>
      </c>
      <c r="P78" s="19" t="n">
        <f aca="false">MAX(O78,P67)</f>
        <v>138</v>
      </c>
      <c r="Q78" s="19" t="n">
        <f aca="false">MAX(P78,Q67)</f>
        <v>153</v>
      </c>
      <c r="R78" s="19" t="n">
        <f aca="false">MAX(Q78,R67)</f>
        <v>168</v>
      </c>
      <c r="S78" s="19" t="n">
        <f aca="false">MAX(R78,S67)</f>
        <v>183</v>
      </c>
      <c r="T78" s="19" t="n">
        <f aca="false">MAX(S78,T67)</f>
        <v>199</v>
      </c>
      <c r="U78" s="19" t="n">
        <f aca="false">MAX(T78,U67)</f>
        <v>214</v>
      </c>
      <c r="V78" s="19" t="n">
        <f aca="false">MAX(U78,V67)</f>
        <v>229</v>
      </c>
      <c r="W78" s="19" t="n">
        <f aca="false">MAX(V78,W67)</f>
        <v>244</v>
      </c>
      <c r="X78" s="19" t="n">
        <f aca="false">MAX(W78,X67)</f>
        <v>260</v>
      </c>
      <c r="Y78" s="19" t="n">
        <f aca="false">MAX(X78,Y67)</f>
        <v>275</v>
      </c>
      <c r="Z78" s="19" t="n">
        <f aca="false">MAX(Y78,Z67)</f>
        <v>290</v>
      </c>
      <c r="AA78" s="19" t="n">
        <f aca="false">MAX(Z78,AA67)</f>
        <v>305</v>
      </c>
      <c r="AB78" s="19" t="n">
        <f aca="false">MAX(AA78,AB67)</f>
        <v>321</v>
      </c>
      <c r="AC78" s="19" t="n">
        <f aca="false">MAX(AB78,AC67)</f>
        <v>336</v>
      </c>
      <c r="AD78" s="19" t="n">
        <f aca="false">MAX(AC78,AD67)</f>
        <v>351</v>
      </c>
      <c r="AE78" s="19" t="n">
        <f aca="false">MAX(AD78,AE67)</f>
        <v>367</v>
      </c>
      <c r="AF78" s="19" t="n">
        <f aca="false">MAX(AE78,AF67)</f>
        <v>382</v>
      </c>
      <c r="AG78" s="19" t="n">
        <f aca="false">MAX(AF78,AG67)</f>
        <v>397</v>
      </c>
      <c r="AH78" s="19" t="n">
        <f aca="false">MAX(AG78,AH67)</f>
        <v>412</v>
      </c>
      <c r="AI78" s="19" t="n">
        <f aca="false">MAX(AH78,AI67)</f>
        <v>428</v>
      </c>
      <c r="AJ78" s="19" t="n">
        <f aca="false">MAX(AI78,AJ67)</f>
        <v>443</v>
      </c>
      <c r="AK78" s="19" t="n">
        <f aca="false">MAX(AJ78,AK67)</f>
        <v>458</v>
      </c>
      <c r="AL78" s="19" t="n">
        <f aca="false">MAX(AK78,AL67)</f>
        <v>473</v>
      </c>
      <c r="AM78" s="19" t="n">
        <f aca="false">MAX(AL78,AM67)</f>
        <v>489</v>
      </c>
      <c r="AN78" s="19" t="n">
        <f aca="false">MAX(AM78,AN67)</f>
        <v>504</v>
      </c>
      <c r="AO78" s="19" t="n">
        <f aca="false">MAX(AN78,AO67)</f>
        <v>519</v>
      </c>
      <c r="AP78" s="19" t="n">
        <f aca="false">MAX(AO78,AP67)</f>
        <v>534</v>
      </c>
      <c r="AQ78" s="19" t="n">
        <f aca="false">MAX(AP78,AQ67)</f>
        <v>549</v>
      </c>
      <c r="AR78" s="19" t="n">
        <f aca="false">MAX(AQ78,AR67)</f>
        <v>564</v>
      </c>
      <c r="AS78" s="19" t="n">
        <f aca="false">MAX(AR78,AS67)</f>
        <v>579</v>
      </c>
      <c r="AT78" s="19" t="n">
        <f aca="false">MAX(AS78,AT67)</f>
        <v>595</v>
      </c>
      <c r="AU78" s="19" t="n">
        <f aca="false">MAX(AT78,AU67)</f>
        <v>610</v>
      </c>
      <c r="AV78" s="19" t="n">
        <f aca="false">MAX(AU78,AV67)</f>
        <v>625</v>
      </c>
      <c r="AW78" s="19" t="n">
        <f aca="false">MAX(AV78,AW67)</f>
        <v>640</v>
      </c>
      <c r="AX78" s="19" t="n">
        <f aca="false">MAX(AW78,AX67)</f>
        <v>656</v>
      </c>
      <c r="AY78" s="19" t="n">
        <f aca="false">MAX(AX78,AY67)</f>
        <v>670</v>
      </c>
      <c r="AZ78" s="19" t="n">
        <f aca="false">MAX(AY78,AZ67)</f>
        <v>683</v>
      </c>
      <c r="BA78" s="19" t="n">
        <f aca="false">MAX(AZ78,BA67)</f>
        <v>695</v>
      </c>
      <c r="BB78" s="19" t="n">
        <f aca="false">MAX(BA78,BB67)</f>
        <v>706</v>
      </c>
      <c r="BC78" s="19" t="n">
        <f aca="false">MAX(BB78,BC67)</f>
        <v>715</v>
      </c>
      <c r="BD78" s="19" t="n">
        <f aca="false">MAX(BC78,BD67)</f>
        <v>723</v>
      </c>
      <c r="BE78" s="19" t="n">
        <f aca="false">MAX(BD78,BE67)</f>
        <v>730</v>
      </c>
      <c r="BF78" s="19" t="n">
        <f aca="false">MAX(BE78,BF67)</f>
        <v>735</v>
      </c>
      <c r="BG78" s="19" t="n">
        <f aca="false">MAX(BF78,BG67)</f>
        <v>739</v>
      </c>
      <c r="BH78" s="19" t="n">
        <f aca="false">MAX(BG78,BH67)</f>
        <v>742</v>
      </c>
      <c r="BI78" s="19" t="n">
        <f aca="false">MAX(BH78,BI67)</f>
        <v>744</v>
      </c>
      <c r="BJ78" s="19" t="n">
        <f aca="false">MAX(BI78,BJ67)</f>
        <v>744</v>
      </c>
    </row>
    <row r="79" customFormat="false" ht="15" hidden="false" customHeight="false" outlineLevel="0" collapsed="false">
      <c r="A79" s="1"/>
      <c r="B79" s="7" t="s">
        <v>196</v>
      </c>
      <c r="C79" s="19" t="n">
        <f aca="false">IF(Supuestos!$C$56=1,C78,C64*Supuestos!$C$18)</f>
        <v>2</v>
      </c>
      <c r="D79" s="19" t="n">
        <f aca="false">IF(Supuestos!$C$56=1,D78-C78,D64*Supuestos!$C$18)</f>
        <v>3</v>
      </c>
      <c r="E79" s="19" t="n">
        <f aca="false">IF(Supuestos!$C$56=1,E78-D78,E64*Supuestos!$C$18)</f>
        <v>5</v>
      </c>
      <c r="F79" s="19" t="n">
        <f aca="false">IF(Supuestos!$C$56=1,F78-E78,F64*Supuestos!$C$18)</f>
        <v>6</v>
      </c>
      <c r="G79" s="19" t="n">
        <f aca="false">IF(Supuestos!$C$56=1,G78-F78,G64*Supuestos!$C$18)</f>
        <v>7</v>
      </c>
      <c r="H79" s="19" t="n">
        <f aca="false">IF(Supuestos!$C$56=1,H78-G78,H64*Supuestos!$C$18)</f>
        <v>8</v>
      </c>
      <c r="I79" s="19" t="n">
        <f aca="false">IF(Supuestos!$C$56=1,I78-H78,I64*Supuestos!$C$18)</f>
        <v>10</v>
      </c>
      <c r="J79" s="19" t="n">
        <f aca="false">IF(Supuestos!$C$56=1,J78-I78,J64*Supuestos!$C$18)</f>
        <v>11</v>
      </c>
      <c r="K79" s="19" t="n">
        <f aca="false">IF(Supuestos!$C$56=1,K78-J78,K64*Supuestos!$C$18)</f>
        <v>12</v>
      </c>
      <c r="L79" s="19" t="n">
        <f aca="false">IF(Supuestos!$C$56=1,L78-K78,L64*Supuestos!$C$18)</f>
        <v>13</v>
      </c>
      <c r="M79" s="19" t="n">
        <f aca="false">IF(Supuestos!$C$56=1,M78-L78,M64*Supuestos!$C$18)</f>
        <v>15</v>
      </c>
      <c r="N79" s="19" t="n">
        <f aca="false">IF(Supuestos!$C$56=1,N78-M78,N64*Supuestos!$C$18)</f>
        <v>16</v>
      </c>
      <c r="O79" s="19" t="n">
        <f aca="false">IF(Supuestos!$C$56=1,O78-N78,O64*Supuestos!$C$18)</f>
        <v>15</v>
      </c>
      <c r="P79" s="19" t="n">
        <f aca="false">IF(Supuestos!$C$56=1,P78-O78,P64*Supuestos!$C$18)</f>
        <v>15</v>
      </c>
      <c r="Q79" s="19" t="n">
        <f aca="false">IF(Supuestos!$C$56=1,Q78-P78,Q64*Supuestos!$C$18)</f>
        <v>15</v>
      </c>
      <c r="R79" s="19" t="n">
        <f aca="false">IF(Supuestos!$C$56=1,R78-Q78,R64*Supuestos!$C$18)</f>
        <v>15</v>
      </c>
      <c r="S79" s="19" t="n">
        <f aca="false">IF(Supuestos!$C$56=1,S78-R78,S64*Supuestos!$C$18)</f>
        <v>15</v>
      </c>
      <c r="T79" s="19" t="n">
        <f aca="false">IF(Supuestos!$C$56=1,T78-S78,T64*Supuestos!$C$18)</f>
        <v>16</v>
      </c>
      <c r="U79" s="19" t="n">
        <f aca="false">IF(Supuestos!$C$56=1,U78-T78,U64*Supuestos!$C$18)</f>
        <v>15</v>
      </c>
      <c r="V79" s="19" t="n">
        <f aca="false">IF(Supuestos!$C$56=1,V78-U78,V64*Supuestos!$C$18)</f>
        <v>15</v>
      </c>
      <c r="W79" s="19" t="n">
        <f aca="false">IF(Supuestos!$C$56=1,W78-V78,W64*Supuestos!$C$18)</f>
        <v>15</v>
      </c>
      <c r="X79" s="19" t="n">
        <f aca="false">IF(Supuestos!$C$56=1,X78-W78,X64*Supuestos!$C$18)</f>
        <v>16</v>
      </c>
      <c r="Y79" s="19" t="n">
        <f aca="false">IF(Supuestos!$C$56=1,Y78-X78,Y64*Supuestos!$C$18)</f>
        <v>15</v>
      </c>
      <c r="Z79" s="19" t="n">
        <f aca="false">IF(Supuestos!$C$56=1,Z78-Y78,Z64*Supuestos!$C$18)</f>
        <v>15</v>
      </c>
      <c r="AA79" s="19" t="n">
        <f aca="false">IF(Supuestos!$C$56=1,AA78-Z78,AA64*Supuestos!$C$18)</f>
        <v>15</v>
      </c>
      <c r="AB79" s="19" t="n">
        <f aca="false">IF(Supuestos!$C$56=1,AB78-AA78,AB64*Supuestos!$C$18)</f>
        <v>16</v>
      </c>
      <c r="AC79" s="19" t="n">
        <f aca="false">IF(Supuestos!$C$56=1,AC78-AB78,AC64*Supuestos!$C$18)</f>
        <v>15</v>
      </c>
      <c r="AD79" s="19" t="n">
        <f aca="false">IF(Supuestos!$C$56=1,AD78-AC78,AD64*Supuestos!$C$18)</f>
        <v>15</v>
      </c>
      <c r="AE79" s="19" t="n">
        <f aca="false">IF(Supuestos!$C$56=1,AE78-AD78,AE64*Supuestos!$C$18)</f>
        <v>16</v>
      </c>
      <c r="AF79" s="19" t="n">
        <f aca="false">IF(Supuestos!$C$56=1,AF78-AE78,AF64*Supuestos!$C$18)</f>
        <v>15</v>
      </c>
      <c r="AG79" s="19" t="n">
        <f aca="false">IF(Supuestos!$C$56=1,AG78-AF78,AG64*Supuestos!$C$18)</f>
        <v>15</v>
      </c>
      <c r="AH79" s="19" t="n">
        <f aca="false">IF(Supuestos!$C$56=1,AH78-AG78,AH64*Supuestos!$C$18)</f>
        <v>15</v>
      </c>
      <c r="AI79" s="19" t="n">
        <f aca="false">IF(Supuestos!$C$56=1,AI78-AH78,AI64*Supuestos!$C$18)</f>
        <v>16</v>
      </c>
      <c r="AJ79" s="19" t="n">
        <f aca="false">IF(Supuestos!$C$56=1,AJ78-AI78,AJ64*Supuestos!$C$18)</f>
        <v>15</v>
      </c>
      <c r="AK79" s="19" t="n">
        <f aca="false">IF(Supuestos!$C$56=1,AK78-AJ78,AK64*Supuestos!$C$18)</f>
        <v>15</v>
      </c>
      <c r="AL79" s="19" t="n">
        <f aca="false">IF(Supuestos!$C$56=1,AL78-AK78,AL64*Supuestos!$C$18)</f>
        <v>15</v>
      </c>
      <c r="AM79" s="19" t="n">
        <f aca="false">IF(Supuestos!$C$56=1,AM78-AL78,AM64*Supuestos!$C$18)</f>
        <v>16</v>
      </c>
      <c r="AN79" s="19" t="n">
        <f aca="false">IF(Supuestos!$C$56=1,AN78-AM78,AN64*Supuestos!$C$18)</f>
        <v>15</v>
      </c>
      <c r="AO79" s="19" t="n">
        <f aca="false">IF(Supuestos!$C$56=1,AO78-AN78,AO64*Supuestos!$C$18)</f>
        <v>15</v>
      </c>
      <c r="AP79" s="19" t="n">
        <f aca="false">IF(Supuestos!$C$56=1,AP78-AO78,AP64*Supuestos!$C$18)</f>
        <v>15</v>
      </c>
      <c r="AQ79" s="19" t="n">
        <f aca="false">IF(Supuestos!$C$56=1,AQ78-AP78,AQ64*Supuestos!$C$18)</f>
        <v>15</v>
      </c>
      <c r="AR79" s="19" t="n">
        <f aca="false">IF(Supuestos!$C$56=1,AR78-AQ78,AR64*Supuestos!$C$18)</f>
        <v>15</v>
      </c>
      <c r="AS79" s="19" t="n">
        <f aca="false">IF(Supuestos!$C$56=1,AS78-AR78,AS64*Supuestos!$C$18)</f>
        <v>15</v>
      </c>
      <c r="AT79" s="19" t="n">
        <f aca="false">IF(Supuestos!$C$56=1,AT78-AS78,AT64*Supuestos!$C$18)</f>
        <v>16</v>
      </c>
      <c r="AU79" s="19" t="n">
        <f aca="false">IF(Supuestos!$C$56=1,AU78-AT78,AU64*Supuestos!$C$18)</f>
        <v>15</v>
      </c>
      <c r="AV79" s="19" t="n">
        <f aca="false">IF(Supuestos!$C$56=1,AV78-AU78,AV64*Supuestos!$C$18)</f>
        <v>15</v>
      </c>
      <c r="AW79" s="19" t="n">
        <f aca="false">IF(Supuestos!$C$56=1,AW78-AV78,AW64*Supuestos!$C$18)</f>
        <v>15</v>
      </c>
      <c r="AX79" s="19" t="n">
        <f aca="false">IF(Supuestos!$C$56=1,AX78-AW78,AX64*Supuestos!$C$18)</f>
        <v>16</v>
      </c>
      <c r="AY79" s="19" t="n">
        <f aca="false">IF(Supuestos!$C$56=1,AY78-AX78,AY64*Supuestos!$C$18)</f>
        <v>14</v>
      </c>
      <c r="AZ79" s="19" t="n">
        <f aca="false">IF(Supuestos!$C$56=1,AZ78-AY78,AZ64*Supuestos!$C$18)</f>
        <v>13</v>
      </c>
      <c r="BA79" s="19" t="n">
        <f aca="false">IF(Supuestos!$C$56=1,BA78-AZ78,BA64*Supuestos!$C$18)</f>
        <v>12</v>
      </c>
      <c r="BB79" s="19" t="n">
        <f aca="false">IF(Supuestos!$C$56=1,BB78-BA78,BB64*Supuestos!$C$18)</f>
        <v>11</v>
      </c>
      <c r="BC79" s="19" t="n">
        <f aca="false">IF(Supuestos!$C$56=1,BC78-BB78,BC64*Supuestos!$C$18)</f>
        <v>9</v>
      </c>
      <c r="BD79" s="19" t="n">
        <f aca="false">IF(Supuestos!$C$56=1,BD78-BC78,BD64*Supuestos!$C$18)</f>
        <v>8</v>
      </c>
      <c r="BE79" s="19" t="n">
        <f aca="false">IF(Supuestos!$C$56=1,BE78-BD78,BE64*Supuestos!$C$18)</f>
        <v>7</v>
      </c>
      <c r="BF79" s="19" t="n">
        <f aca="false">IF(Supuestos!$C$56=1,BF78-BE78,BF64*Supuestos!$C$18)</f>
        <v>5</v>
      </c>
      <c r="BG79" s="19" t="n">
        <f aca="false">IF(Supuestos!$C$56=1,BG78-BF78,BG64*Supuestos!$C$18)</f>
        <v>4</v>
      </c>
      <c r="BH79" s="19" t="n">
        <f aca="false">IF(Supuestos!$C$56=1,BH78-BG78,BH64*Supuestos!$C$18)</f>
        <v>3</v>
      </c>
      <c r="BI79" s="19" t="n">
        <f aca="false">IF(Supuestos!$C$56=1,BI78-BH78,BI64*Supuestos!$C$18)</f>
        <v>2</v>
      </c>
      <c r="BJ79" s="19" t="n">
        <f aca="false">IF(Supuestos!$C$56=1,BJ78-BI78,BJ64*Supuestos!$C$18)</f>
        <v>0</v>
      </c>
    </row>
    <row r="80" customFormat="false" ht="15" hidden="false" customHeight="false" outlineLevel="0" collapsed="false">
      <c r="A80" s="1"/>
      <c r="B80" s="7" t="s">
        <v>197</v>
      </c>
      <c r="C80" s="44" t="n">
        <f aca="false">IF(C67&gt;=Supuestos!$C$43,C62,999)</f>
        <v>999</v>
      </c>
      <c r="D80" s="44" t="n">
        <f aca="false">IF(D67&gt;=Supuestos!$C$43,D62,999)</f>
        <v>999</v>
      </c>
      <c r="E80" s="44" t="n">
        <f aca="false">IF(E67&gt;=Supuestos!$C$43,E62,999)</f>
        <v>999</v>
      </c>
      <c r="F80" s="44" t="n">
        <f aca="false">IF(F67&gt;=Supuestos!$C$43,F62,999)</f>
        <v>999</v>
      </c>
      <c r="G80" s="44" t="n">
        <f aca="false">IF(G67&gt;=Supuestos!$C$43,G62,999)</f>
        <v>5</v>
      </c>
      <c r="H80" s="44" t="n">
        <f aca="false">IF(H67&gt;=Supuestos!$C$43,H62,999)</f>
        <v>6</v>
      </c>
      <c r="I80" s="44" t="n">
        <f aca="false">IF(I67&gt;=Supuestos!$C$43,I62,999)</f>
        <v>7</v>
      </c>
      <c r="J80" s="44" t="n">
        <f aca="false">IF(J67&gt;=Supuestos!$C$43,J62,999)</f>
        <v>8</v>
      </c>
      <c r="K80" s="44" t="n">
        <f aca="false">IF(K67&gt;=Supuestos!$C$43,K62,999)</f>
        <v>9</v>
      </c>
      <c r="L80" s="44" t="n">
        <f aca="false">IF(L67&gt;=Supuestos!$C$43,L62,999)</f>
        <v>10</v>
      </c>
      <c r="M80" s="44" t="n">
        <f aca="false">IF(M67&gt;=Supuestos!$C$43,M62,999)</f>
        <v>11</v>
      </c>
      <c r="N80" s="44" t="n">
        <f aca="false">IF(N67&gt;=Supuestos!$C$43,N62,999)</f>
        <v>12</v>
      </c>
      <c r="O80" s="44" t="n">
        <f aca="false">IF(O67&gt;=Supuestos!$C$43,O62,999)</f>
        <v>13</v>
      </c>
      <c r="P80" s="44" t="n">
        <f aca="false">IF(P67&gt;=Supuestos!$C$43,P62,999)</f>
        <v>14</v>
      </c>
      <c r="Q80" s="44" t="n">
        <f aca="false">IF(Q67&gt;=Supuestos!$C$43,Q62,999)</f>
        <v>15</v>
      </c>
      <c r="R80" s="44" t="n">
        <f aca="false">IF(R67&gt;=Supuestos!$C$43,R62,999)</f>
        <v>16</v>
      </c>
      <c r="S80" s="44" t="n">
        <f aca="false">IF(S67&gt;=Supuestos!$C$43,S62,999)</f>
        <v>17</v>
      </c>
      <c r="T80" s="44" t="n">
        <f aca="false">IF(T67&gt;=Supuestos!$C$43,T62,999)</f>
        <v>18</v>
      </c>
      <c r="U80" s="44" t="n">
        <f aca="false">IF(U67&gt;=Supuestos!$C$43,U62,999)</f>
        <v>19</v>
      </c>
      <c r="V80" s="44" t="n">
        <f aca="false">IF(V67&gt;=Supuestos!$C$43,V62,999)</f>
        <v>20</v>
      </c>
      <c r="W80" s="44" t="n">
        <f aca="false">IF(W67&gt;=Supuestos!$C$43,W62,999)</f>
        <v>21</v>
      </c>
      <c r="X80" s="44" t="n">
        <f aca="false">IF(X67&gt;=Supuestos!$C$43,X62,999)</f>
        <v>22</v>
      </c>
      <c r="Y80" s="44" t="n">
        <f aca="false">IF(Y67&gt;=Supuestos!$C$43,Y62,999)</f>
        <v>23</v>
      </c>
      <c r="Z80" s="44" t="n">
        <f aca="false">IF(Z67&gt;=Supuestos!$C$43,Z62,999)</f>
        <v>24</v>
      </c>
      <c r="AA80" s="44" t="n">
        <f aca="false">IF(AA67&gt;=Supuestos!$C$43,AA62,999)</f>
        <v>25</v>
      </c>
      <c r="AB80" s="44" t="n">
        <f aca="false">IF(AB67&gt;=Supuestos!$C$43,AB62,999)</f>
        <v>26</v>
      </c>
      <c r="AC80" s="44" t="n">
        <f aca="false">IF(AC67&gt;=Supuestos!$C$43,AC62,999)</f>
        <v>27</v>
      </c>
      <c r="AD80" s="44" t="n">
        <f aca="false">IF(AD67&gt;=Supuestos!$C$43,AD62,999)</f>
        <v>28</v>
      </c>
      <c r="AE80" s="44" t="n">
        <f aca="false">IF(AE67&gt;=Supuestos!$C$43,AE62,999)</f>
        <v>29</v>
      </c>
      <c r="AF80" s="44" t="n">
        <f aca="false">IF(AF67&gt;=Supuestos!$C$43,AF62,999)</f>
        <v>30</v>
      </c>
      <c r="AG80" s="44" t="n">
        <f aca="false">IF(AG67&gt;=Supuestos!$C$43,AG62,999)</f>
        <v>31</v>
      </c>
      <c r="AH80" s="44" t="n">
        <f aca="false">IF(AH67&gt;=Supuestos!$C$43,AH62,999)</f>
        <v>32</v>
      </c>
      <c r="AI80" s="44" t="n">
        <f aca="false">IF(AI67&gt;=Supuestos!$C$43,AI62,999)</f>
        <v>33</v>
      </c>
      <c r="AJ80" s="44" t="n">
        <f aca="false">IF(AJ67&gt;=Supuestos!$C$43,AJ62,999)</f>
        <v>34</v>
      </c>
      <c r="AK80" s="44" t="n">
        <f aca="false">IF(AK67&gt;=Supuestos!$C$43,AK62,999)</f>
        <v>35</v>
      </c>
      <c r="AL80" s="44" t="n">
        <f aca="false">IF(AL67&gt;=Supuestos!$C$43,AL62,999)</f>
        <v>36</v>
      </c>
      <c r="AM80" s="44" t="n">
        <f aca="false">IF(AM67&gt;=Supuestos!$C$43,AM62,999)</f>
        <v>37</v>
      </c>
      <c r="AN80" s="44" t="n">
        <f aca="false">IF(AN67&gt;=Supuestos!$C$43,AN62,999)</f>
        <v>38</v>
      </c>
      <c r="AO80" s="44" t="n">
        <f aca="false">IF(AO67&gt;=Supuestos!$C$43,AO62,999)</f>
        <v>39</v>
      </c>
      <c r="AP80" s="44" t="n">
        <f aca="false">IF(AP67&gt;=Supuestos!$C$43,AP62,999)</f>
        <v>40</v>
      </c>
      <c r="AQ80" s="44" t="n">
        <f aca="false">IF(AQ67&gt;=Supuestos!$C$43,AQ62,999)</f>
        <v>41</v>
      </c>
      <c r="AR80" s="44" t="n">
        <f aca="false">IF(AR67&gt;=Supuestos!$C$43,AR62,999)</f>
        <v>42</v>
      </c>
      <c r="AS80" s="44" t="n">
        <f aca="false">IF(AS67&gt;=Supuestos!$C$43,AS62,999)</f>
        <v>43</v>
      </c>
      <c r="AT80" s="44" t="n">
        <f aca="false">IF(AT67&gt;=Supuestos!$C$43,AT62,999)</f>
        <v>44</v>
      </c>
      <c r="AU80" s="44" t="n">
        <f aca="false">IF(AU67&gt;=Supuestos!$C$43,AU62,999)</f>
        <v>45</v>
      </c>
      <c r="AV80" s="44" t="n">
        <f aca="false">IF(AV67&gt;=Supuestos!$C$43,AV62,999)</f>
        <v>46</v>
      </c>
      <c r="AW80" s="44" t="n">
        <f aca="false">IF(AW67&gt;=Supuestos!$C$43,AW62,999)</f>
        <v>47</v>
      </c>
      <c r="AX80" s="44" t="n">
        <f aca="false">IF(AX67&gt;=Supuestos!$C$43,AX62,999)</f>
        <v>48</v>
      </c>
      <c r="AY80" s="44" t="n">
        <f aca="false">IF(AY67&gt;=Supuestos!$C$43,AY62,999)</f>
        <v>49</v>
      </c>
      <c r="AZ80" s="44" t="n">
        <f aca="false">IF(AZ67&gt;=Supuestos!$C$43,AZ62,999)</f>
        <v>50</v>
      </c>
      <c r="BA80" s="44" t="n">
        <f aca="false">IF(BA67&gt;=Supuestos!$C$43,BA62,999)</f>
        <v>51</v>
      </c>
      <c r="BB80" s="44" t="n">
        <f aca="false">IF(BB67&gt;=Supuestos!$C$43,BB62,999)</f>
        <v>52</v>
      </c>
      <c r="BC80" s="44" t="n">
        <f aca="false">IF(BC67&gt;=Supuestos!$C$43,BC62,999)</f>
        <v>53</v>
      </c>
      <c r="BD80" s="44" t="n">
        <f aca="false">IF(BD67&gt;=Supuestos!$C$43,BD62,999)</f>
        <v>54</v>
      </c>
      <c r="BE80" s="44" t="n">
        <f aca="false">IF(BE67&gt;=Supuestos!$C$43,BE62,999)</f>
        <v>55</v>
      </c>
      <c r="BF80" s="44" t="n">
        <f aca="false">IF(BF67&gt;=Supuestos!$C$43,BF62,999)</f>
        <v>56</v>
      </c>
      <c r="BG80" s="44" t="n">
        <f aca="false">IF(BG67&gt;=Supuestos!$C$43,BG62,999)</f>
        <v>57</v>
      </c>
      <c r="BH80" s="44" t="n">
        <f aca="false">IF(BH67&gt;=Supuestos!$C$43,BH62,999)</f>
        <v>58</v>
      </c>
      <c r="BI80" s="44" t="n">
        <f aca="false">IF(BI67&gt;=Supuestos!$C$43,BI62,999)</f>
        <v>59</v>
      </c>
      <c r="BJ80" s="44" t="n">
        <f aca="false">IF(BJ67&gt;=Supuestos!$C$43,BJ62,999)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62" min="3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customFormat="false" ht="17.35" hidden="false" customHeight="false" outlineLevel="0" collapsed="false">
      <c r="A2" s="1"/>
      <c r="B2" s="2" t="s">
        <v>198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customFormat="false" ht="15" hidden="false" customHeight="false" outlineLevel="0" collapsed="false">
      <c r="A3" s="1"/>
      <c r="B3" s="3" t="s">
        <v>199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customFormat="false" ht="15" hidden="false" customHeight="false" outlineLevel="0" collapsed="false">
      <c r="A5" s="1"/>
      <c r="B5" s="23" t="s">
        <v>179</v>
      </c>
      <c r="C5" s="45" t="n">
        <f aca="false">'Cartera 60M'!C62</f>
        <v>1</v>
      </c>
      <c r="D5" s="45" t="n">
        <f aca="false">'Cartera 60M'!D62</f>
        <v>2</v>
      </c>
      <c r="E5" s="45" t="n">
        <f aca="false">'Cartera 60M'!E62</f>
        <v>3</v>
      </c>
      <c r="F5" s="45" t="n">
        <f aca="false">'Cartera 60M'!F62</f>
        <v>4</v>
      </c>
      <c r="G5" s="45" t="n">
        <f aca="false">'Cartera 60M'!G62</f>
        <v>5</v>
      </c>
      <c r="H5" s="45" t="n">
        <f aca="false">'Cartera 60M'!H62</f>
        <v>6</v>
      </c>
      <c r="I5" s="45" t="n">
        <f aca="false">'Cartera 60M'!I62</f>
        <v>7</v>
      </c>
      <c r="J5" s="45" t="n">
        <f aca="false">'Cartera 60M'!J62</f>
        <v>8</v>
      </c>
      <c r="K5" s="45" t="n">
        <f aca="false">'Cartera 60M'!K62</f>
        <v>9</v>
      </c>
      <c r="L5" s="45" t="n">
        <f aca="false">'Cartera 60M'!L62</f>
        <v>10</v>
      </c>
      <c r="M5" s="45" t="n">
        <f aca="false">'Cartera 60M'!M62</f>
        <v>11</v>
      </c>
      <c r="N5" s="45" t="n">
        <f aca="false">'Cartera 60M'!N62</f>
        <v>12</v>
      </c>
      <c r="O5" s="45" t="n">
        <f aca="false">'Cartera 60M'!O62</f>
        <v>13</v>
      </c>
      <c r="P5" s="45" t="n">
        <f aca="false">'Cartera 60M'!P62</f>
        <v>14</v>
      </c>
      <c r="Q5" s="45" t="n">
        <f aca="false">'Cartera 60M'!Q62</f>
        <v>15</v>
      </c>
      <c r="R5" s="45" t="n">
        <f aca="false">'Cartera 60M'!R62</f>
        <v>16</v>
      </c>
      <c r="S5" s="45" t="n">
        <f aca="false">'Cartera 60M'!S62</f>
        <v>17</v>
      </c>
      <c r="T5" s="45" t="n">
        <f aca="false">'Cartera 60M'!T62</f>
        <v>18</v>
      </c>
      <c r="U5" s="45" t="n">
        <f aca="false">'Cartera 60M'!U62</f>
        <v>19</v>
      </c>
      <c r="V5" s="45" t="n">
        <f aca="false">'Cartera 60M'!V62</f>
        <v>20</v>
      </c>
      <c r="W5" s="45" t="n">
        <f aca="false">'Cartera 60M'!W62</f>
        <v>21</v>
      </c>
      <c r="X5" s="45" t="n">
        <f aca="false">'Cartera 60M'!X62</f>
        <v>22</v>
      </c>
      <c r="Y5" s="45" t="n">
        <f aca="false">'Cartera 60M'!Y62</f>
        <v>23</v>
      </c>
      <c r="Z5" s="45" t="n">
        <f aca="false">'Cartera 60M'!Z62</f>
        <v>24</v>
      </c>
      <c r="AA5" s="45" t="n">
        <f aca="false">'Cartera 60M'!AA62</f>
        <v>25</v>
      </c>
      <c r="AB5" s="45" t="n">
        <f aca="false">'Cartera 60M'!AB62</f>
        <v>26</v>
      </c>
      <c r="AC5" s="45" t="n">
        <f aca="false">'Cartera 60M'!AC62</f>
        <v>27</v>
      </c>
      <c r="AD5" s="45" t="n">
        <f aca="false">'Cartera 60M'!AD62</f>
        <v>28</v>
      </c>
      <c r="AE5" s="45" t="n">
        <f aca="false">'Cartera 60M'!AE62</f>
        <v>29</v>
      </c>
      <c r="AF5" s="45" t="n">
        <f aca="false">'Cartera 60M'!AF62</f>
        <v>30</v>
      </c>
      <c r="AG5" s="45" t="n">
        <f aca="false">'Cartera 60M'!AG62</f>
        <v>31</v>
      </c>
      <c r="AH5" s="45" t="n">
        <f aca="false">'Cartera 60M'!AH62</f>
        <v>32</v>
      </c>
      <c r="AI5" s="45" t="n">
        <f aca="false">'Cartera 60M'!AI62</f>
        <v>33</v>
      </c>
      <c r="AJ5" s="45" t="n">
        <f aca="false">'Cartera 60M'!AJ62</f>
        <v>34</v>
      </c>
      <c r="AK5" s="45" t="n">
        <f aca="false">'Cartera 60M'!AK62</f>
        <v>35</v>
      </c>
      <c r="AL5" s="45" t="n">
        <f aca="false">'Cartera 60M'!AL62</f>
        <v>36</v>
      </c>
      <c r="AM5" s="45" t="n">
        <f aca="false">'Cartera 60M'!AM62</f>
        <v>37</v>
      </c>
      <c r="AN5" s="45" t="n">
        <f aca="false">'Cartera 60M'!AN62</f>
        <v>38</v>
      </c>
      <c r="AO5" s="45" t="n">
        <f aca="false">'Cartera 60M'!AO62</f>
        <v>39</v>
      </c>
      <c r="AP5" s="45" t="n">
        <f aca="false">'Cartera 60M'!AP62</f>
        <v>40</v>
      </c>
      <c r="AQ5" s="45" t="n">
        <f aca="false">'Cartera 60M'!AQ62</f>
        <v>41</v>
      </c>
      <c r="AR5" s="45" t="n">
        <f aca="false">'Cartera 60M'!AR62</f>
        <v>42</v>
      </c>
      <c r="AS5" s="45" t="n">
        <f aca="false">'Cartera 60M'!AS62</f>
        <v>43</v>
      </c>
      <c r="AT5" s="45" t="n">
        <f aca="false">'Cartera 60M'!AT62</f>
        <v>44</v>
      </c>
      <c r="AU5" s="45" t="n">
        <f aca="false">'Cartera 60M'!AU62</f>
        <v>45</v>
      </c>
      <c r="AV5" s="45" t="n">
        <f aca="false">'Cartera 60M'!AV62</f>
        <v>46</v>
      </c>
      <c r="AW5" s="45" t="n">
        <f aca="false">'Cartera 60M'!AW62</f>
        <v>47</v>
      </c>
      <c r="AX5" s="45" t="n">
        <f aca="false">'Cartera 60M'!AX62</f>
        <v>48</v>
      </c>
      <c r="AY5" s="45" t="n">
        <f aca="false">'Cartera 60M'!AY62</f>
        <v>49</v>
      </c>
      <c r="AZ5" s="45" t="n">
        <f aca="false">'Cartera 60M'!AZ62</f>
        <v>50</v>
      </c>
      <c r="BA5" s="45" t="n">
        <f aca="false">'Cartera 60M'!BA62</f>
        <v>51</v>
      </c>
      <c r="BB5" s="45" t="n">
        <f aca="false">'Cartera 60M'!BB62</f>
        <v>52</v>
      </c>
      <c r="BC5" s="45" t="n">
        <f aca="false">'Cartera 60M'!BC62</f>
        <v>53</v>
      </c>
      <c r="BD5" s="45" t="n">
        <f aca="false">'Cartera 60M'!BD62</f>
        <v>54</v>
      </c>
      <c r="BE5" s="45" t="n">
        <f aca="false">'Cartera 60M'!BE62</f>
        <v>55</v>
      </c>
      <c r="BF5" s="45" t="n">
        <f aca="false">'Cartera 60M'!BF62</f>
        <v>56</v>
      </c>
      <c r="BG5" s="45" t="n">
        <f aca="false">'Cartera 60M'!BG62</f>
        <v>57</v>
      </c>
      <c r="BH5" s="45" t="n">
        <f aca="false">'Cartera 60M'!BH62</f>
        <v>58</v>
      </c>
      <c r="BI5" s="45" t="n">
        <f aca="false">'Cartera 60M'!BI62</f>
        <v>59</v>
      </c>
      <c r="BJ5" s="45" t="n">
        <f aca="false">'Cartera 60M'!BJ62</f>
        <v>60</v>
      </c>
    </row>
    <row r="6" customFormat="false" ht="15" hidden="false" customHeight="false" outlineLevel="0" collapsed="false">
      <c r="A6" s="1"/>
      <c r="B6" s="7" t="s">
        <v>180</v>
      </c>
      <c r="C6" s="25" t="n">
        <f aca="false">'Cartera 60M'!C63</f>
        <v>1</v>
      </c>
      <c r="D6" s="25" t="n">
        <f aca="false">'Cartera 60M'!D63</f>
        <v>1</v>
      </c>
      <c r="E6" s="25" t="n">
        <f aca="false">'Cartera 60M'!E63</f>
        <v>1</v>
      </c>
      <c r="F6" s="25" t="n">
        <f aca="false">'Cartera 60M'!F63</f>
        <v>1</v>
      </c>
      <c r="G6" s="25" t="n">
        <f aca="false">'Cartera 60M'!G63</f>
        <v>1</v>
      </c>
      <c r="H6" s="25" t="n">
        <f aca="false">'Cartera 60M'!H63</f>
        <v>1</v>
      </c>
      <c r="I6" s="25" t="n">
        <f aca="false">'Cartera 60M'!I63</f>
        <v>1</v>
      </c>
      <c r="J6" s="25" t="n">
        <f aca="false">'Cartera 60M'!J63</f>
        <v>1</v>
      </c>
      <c r="K6" s="25" t="n">
        <f aca="false">'Cartera 60M'!K63</f>
        <v>1</v>
      </c>
      <c r="L6" s="25" t="n">
        <f aca="false">'Cartera 60M'!L63</f>
        <v>1</v>
      </c>
      <c r="M6" s="25" t="n">
        <f aca="false">'Cartera 60M'!M63</f>
        <v>1</v>
      </c>
      <c r="N6" s="25" t="n">
        <f aca="false">'Cartera 60M'!N63</f>
        <v>1</v>
      </c>
      <c r="O6" s="25" t="n">
        <f aca="false">'Cartera 60M'!O63</f>
        <v>2</v>
      </c>
      <c r="P6" s="25" t="n">
        <f aca="false">'Cartera 60M'!P63</f>
        <v>2</v>
      </c>
      <c r="Q6" s="25" t="n">
        <f aca="false">'Cartera 60M'!Q63</f>
        <v>2</v>
      </c>
      <c r="R6" s="25" t="n">
        <f aca="false">'Cartera 60M'!R63</f>
        <v>2</v>
      </c>
      <c r="S6" s="25" t="n">
        <f aca="false">'Cartera 60M'!S63</f>
        <v>2</v>
      </c>
      <c r="T6" s="25" t="n">
        <f aca="false">'Cartera 60M'!T63</f>
        <v>2</v>
      </c>
      <c r="U6" s="25" t="n">
        <f aca="false">'Cartera 60M'!U63</f>
        <v>2</v>
      </c>
      <c r="V6" s="25" t="n">
        <f aca="false">'Cartera 60M'!V63</f>
        <v>2</v>
      </c>
      <c r="W6" s="25" t="n">
        <f aca="false">'Cartera 60M'!W63</f>
        <v>2</v>
      </c>
      <c r="X6" s="25" t="n">
        <f aca="false">'Cartera 60M'!X63</f>
        <v>2</v>
      </c>
      <c r="Y6" s="25" t="n">
        <f aca="false">'Cartera 60M'!Y63</f>
        <v>2</v>
      </c>
      <c r="Z6" s="25" t="n">
        <f aca="false">'Cartera 60M'!Z63</f>
        <v>2</v>
      </c>
      <c r="AA6" s="25" t="n">
        <f aca="false">'Cartera 60M'!AA63</f>
        <v>3</v>
      </c>
      <c r="AB6" s="25" t="n">
        <f aca="false">'Cartera 60M'!AB63</f>
        <v>3</v>
      </c>
      <c r="AC6" s="25" t="n">
        <f aca="false">'Cartera 60M'!AC63</f>
        <v>3</v>
      </c>
      <c r="AD6" s="25" t="n">
        <f aca="false">'Cartera 60M'!AD63</f>
        <v>3</v>
      </c>
      <c r="AE6" s="25" t="n">
        <f aca="false">'Cartera 60M'!AE63</f>
        <v>3</v>
      </c>
      <c r="AF6" s="25" t="n">
        <f aca="false">'Cartera 60M'!AF63</f>
        <v>3</v>
      </c>
      <c r="AG6" s="25" t="n">
        <f aca="false">'Cartera 60M'!AG63</f>
        <v>3</v>
      </c>
      <c r="AH6" s="25" t="n">
        <f aca="false">'Cartera 60M'!AH63</f>
        <v>3</v>
      </c>
      <c r="AI6" s="25" t="n">
        <f aca="false">'Cartera 60M'!AI63</f>
        <v>3</v>
      </c>
      <c r="AJ6" s="25" t="n">
        <f aca="false">'Cartera 60M'!AJ63</f>
        <v>3</v>
      </c>
      <c r="AK6" s="25" t="n">
        <f aca="false">'Cartera 60M'!AK63</f>
        <v>3</v>
      </c>
      <c r="AL6" s="25" t="n">
        <f aca="false">'Cartera 60M'!AL63</f>
        <v>3</v>
      </c>
      <c r="AM6" s="25" t="n">
        <f aca="false">'Cartera 60M'!AM63</f>
        <v>4</v>
      </c>
      <c r="AN6" s="25" t="n">
        <f aca="false">'Cartera 60M'!AN63</f>
        <v>4</v>
      </c>
      <c r="AO6" s="25" t="n">
        <f aca="false">'Cartera 60M'!AO63</f>
        <v>4</v>
      </c>
      <c r="AP6" s="25" t="n">
        <f aca="false">'Cartera 60M'!AP63</f>
        <v>4</v>
      </c>
      <c r="AQ6" s="25" t="n">
        <f aca="false">'Cartera 60M'!AQ63</f>
        <v>4</v>
      </c>
      <c r="AR6" s="25" t="n">
        <f aca="false">'Cartera 60M'!AR63</f>
        <v>4</v>
      </c>
      <c r="AS6" s="25" t="n">
        <f aca="false">'Cartera 60M'!AS63</f>
        <v>4</v>
      </c>
      <c r="AT6" s="25" t="n">
        <f aca="false">'Cartera 60M'!AT63</f>
        <v>4</v>
      </c>
      <c r="AU6" s="25" t="n">
        <f aca="false">'Cartera 60M'!AU63</f>
        <v>4</v>
      </c>
      <c r="AV6" s="25" t="n">
        <f aca="false">'Cartera 60M'!AV63</f>
        <v>4</v>
      </c>
      <c r="AW6" s="25" t="n">
        <f aca="false">'Cartera 60M'!AW63</f>
        <v>4</v>
      </c>
      <c r="AX6" s="25" t="n">
        <f aca="false">'Cartera 60M'!AX63</f>
        <v>4</v>
      </c>
      <c r="AY6" s="25" t="n">
        <f aca="false">'Cartera 60M'!AY63</f>
        <v>5</v>
      </c>
      <c r="AZ6" s="25" t="n">
        <f aca="false">'Cartera 60M'!AZ63</f>
        <v>5</v>
      </c>
      <c r="BA6" s="25" t="n">
        <f aca="false">'Cartera 60M'!BA63</f>
        <v>5</v>
      </c>
      <c r="BB6" s="25" t="n">
        <f aca="false">'Cartera 60M'!BB63</f>
        <v>5</v>
      </c>
      <c r="BC6" s="25" t="n">
        <f aca="false">'Cartera 60M'!BC63</f>
        <v>5</v>
      </c>
      <c r="BD6" s="25" t="n">
        <f aca="false">'Cartera 60M'!BD63</f>
        <v>5</v>
      </c>
      <c r="BE6" s="25" t="n">
        <f aca="false">'Cartera 60M'!BE63</f>
        <v>5</v>
      </c>
      <c r="BF6" s="25" t="n">
        <f aca="false">'Cartera 60M'!BF63</f>
        <v>5</v>
      </c>
      <c r="BG6" s="25" t="n">
        <f aca="false">'Cartera 60M'!BG63</f>
        <v>5</v>
      </c>
      <c r="BH6" s="25" t="n">
        <f aca="false">'Cartera 60M'!BH63</f>
        <v>5</v>
      </c>
      <c r="BI6" s="25" t="n">
        <f aca="false">'Cartera 60M'!BI63</f>
        <v>5</v>
      </c>
      <c r="BJ6" s="25" t="n">
        <f aca="false">'Cartera 60M'!BJ63</f>
        <v>5</v>
      </c>
    </row>
    <row r="7" customFormat="false" ht="15" hidden="false" customHeight="false" outlineLevel="0" collapsed="false">
      <c r="A7" s="1"/>
      <c r="B7" s="7" t="s">
        <v>183</v>
      </c>
      <c r="C7" s="25" t="n">
        <f aca="false">'Cartera 60M'!C66</f>
        <v>2</v>
      </c>
      <c r="D7" s="25" t="n">
        <f aca="false">'Cartera 60M'!D66</f>
        <v>5</v>
      </c>
      <c r="E7" s="25" t="n">
        <f aca="false">'Cartera 60M'!E66</f>
        <v>10</v>
      </c>
      <c r="F7" s="25" t="n">
        <f aca="false">'Cartera 60M'!F66</f>
        <v>16</v>
      </c>
      <c r="G7" s="25" t="n">
        <f aca="false">'Cartera 60M'!G66</f>
        <v>23</v>
      </c>
      <c r="H7" s="25" t="n">
        <f aca="false">'Cartera 60M'!H66</f>
        <v>31</v>
      </c>
      <c r="I7" s="25" t="n">
        <f aca="false">'Cartera 60M'!I66</f>
        <v>41</v>
      </c>
      <c r="J7" s="25" t="n">
        <f aca="false">'Cartera 60M'!J66</f>
        <v>52</v>
      </c>
      <c r="K7" s="25" t="n">
        <f aca="false">'Cartera 60M'!K66</f>
        <v>64</v>
      </c>
      <c r="L7" s="25" t="n">
        <f aca="false">'Cartera 60M'!L66</f>
        <v>77</v>
      </c>
      <c r="M7" s="25" t="n">
        <f aca="false">'Cartera 60M'!M66</f>
        <v>92</v>
      </c>
      <c r="N7" s="25" t="n">
        <f aca="false">'Cartera 60M'!N66</f>
        <v>108</v>
      </c>
      <c r="O7" s="25" t="n">
        <f aca="false">'Cartera 60M'!O66</f>
        <v>123</v>
      </c>
      <c r="P7" s="25" t="n">
        <f aca="false">'Cartera 60M'!P66</f>
        <v>138</v>
      </c>
      <c r="Q7" s="25" t="n">
        <f aca="false">'Cartera 60M'!Q66</f>
        <v>153</v>
      </c>
      <c r="R7" s="25" t="n">
        <f aca="false">'Cartera 60M'!R66</f>
        <v>168</v>
      </c>
      <c r="S7" s="25" t="n">
        <f aca="false">'Cartera 60M'!S66</f>
        <v>183</v>
      </c>
      <c r="T7" s="25" t="n">
        <f aca="false">'Cartera 60M'!T66</f>
        <v>199</v>
      </c>
      <c r="U7" s="25" t="n">
        <f aca="false">'Cartera 60M'!U66</f>
        <v>214</v>
      </c>
      <c r="V7" s="25" t="n">
        <f aca="false">'Cartera 60M'!V66</f>
        <v>229</v>
      </c>
      <c r="W7" s="25" t="n">
        <f aca="false">'Cartera 60M'!W66</f>
        <v>244</v>
      </c>
      <c r="X7" s="25" t="n">
        <f aca="false">'Cartera 60M'!X66</f>
        <v>260</v>
      </c>
      <c r="Y7" s="25" t="n">
        <f aca="false">'Cartera 60M'!Y66</f>
        <v>275</v>
      </c>
      <c r="Z7" s="25" t="n">
        <f aca="false">'Cartera 60M'!Z66</f>
        <v>290</v>
      </c>
      <c r="AA7" s="25" t="n">
        <f aca="false">'Cartera 60M'!AA66</f>
        <v>305</v>
      </c>
      <c r="AB7" s="25" t="n">
        <f aca="false">'Cartera 60M'!AB66</f>
        <v>321</v>
      </c>
      <c r="AC7" s="25" t="n">
        <f aca="false">'Cartera 60M'!AC66</f>
        <v>336</v>
      </c>
      <c r="AD7" s="25" t="n">
        <f aca="false">'Cartera 60M'!AD66</f>
        <v>351</v>
      </c>
      <c r="AE7" s="25" t="n">
        <f aca="false">'Cartera 60M'!AE66</f>
        <v>367</v>
      </c>
      <c r="AF7" s="25" t="n">
        <f aca="false">'Cartera 60M'!AF66</f>
        <v>382</v>
      </c>
      <c r="AG7" s="25" t="n">
        <f aca="false">'Cartera 60M'!AG66</f>
        <v>397</v>
      </c>
      <c r="AH7" s="25" t="n">
        <f aca="false">'Cartera 60M'!AH66</f>
        <v>412</v>
      </c>
      <c r="AI7" s="25" t="n">
        <f aca="false">'Cartera 60M'!AI66</f>
        <v>428</v>
      </c>
      <c r="AJ7" s="25" t="n">
        <f aca="false">'Cartera 60M'!AJ66</f>
        <v>443</v>
      </c>
      <c r="AK7" s="25" t="n">
        <f aca="false">'Cartera 60M'!AK66</f>
        <v>458</v>
      </c>
      <c r="AL7" s="25" t="n">
        <f aca="false">'Cartera 60M'!AL66</f>
        <v>473</v>
      </c>
      <c r="AM7" s="25" t="n">
        <f aca="false">'Cartera 60M'!AM66</f>
        <v>489</v>
      </c>
      <c r="AN7" s="25" t="n">
        <f aca="false">'Cartera 60M'!AN66</f>
        <v>504</v>
      </c>
      <c r="AO7" s="25" t="n">
        <f aca="false">'Cartera 60M'!AO66</f>
        <v>519</v>
      </c>
      <c r="AP7" s="25" t="n">
        <f aca="false">'Cartera 60M'!AP66</f>
        <v>534</v>
      </c>
      <c r="AQ7" s="25" t="n">
        <f aca="false">'Cartera 60M'!AQ66</f>
        <v>549</v>
      </c>
      <c r="AR7" s="25" t="n">
        <f aca="false">'Cartera 60M'!AR66</f>
        <v>564</v>
      </c>
      <c r="AS7" s="25" t="n">
        <f aca="false">'Cartera 60M'!AS66</f>
        <v>579</v>
      </c>
      <c r="AT7" s="25" t="n">
        <f aca="false">'Cartera 60M'!AT66</f>
        <v>595</v>
      </c>
      <c r="AU7" s="25" t="n">
        <f aca="false">'Cartera 60M'!AU66</f>
        <v>610</v>
      </c>
      <c r="AV7" s="25" t="n">
        <f aca="false">'Cartera 60M'!AV66</f>
        <v>625</v>
      </c>
      <c r="AW7" s="25" t="n">
        <f aca="false">'Cartera 60M'!AW66</f>
        <v>640</v>
      </c>
      <c r="AX7" s="25" t="n">
        <f aca="false">'Cartera 60M'!AX66</f>
        <v>656</v>
      </c>
      <c r="AY7" s="25" t="n">
        <f aca="false">'Cartera 60M'!AY66</f>
        <v>670</v>
      </c>
      <c r="AZ7" s="25" t="n">
        <f aca="false">'Cartera 60M'!AZ66</f>
        <v>683</v>
      </c>
      <c r="BA7" s="25" t="n">
        <f aca="false">'Cartera 60M'!BA66</f>
        <v>695</v>
      </c>
      <c r="BB7" s="25" t="n">
        <f aca="false">'Cartera 60M'!BB66</f>
        <v>706</v>
      </c>
      <c r="BC7" s="25" t="n">
        <f aca="false">'Cartera 60M'!BC66</f>
        <v>715</v>
      </c>
      <c r="BD7" s="25" t="n">
        <f aca="false">'Cartera 60M'!BD66</f>
        <v>723</v>
      </c>
      <c r="BE7" s="25" t="n">
        <f aca="false">'Cartera 60M'!BE66</f>
        <v>730</v>
      </c>
      <c r="BF7" s="25" t="n">
        <f aca="false">'Cartera 60M'!BF66</f>
        <v>735</v>
      </c>
      <c r="BG7" s="25" t="n">
        <f aca="false">'Cartera 60M'!BG66</f>
        <v>739</v>
      </c>
      <c r="BH7" s="25" t="n">
        <f aca="false">'Cartera 60M'!BH66</f>
        <v>742</v>
      </c>
      <c r="BI7" s="25" t="n">
        <f aca="false">'Cartera 60M'!BI66</f>
        <v>744</v>
      </c>
      <c r="BJ7" s="25" t="n">
        <f aca="false">'Cartera 60M'!BJ66</f>
        <v>744</v>
      </c>
    </row>
    <row r="8" customFormat="false" ht="15" hidden="false" customHeight="false" outlineLevel="0" collapsed="false">
      <c r="A8" s="1"/>
      <c r="B8" s="7" t="s">
        <v>184</v>
      </c>
      <c r="C8" s="25" t="n">
        <f aca="false">'Cartera 60M'!C67</f>
        <v>2</v>
      </c>
      <c r="D8" s="25" t="n">
        <f aca="false">'Cartera 60M'!D67</f>
        <v>5</v>
      </c>
      <c r="E8" s="25" t="n">
        <f aca="false">'Cartera 60M'!E67</f>
        <v>10</v>
      </c>
      <c r="F8" s="25" t="n">
        <f aca="false">'Cartera 60M'!F67</f>
        <v>16</v>
      </c>
      <c r="G8" s="25" t="n">
        <f aca="false">'Cartera 60M'!G67</f>
        <v>23</v>
      </c>
      <c r="H8" s="25" t="n">
        <f aca="false">'Cartera 60M'!H67</f>
        <v>31</v>
      </c>
      <c r="I8" s="25" t="n">
        <f aca="false">'Cartera 60M'!I67</f>
        <v>41</v>
      </c>
      <c r="J8" s="25" t="n">
        <f aca="false">'Cartera 60M'!J67</f>
        <v>52</v>
      </c>
      <c r="K8" s="25" t="n">
        <f aca="false">'Cartera 60M'!K67</f>
        <v>64</v>
      </c>
      <c r="L8" s="25" t="n">
        <f aca="false">'Cartera 60M'!L67</f>
        <v>77</v>
      </c>
      <c r="M8" s="25" t="n">
        <f aca="false">'Cartera 60M'!M67</f>
        <v>92</v>
      </c>
      <c r="N8" s="25" t="n">
        <f aca="false">'Cartera 60M'!N67</f>
        <v>108</v>
      </c>
      <c r="O8" s="25" t="n">
        <f aca="false">'Cartera 60M'!O67</f>
        <v>123</v>
      </c>
      <c r="P8" s="25" t="n">
        <f aca="false">'Cartera 60M'!P67</f>
        <v>138</v>
      </c>
      <c r="Q8" s="25" t="n">
        <f aca="false">'Cartera 60M'!Q67</f>
        <v>153</v>
      </c>
      <c r="R8" s="25" t="n">
        <f aca="false">'Cartera 60M'!R67</f>
        <v>168</v>
      </c>
      <c r="S8" s="25" t="n">
        <f aca="false">'Cartera 60M'!S67</f>
        <v>183</v>
      </c>
      <c r="T8" s="25" t="n">
        <f aca="false">'Cartera 60M'!T67</f>
        <v>199</v>
      </c>
      <c r="U8" s="25" t="n">
        <f aca="false">'Cartera 60M'!U67</f>
        <v>214</v>
      </c>
      <c r="V8" s="25" t="n">
        <f aca="false">'Cartera 60M'!V67</f>
        <v>229</v>
      </c>
      <c r="W8" s="25" t="n">
        <f aca="false">'Cartera 60M'!W67</f>
        <v>244</v>
      </c>
      <c r="X8" s="25" t="n">
        <f aca="false">'Cartera 60M'!X67</f>
        <v>260</v>
      </c>
      <c r="Y8" s="25" t="n">
        <f aca="false">'Cartera 60M'!Y67</f>
        <v>275</v>
      </c>
      <c r="Z8" s="25" t="n">
        <f aca="false">'Cartera 60M'!Z67</f>
        <v>290</v>
      </c>
      <c r="AA8" s="25" t="n">
        <f aca="false">'Cartera 60M'!AA67</f>
        <v>305</v>
      </c>
      <c r="AB8" s="25" t="n">
        <f aca="false">'Cartera 60M'!AB67</f>
        <v>321</v>
      </c>
      <c r="AC8" s="25" t="n">
        <f aca="false">'Cartera 60M'!AC67</f>
        <v>336</v>
      </c>
      <c r="AD8" s="25" t="n">
        <f aca="false">'Cartera 60M'!AD67</f>
        <v>351</v>
      </c>
      <c r="AE8" s="25" t="n">
        <f aca="false">'Cartera 60M'!AE67</f>
        <v>367</v>
      </c>
      <c r="AF8" s="25" t="n">
        <f aca="false">'Cartera 60M'!AF67</f>
        <v>382</v>
      </c>
      <c r="AG8" s="25" t="n">
        <f aca="false">'Cartera 60M'!AG67</f>
        <v>397</v>
      </c>
      <c r="AH8" s="25" t="n">
        <f aca="false">'Cartera 60M'!AH67</f>
        <v>412</v>
      </c>
      <c r="AI8" s="25" t="n">
        <f aca="false">'Cartera 60M'!AI67</f>
        <v>428</v>
      </c>
      <c r="AJ8" s="25" t="n">
        <f aca="false">'Cartera 60M'!AJ67</f>
        <v>443</v>
      </c>
      <c r="AK8" s="25" t="n">
        <f aca="false">'Cartera 60M'!AK67</f>
        <v>458</v>
      </c>
      <c r="AL8" s="25" t="n">
        <f aca="false">'Cartera 60M'!AL67</f>
        <v>473</v>
      </c>
      <c r="AM8" s="25" t="n">
        <f aca="false">'Cartera 60M'!AM67</f>
        <v>489</v>
      </c>
      <c r="AN8" s="25" t="n">
        <f aca="false">'Cartera 60M'!AN67</f>
        <v>504</v>
      </c>
      <c r="AO8" s="25" t="n">
        <f aca="false">'Cartera 60M'!AO67</f>
        <v>519</v>
      </c>
      <c r="AP8" s="25" t="n">
        <f aca="false">'Cartera 60M'!AP67</f>
        <v>534</v>
      </c>
      <c r="AQ8" s="25" t="n">
        <f aca="false">'Cartera 60M'!AQ67</f>
        <v>549</v>
      </c>
      <c r="AR8" s="25" t="n">
        <f aca="false">'Cartera 60M'!AR67</f>
        <v>564</v>
      </c>
      <c r="AS8" s="25" t="n">
        <f aca="false">'Cartera 60M'!AS67</f>
        <v>579</v>
      </c>
      <c r="AT8" s="25" t="n">
        <f aca="false">'Cartera 60M'!AT67</f>
        <v>595</v>
      </c>
      <c r="AU8" s="25" t="n">
        <f aca="false">'Cartera 60M'!AU67</f>
        <v>610</v>
      </c>
      <c r="AV8" s="25" t="n">
        <f aca="false">'Cartera 60M'!AV67</f>
        <v>625</v>
      </c>
      <c r="AW8" s="25" t="n">
        <f aca="false">'Cartera 60M'!AW67</f>
        <v>640</v>
      </c>
      <c r="AX8" s="25" t="n">
        <f aca="false">'Cartera 60M'!AX67</f>
        <v>656</v>
      </c>
      <c r="AY8" s="25" t="n">
        <f aca="false">'Cartera 60M'!AY67</f>
        <v>670</v>
      </c>
      <c r="AZ8" s="25" t="n">
        <f aca="false">'Cartera 60M'!AZ67</f>
        <v>683</v>
      </c>
      <c r="BA8" s="25" t="n">
        <f aca="false">'Cartera 60M'!BA67</f>
        <v>695</v>
      </c>
      <c r="BB8" s="25" t="n">
        <f aca="false">'Cartera 60M'!BB67</f>
        <v>706</v>
      </c>
      <c r="BC8" s="25" t="n">
        <f aca="false">'Cartera 60M'!BC67</f>
        <v>715</v>
      </c>
      <c r="BD8" s="25" t="n">
        <f aca="false">'Cartera 60M'!BD67</f>
        <v>723</v>
      </c>
      <c r="BE8" s="25" t="n">
        <f aca="false">'Cartera 60M'!BE67</f>
        <v>730</v>
      </c>
      <c r="BF8" s="25" t="n">
        <f aca="false">'Cartera 60M'!BF67</f>
        <v>735</v>
      </c>
      <c r="BG8" s="25" t="n">
        <f aca="false">'Cartera 60M'!BG67</f>
        <v>739</v>
      </c>
      <c r="BH8" s="25" t="n">
        <f aca="false">'Cartera 60M'!BH67</f>
        <v>742</v>
      </c>
      <c r="BI8" s="25" t="n">
        <f aca="false">'Cartera 60M'!BI67</f>
        <v>744</v>
      </c>
      <c r="BJ8" s="25" t="n">
        <f aca="false">'Cartera 60M'!BJ67</f>
        <v>744</v>
      </c>
    </row>
    <row r="9" customFormat="false" ht="15" hidden="false" customHeight="false" outlineLevel="0" collapsed="false">
      <c r="A9" s="1"/>
      <c r="B9" s="7" t="s">
        <v>200</v>
      </c>
      <c r="C9" s="25" t="n">
        <f aca="false">'Cartera 60M'!C75</f>
        <v>2785593.87048296</v>
      </c>
      <c r="D9" s="25" t="n">
        <f aca="false">'Cartera 60M'!D75</f>
        <v>6743682.37812864</v>
      </c>
      <c r="E9" s="25" t="n">
        <f aca="false">'Cartera 60M'!E75</f>
        <v>13150852.995942</v>
      </c>
      <c r="F9" s="25" t="n">
        <f aca="false">'Cartera 60M'!F75</f>
        <v>20384752.417194</v>
      </c>
      <c r="G9" s="25" t="n">
        <f aca="false">'Cartera 60M'!G75</f>
        <v>28319662.6192209</v>
      </c>
      <c r="H9" s="25" t="n">
        <f aca="false">'Cartera 60M'!H75</f>
        <v>36826408.3337353</v>
      </c>
      <c r="I9" s="25" t="n">
        <f aca="false">'Cartera 60M'!I75</f>
        <v>47165058.9078137</v>
      </c>
      <c r="J9" s="25" t="n">
        <f aca="false">'Cartera 60M'!J75</f>
        <v>57696288.6603355</v>
      </c>
      <c r="K9" s="25" t="n">
        <f aca="false">'Cartera 60M'!K75</f>
        <v>68276940.4539494</v>
      </c>
      <c r="L9" s="25" t="n">
        <f aca="false">'Cartera 60M'!L75</f>
        <v>78759920.3300269</v>
      </c>
      <c r="M9" s="25" t="n">
        <f aca="false">'Cartera 60M'!M75</f>
        <v>90386886.1813188</v>
      </c>
      <c r="N9" s="25" t="n">
        <f aca="false">'Cartera 60M'!N75</f>
        <v>101499594.557385</v>
      </c>
      <c r="O9" s="25" t="n">
        <f aca="false">'Cartera 60M'!O75</f>
        <v>112232356.442415</v>
      </c>
      <c r="P9" s="25" t="n">
        <f aca="false">'Cartera 60M'!P75</f>
        <v>122574723.307905</v>
      </c>
      <c r="Q9" s="25" t="n">
        <f aca="false">'Cartera 60M'!Q75</f>
        <v>134057209.290819</v>
      </c>
      <c r="R9" s="25" t="n">
        <f aca="false">'Cartera 60M'!R75</f>
        <v>145169917.666885</v>
      </c>
      <c r="S9" s="25" t="n">
        <f aca="false">'Cartera 60M'!S75</f>
        <v>155902679.551915</v>
      </c>
      <c r="T9" s="25" t="n">
        <f aca="false">'Cartera 60M'!T75</f>
        <v>167637843.352647</v>
      </c>
      <c r="U9" s="25" t="n">
        <f aca="false">'Cartera 60M'!U75</f>
        <v>179010178.186522</v>
      </c>
      <c r="V9" s="25" t="n">
        <f aca="false">'Cartera 60M'!V75</f>
        <v>190009706.25695</v>
      </c>
      <c r="W9" s="25" t="n">
        <f aca="false">'Cartera 60M'!W75</f>
        <v>200626175.377937</v>
      </c>
      <c r="X9" s="25" t="n">
        <f aca="false">'Cartera 60M'!X75</f>
        <v>212241848.363615</v>
      </c>
      <c r="Y9" s="25" t="n">
        <f aca="false">'Cartera 60M'!Y75</f>
        <v>223491406.385021</v>
      </c>
      <c r="Z9" s="25" t="n">
        <f aca="false">'Cartera 60M'!Z75</f>
        <v>234364781.280638</v>
      </c>
      <c r="AA9" s="25" t="n">
        <f aca="false">'Cartera 60M'!AA75</f>
        <v>244851628.014507</v>
      </c>
      <c r="AB9" s="25" t="n">
        <f aca="false">'Cartera 60M'!AB75</f>
        <v>256334113.997421</v>
      </c>
      <c r="AC9" s="25" t="n">
        <f aca="false">'Cartera 60M'!AC75</f>
        <v>267446822.373487</v>
      </c>
      <c r="AD9" s="25" t="n">
        <f aca="false">'Cartera 60M'!AD75</f>
        <v>278179584.258517</v>
      </c>
      <c r="AE9" s="25" t="n">
        <f aca="false">'Cartera 60M'!AE75</f>
        <v>289914748.059249</v>
      </c>
      <c r="AF9" s="25" t="n">
        <f aca="false">'Cartera 60M'!AF75</f>
        <v>301287082.893124</v>
      </c>
      <c r="AG9" s="25" t="n">
        <f aca="false">'Cartera 60M'!AG75</f>
        <v>312286610.963552</v>
      </c>
      <c r="AH9" s="25" t="n">
        <f aca="false">'Cartera 60M'!AH75</f>
        <v>322903080.084539</v>
      </c>
      <c r="AI9" s="25" t="n">
        <f aca="false">'Cartera 60M'!AI75</f>
        <v>334518753.070217</v>
      </c>
      <c r="AJ9" s="25" t="n">
        <f aca="false">'Cartera 60M'!AJ75</f>
        <v>345768311.091623</v>
      </c>
      <c r="AK9" s="25" t="n">
        <f aca="false">'Cartera 60M'!AK75</f>
        <v>356641685.987241</v>
      </c>
      <c r="AL9" s="25" t="n">
        <f aca="false">'Cartera 60M'!AL75</f>
        <v>367128532.72111</v>
      </c>
      <c r="AM9" s="25" t="n">
        <f aca="false">'Cartera 60M'!AM75</f>
        <v>378611018.704023</v>
      </c>
      <c r="AN9" s="25" t="n">
        <f aca="false">'Cartera 60M'!AN75</f>
        <v>389723727.08009</v>
      </c>
      <c r="AO9" s="25" t="n">
        <f aca="false">'Cartera 60M'!AO75</f>
        <v>400456488.96512</v>
      </c>
      <c r="AP9" s="25" t="n">
        <f aca="false">'Cartera 60M'!AP75</f>
        <v>410798855.830611</v>
      </c>
      <c r="AQ9" s="25" t="n">
        <f aca="false">'Cartera 60M'!AQ75</f>
        <v>422281341.813525</v>
      </c>
      <c r="AR9" s="25" t="n">
        <f aca="false">'Cartera 60M'!AR75</f>
        <v>433394050.189591</v>
      </c>
      <c r="AS9" s="25" t="n">
        <f aca="false">'Cartera 60M'!AS75</f>
        <v>444126812.074621</v>
      </c>
      <c r="AT9" s="25" t="n">
        <f aca="false">'Cartera 60M'!AT75</f>
        <v>455861975.875354</v>
      </c>
      <c r="AU9" s="25" t="n">
        <f aca="false">'Cartera 60M'!AU75</f>
        <v>467234310.709228</v>
      </c>
      <c r="AV9" s="25" t="n">
        <f aca="false">'Cartera 60M'!AV75</f>
        <v>478233838.779657</v>
      </c>
      <c r="AW9" s="25" t="n">
        <f aca="false">'Cartera 60M'!AW75</f>
        <v>488850307.900644</v>
      </c>
      <c r="AX9" s="25" t="n">
        <f aca="false">'Cartera 60M'!AX75</f>
        <v>500465980.886322</v>
      </c>
      <c r="AY9" s="25" t="n">
        <f aca="false">'Cartera 60M'!AY75</f>
        <v>510322741.972487</v>
      </c>
      <c r="AZ9" s="25" t="n">
        <f aca="false">'Cartera 60M'!AZ75</f>
        <v>518520674.146661</v>
      </c>
      <c r="BA9" s="25" t="n">
        <f aca="false">'Cartera 60M'!BA75</f>
        <v>525162612.678523</v>
      </c>
      <c r="BB9" s="25" t="n">
        <f aca="false">'Cartera 60M'!BB75</f>
        <v>530354220.807666</v>
      </c>
      <c r="BC9" s="25" t="n">
        <f aca="false">'Cartera 60M'!BC75</f>
        <v>534352520.577535</v>
      </c>
      <c r="BD9" s="25" t="n">
        <f aca="false">'Cartera 60M'!BD75</f>
        <v>537273149.073007</v>
      </c>
      <c r="BE9" s="25" t="n">
        <f aca="false">'Cartera 60M'!BE75</f>
        <v>539234923.398795</v>
      </c>
      <c r="BF9" s="25" t="n">
        <f aca="false">'Cartera 60M'!BF75</f>
        <v>540508381.194749</v>
      </c>
      <c r="BG9" s="25" t="n">
        <f aca="false">'Cartera 60M'!BG75</f>
        <v>541223046.821058</v>
      </c>
      <c r="BH9" s="25" t="n">
        <f aca="false">'Cartera 60M'!BH75</f>
        <v>541512006.557814</v>
      </c>
      <c r="BI9" s="25" t="n">
        <f aca="false">'Cartera 60M'!BI75</f>
        <v>541512006.557815</v>
      </c>
      <c r="BJ9" s="25" t="n">
        <f aca="false">'Cartera 60M'!BJ75</f>
        <v>541512006.557816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customFormat="false" ht="15" hidden="false" customHeight="false" outlineLevel="0" collapsed="false">
      <c r="A11" s="1"/>
      <c r="B11" s="6" t="s">
        <v>201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</row>
    <row r="12" customFormat="false" ht="15" hidden="false" customHeight="false" outlineLevel="0" collapsed="false">
      <c r="A12" s="1"/>
      <c r="B12" s="7" t="s">
        <v>202</v>
      </c>
      <c r="C12" s="19" t="n">
        <f aca="false">'Cartera 60M'!C70*Supuestos!$C$17</f>
        <v>90000</v>
      </c>
      <c r="D12" s="19" t="n">
        <f aca="false">'Cartera 60M'!D70*Supuestos!$C$17</f>
        <v>135000</v>
      </c>
      <c r="E12" s="19" t="n">
        <f aca="false">'Cartera 60M'!E70*Supuestos!$C$17</f>
        <v>225000</v>
      </c>
      <c r="F12" s="19" t="n">
        <f aca="false">'Cartera 60M'!F70*Supuestos!$C$17</f>
        <v>270000</v>
      </c>
      <c r="G12" s="19" t="n">
        <f aca="false">'Cartera 60M'!G70*Supuestos!$C$17</f>
        <v>315000</v>
      </c>
      <c r="H12" s="19" t="n">
        <f aca="false">'Cartera 60M'!H70*Supuestos!$C$17</f>
        <v>360000</v>
      </c>
      <c r="I12" s="19" t="n">
        <f aca="false">'Cartera 60M'!I70*Supuestos!$C$17</f>
        <v>450000</v>
      </c>
      <c r="J12" s="19" t="n">
        <f aca="false">'Cartera 60M'!J70*Supuestos!$C$17</f>
        <v>495000</v>
      </c>
      <c r="K12" s="19" t="n">
        <f aca="false">'Cartera 60M'!K70*Supuestos!$C$17</f>
        <v>540000</v>
      </c>
      <c r="L12" s="19" t="n">
        <f aca="false">'Cartera 60M'!L70*Supuestos!$C$17</f>
        <v>585000</v>
      </c>
      <c r="M12" s="19" t="n">
        <f aca="false">'Cartera 60M'!M70*Supuestos!$C$17</f>
        <v>675000</v>
      </c>
      <c r="N12" s="19" t="n">
        <f aca="false">'Cartera 60M'!N70*Supuestos!$C$17</f>
        <v>720000</v>
      </c>
      <c r="O12" s="19" t="n">
        <f aca="false">'Cartera 60M'!O70*Supuestos!$C$17</f>
        <v>765000</v>
      </c>
      <c r="P12" s="19" t="n">
        <f aca="false">'Cartera 60M'!P70*Supuestos!$C$17</f>
        <v>810000</v>
      </c>
      <c r="Q12" s="19" t="n">
        <f aca="false">'Cartera 60M'!Q70*Supuestos!$C$17</f>
        <v>900000</v>
      </c>
      <c r="R12" s="19" t="n">
        <f aca="false">'Cartera 60M'!R70*Supuestos!$C$17</f>
        <v>945000</v>
      </c>
      <c r="S12" s="19" t="n">
        <f aca="false">'Cartera 60M'!S70*Supuestos!$C$17</f>
        <v>990000</v>
      </c>
      <c r="T12" s="19" t="n">
        <f aca="false">'Cartera 60M'!T70*Supuestos!$C$17</f>
        <v>1080000</v>
      </c>
      <c r="U12" s="19" t="n">
        <f aca="false">'Cartera 60M'!U70*Supuestos!$C$17</f>
        <v>1125000</v>
      </c>
      <c r="V12" s="19" t="n">
        <f aca="false">'Cartera 60M'!V70*Supuestos!$C$17</f>
        <v>1170000</v>
      </c>
      <c r="W12" s="19" t="n">
        <f aca="false">'Cartera 60M'!W70*Supuestos!$C$17</f>
        <v>1215000</v>
      </c>
      <c r="X12" s="19" t="n">
        <f aca="false">'Cartera 60M'!X70*Supuestos!$C$17</f>
        <v>1305000</v>
      </c>
      <c r="Y12" s="19" t="n">
        <f aca="false">'Cartera 60M'!Y70*Supuestos!$C$17</f>
        <v>1350000</v>
      </c>
      <c r="Z12" s="19" t="n">
        <f aca="false">'Cartera 60M'!Z70*Supuestos!$C$17</f>
        <v>1395000</v>
      </c>
      <c r="AA12" s="19" t="n">
        <f aca="false">'Cartera 60M'!AA70*Supuestos!$C$17</f>
        <v>1440000</v>
      </c>
      <c r="AB12" s="19" t="n">
        <f aca="false">'Cartera 60M'!AB70*Supuestos!$C$17</f>
        <v>1530000</v>
      </c>
      <c r="AC12" s="19" t="n">
        <f aca="false">'Cartera 60M'!AC70*Supuestos!$C$17</f>
        <v>1575000</v>
      </c>
      <c r="AD12" s="19" t="n">
        <f aca="false">'Cartera 60M'!AD70*Supuestos!$C$17</f>
        <v>1620000</v>
      </c>
      <c r="AE12" s="19" t="n">
        <f aca="false">'Cartera 60M'!AE70*Supuestos!$C$17</f>
        <v>1710000</v>
      </c>
      <c r="AF12" s="19" t="n">
        <f aca="false">'Cartera 60M'!AF70*Supuestos!$C$17</f>
        <v>1755000</v>
      </c>
      <c r="AG12" s="19" t="n">
        <f aca="false">'Cartera 60M'!AG70*Supuestos!$C$17</f>
        <v>1800000</v>
      </c>
      <c r="AH12" s="19" t="n">
        <f aca="false">'Cartera 60M'!AH70*Supuestos!$C$17</f>
        <v>1845000</v>
      </c>
      <c r="AI12" s="19" t="n">
        <f aca="false">'Cartera 60M'!AI70*Supuestos!$C$17</f>
        <v>1935000</v>
      </c>
      <c r="AJ12" s="19" t="n">
        <f aca="false">'Cartera 60M'!AJ70*Supuestos!$C$17</f>
        <v>1980000</v>
      </c>
      <c r="AK12" s="19" t="n">
        <f aca="false">'Cartera 60M'!AK70*Supuestos!$C$17</f>
        <v>2025000</v>
      </c>
      <c r="AL12" s="19" t="n">
        <f aca="false">'Cartera 60M'!AL70*Supuestos!$C$17</f>
        <v>2070000</v>
      </c>
      <c r="AM12" s="19" t="n">
        <f aca="false">'Cartera 60M'!AM70*Supuestos!$C$17</f>
        <v>2160000</v>
      </c>
      <c r="AN12" s="19" t="n">
        <f aca="false">'Cartera 60M'!AN70*Supuestos!$C$17</f>
        <v>2205000</v>
      </c>
      <c r="AO12" s="19" t="n">
        <f aca="false">'Cartera 60M'!AO70*Supuestos!$C$17</f>
        <v>2250000</v>
      </c>
      <c r="AP12" s="19" t="n">
        <f aca="false">'Cartera 60M'!AP70*Supuestos!$C$17</f>
        <v>2295000</v>
      </c>
      <c r="AQ12" s="19" t="n">
        <f aca="false">'Cartera 60M'!AQ70*Supuestos!$C$17</f>
        <v>2385000</v>
      </c>
      <c r="AR12" s="19" t="n">
        <f aca="false">'Cartera 60M'!AR70*Supuestos!$C$17</f>
        <v>2430000</v>
      </c>
      <c r="AS12" s="19" t="n">
        <f aca="false">'Cartera 60M'!AS70*Supuestos!$C$17</f>
        <v>2475000</v>
      </c>
      <c r="AT12" s="19" t="n">
        <f aca="false">'Cartera 60M'!AT70*Supuestos!$C$17</f>
        <v>2565000</v>
      </c>
      <c r="AU12" s="19" t="n">
        <f aca="false">'Cartera 60M'!AU70*Supuestos!$C$17</f>
        <v>2610000</v>
      </c>
      <c r="AV12" s="19" t="n">
        <f aca="false">'Cartera 60M'!AV70*Supuestos!$C$17</f>
        <v>2655000</v>
      </c>
      <c r="AW12" s="19" t="n">
        <f aca="false">'Cartera 60M'!AW70*Supuestos!$C$17</f>
        <v>2700000</v>
      </c>
      <c r="AX12" s="19" t="n">
        <f aca="false">'Cartera 60M'!AX70*Supuestos!$C$17</f>
        <v>2790000</v>
      </c>
      <c r="AY12" s="19" t="n">
        <f aca="false">'Cartera 60M'!AY70*Supuestos!$C$17</f>
        <v>2790000</v>
      </c>
      <c r="AZ12" s="19" t="n">
        <f aca="false">'Cartera 60M'!AZ70*Supuestos!$C$17</f>
        <v>2790000</v>
      </c>
      <c r="BA12" s="19" t="n">
        <f aca="false">'Cartera 60M'!BA70*Supuestos!$C$17</f>
        <v>2790000</v>
      </c>
      <c r="BB12" s="19" t="n">
        <f aca="false">'Cartera 60M'!BB70*Supuestos!$C$17</f>
        <v>2790000</v>
      </c>
      <c r="BC12" s="19" t="n">
        <f aca="false">'Cartera 60M'!BC70*Supuestos!$C$17</f>
        <v>2790000</v>
      </c>
      <c r="BD12" s="19" t="n">
        <f aca="false">'Cartera 60M'!BD70*Supuestos!$C$17</f>
        <v>2790000</v>
      </c>
      <c r="BE12" s="19" t="n">
        <f aca="false">'Cartera 60M'!BE70*Supuestos!$C$17</f>
        <v>2790000</v>
      </c>
      <c r="BF12" s="19" t="n">
        <f aca="false">'Cartera 60M'!BF70*Supuestos!$C$17</f>
        <v>2790000</v>
      </c>
      <c r="BG12" s="19" t="n">
        <f aca="false">'Cartera 60M'!BG70*Supuestos!$C$17</f>
        <v>2790000</v>
      </c>
      <c r="BH12" s="19" t="n">
        <f aca="false">'Cartera 60M'!BH70*Supuestos!$C$17</f>
        <v>2790000</v>
      </c>
      <c r="BI12" s="19" t="n">
        <f aca="false">'Cartera 60M'!BI70*Supuestos!$C$17</f>
        <v>2790000</v>
      </c>
      <c r="BJ12" s="19" t="n">
        <f aca="false">'Cartera 60M'!BJ70*Supuestos!$C$17</f>
        <v>2790000</v>
      </c>
    </row>
    <row r="13" customFormat="false" ht="15" hidden="false" customHeight="false" outlineLevel="0" collapsed="false">
      <c r="A13" s="1"/>
      <c r="B13" s="7" t="s">
        <v>203</v>
      </c>
      <c r="C13" s="25" t="n">
        <f aca="false">'Cartera 60M'!C72</f>
        <v>82500</v>
      </c>
      <c r="D13" s="25" t="n">
        <f aca="false">'Cartera 60M'!D72</f>
        <v>200353.831438281</v>
      </c>
      <c r="E13" s="25" t="n">
        <f aca="false">'Cartera 60M'!E72</f>
        <v>391701.265398538</v>
      </c>
      <c r="F13" s="25" t="n">
        <f aca="false">'Cartera 60M'!F72</f>
        <v>609148.457388404</v>
      </c>
      <c r="G13" s="25" t="n">
        <f aca="false">'Cartera 60M'!G72</f>
        <v>849330.691472836</v>
      </c>
      <c r="H13" s="25" t="n">
        <f aca="false">'Cartera 60M'!H72</f>
        <v>1108790.72202858</v>
      </c>
      <c r="I13" s="25" t="n">
        <f aca="false">'Cartera 60M'!I72</f>
        <v>1425226.22917772</v>
      </c>
      <c r="J13" s="25" t="n">
        <f aca="false">'Cartera 60M'!J72</f>
        <v>1750789.11996488</v>
      </c>
      <c r="K13" s="25" t="n">
        <f aca="false">'Cartera 60M'!K72</f>
        <v>2081647.93815923</v>
      </c>
      <c r="L13" s="25" t="n">
        <f aca="false">'Cartera 60M'!L72</f>
        <v>2413865.86248361</v>
      </c>
      <c r="M13" s="25" t="n">
        <f aca="false">'Cartera 60M'!M72</f>
        <v>2784647.80907574</v>
      </c>
      <c r="N13" s="25" t="n">
        <f aca="false">'Cartera 60M'!N72</f>
        <v>3145639.36998627</v>
      </c>
      <c r="O13" s="25" t="n">
        <f aca="false">'Cartera 60M'!O72</f>
        <v>3492488.85032808</v>
      </c>
      <c r="P13" s="25" t="n">
        <f aca="false">'Cartera 60M'!P72</f>
        <v>3828889.80216641</v>
      </c>
      <c r="Q13" s="25" t="n">
        <f aca="false">'Cartera 60M'!Q72</f>
        <v>4195804.8909674</v>
      </c>
      <c r="R13" s="25" t="n">
        <f aca="false">'Cartera 60M'!R72</f>
        <v>4552823.25549753</v>
      </c>
      <c r="S13" s="25" t="n">
        <f aca="false">'Cartera 60M'!S72</f>
        <v>4899672.73583934</v>
      </c>
      <c r="T13" s="25" t="n">
        <f aca="false">'Cartera 60M'!T72</f>
        <v>5277323.68767767</v>
      </c>
      <c r="U13" s="25" t="n">
        <f aca="false">'Cartera 60M'!U72</f>
        <v>5641290.6921978</v>
      </c>
      <c r="V13" s="25" t="n">
        <f aca="false">'Cartera 60M'!V72</f>
        <v>5995279.90012935</v>
      </c>
      <c r="W13" s="25" t="n">
        <f aca="false">'Cartera 60M'!W72</f>
        <v>6339016.92206612</v>
      </c>
      <c r="X13" s="25" t="n">
        <f aca="false">'Cartera 60M'!X72</f>
        <v>6713469.82289327</v>
      </c>
      <c r="Y13" s="25" t="n">
        <f aca="false">'Cartera 60M'!Y72</f>
        <v>7074150.82999941</v>
      </c>
      <c r="Z13" s="25" t="n">
        <f aca="false">'Cartera 60M'!Z72</f>
        <v>7424763.67558808</v>
      </c>
      <c r="AA13" s="25" t="n">
        <f aca="false">'Cartera 60M'!AA72</f>
        <v>7765031.48521755</v>
      </c>
      <c r="AB13" s="25" t="n">
        <f aca="false">'Cartera 60M'!AB72</f>
        <v>8135919.77039894</v>
      </c>
      <c r="AC13" s="25" t="n">
        <f aca="false">'Cartera 60M'!AC72</f>
        <v>8492938.13492907</v>
      </c>
      <c r="AD13" s="25" t="n">
        <f aca="false">'Cartera 60M'!AD72</f>
        <v>8839787.61527089</v>
      </c>
      <c r="AE13" s="25" t="n">
        <f aca="false">'Cartera 60M'!AE72</f>
        <v>9217438.56710922</v>
      </c>
      <c r="AF13" s="25" t="n">
        <f aca="false">'Cartera 60M'!AF72</f>
        <v>9581405.57162935</v>
      </c>
      <c r="AG13" s="25" t="n">
        <f aca="false">'Cartera 60M'!AG72</f>
        <v>9935394.7795609</v>
      </c>
      <c r="AH13" s="25" t="n">
        <f aca="false">'Cartera 60M'!AH72</f>
        <v>10279131.8014977</v>
      </c>
      <c r="AI13" s="25" t="n">
        <f aca="false">'Cartera 60M'!AI72</f>
        <v>10653584.7023248</v>
      </c>
      <c r="AJ13" s="25" t="n">
        <f aca="false">'Cartera 60M'!AJ72</f>
        <v>11014265.709431</v>
      </c>
      <c r="AK13" s="25" t="n">
        <f aca="false">'Cartera 60M'!AK72</f>
        <v>11364878.5550196</v>
      </c>
      <c r="AL13" s="25" t="n">
        <f aca="false">'Cartera 60M'!AL72</f>
        <v>11705146.3646491</v>
      </c>
      <c r="AM13" s="25" t="n">
        <f aca="false">'Cartera 60M'!AM72</f>
        <v>12076034.6498305</v>
      </c>
      <c r="AN13" s="25" t="n">
        <f aca="false">'Cartera 60M'!AN72</f>
        <v>12433053.0143606</v>
      </c>
      <c r="AO13" s="25" t="n">
        <f aca="false">'Cartera 60M'!AO72</f>
        <v>12779902.4947025</v>
      </c>
      <c r="AP13" s="25" t="n">
        <f aca="false">'Cartera 60M'!AP72</f>
        <v>13116303.4465408</v>
      </c>
      <c r="AQ13" s="25" t="n">
        <f aca="false">'Cartera 60M'!AQ72</f>
        <v>13483218.5353418</v>
      </c>
      <c r="AR13" s="25" t="n">
        <f aca="false">'Cartera 60M'!AR72</f>
        <v>13840236.8998719</v>
      </c>
      <c r="AS13" s="25" t="n">
        <f aca="false">'Cartera 60M'!AS72</f>
        <v>14187086.3802138</v>
      </c>
      <c r="AT13" s="25" t="n">
        <f aca="false">'Cartera 60M'!AT72</f>
        <v>14564737.3320521</v>
      </c>
      <c r="AU13" s="25" t="n">
        <f aca="false">'Cartera 60M'!AU72</f>
        <v>14928704.3365722</v>
      </c>
      <c r="AV13" s="25" t="n">
        <f aca="false">'Cartera 60M'!AV72</f>
        <v>15282693.5445038</v>
      </c>
      <c r="AW13" s="25" t="n">
        <f aca="false">'Cartera 60M'!AW72</f>
        <v>15626430.5664406</v>
      </c>
      <c r="AX13" s="25" t="n">
        <f aca="false">'Cartera 60M'!AX72</f>
        <v>16000883.4672677</v>
      </c>
      <c r="AY13" s="25" t="n">
        <f aca="false">'Cartera 60M'!AY72</f>
        <v>16320314.4743739</v>
      </c>
      <c r="AZ13" s="25" t="n">
        <f aca="false">'Cartera 60M'!AZ72</f>
        <v>16591375.4042434</v>
      </c>
      <c r="BA13" s="25" t="n">
        <f aca="false">'Cartera 60M'!BA72</f>
        <v>16816818.5390332</v>
      </c>
      <c r="BB13" s="25" t="n">
        <f aca="false">'Cartera 60M'!BB72</f>
        <v>16999471.8486594</v>
      </c>
      <c r="BC13" s="25" t="n">
        <f aca="false">'Cartera 60M'!BC72</f>
        <v>17142241.0722108</v>
      </c>
      <c r="BD13" s="25" t="n">
        <f aca="false">'Cartera 60M'!BD72</f>
        <v>17252194.3158822</v>
      </c>
      <c r="BE13" s="25" t="n">
        <f aca="false">'Cartera 60M'!BE72</f>
        <v>17332511.5995077</v>
      </c>
      <c r="BF13" s="25" t="n">
        <f aca="false">'Cartera 60M'!BF72</f>
        <v>17386460.3934669</v>
      </c>
      <c r="BG13" s="25" t="n">
        <f aca="false">'Cartera 60M'!BG72</f>
        <v>17421480.4828556</v>
      </c>
      <c r="BH13" s="25" t="n">
        <f aca="false">'Cartera 60M'!BH72</f>
        <v>17441133.7875791</v>
      </c>
      <c r="BI13" s="25" t="n">
        <f aca="false">'Cartera 60M'!BI72</f>
        <v>17449080.1803399</v>
      </c>
      <c r="BJ13" s="25" t="n">
        <f aca="false">'Cartera 60M'!BJ72</f>
        <v>17449080.1803399</v>
      </c>
    </row>
    <row r="14" customFormat="false" ht="15" hidden="false" customHeight="false" outlineLevel="0" collapsed="false">
      <c r="A14" s="1"/>
      <c r="B14" s="7" t="s">
        <v>204</v>
      </c>
      <c r="C14" s="19" t="n">
        <f aca="false">'Cartera 60M'!C76*Supuestos!$C$20*(1-Supuestos!$C$33)</f>
        <v>6000</v>
      </c>
      <c r="D14" s="19" t="n">
        <f aca="false">'Cartera 60M'!D76*Supuestos!$C$20*(1-Supuestos!$C$33)</f>
        <v>15000</v>
      </c>
      <c r="E14" s="19" t="n">
        <f aca="false">'Cartera 60M'!E76*Supuestos!$C$20*(1-Supuestos!$C$33)</f>
        <v>30000</v>
      </c>
      <c r="F14" s="19" t="n">
        <f aca="false">'Cartera 60M'!F76*Supuestos!$C$20*(1-Supuestos!$C$33)</f>
        <v>48000</v>
      </c>
      <c r="G14" s="19" t="n">
        <f aca="false">'Cartera 60M'!G76*Supuestos!$C$20*(1-Supuestos!$C$33)</f>
        <v>69000</v>
      </c>
      <c r="H14" s="19" t="n">
        <f aca="false">'Cartera 60M'!H76*Supuestos!$C$20*(1-Supuestos!$C$33)</f>
        <v>93000</v>
      </c>
      <c r="I14" s="19" t="n">
        <f aca="false">'Cartera 60M'!I76*Supuestos!$C$20*(1-Supuestos!$C$33)</f>
        <v>123000</v>
      </c>
      <c r="J14" s="19" t="n">
        <f aca="false">'Cartera 60M'!J76*Supuestos!$C$20*(1-Supuestos!$C$33)</f>
        <v>156000</v>
      </c>
      <c r="K14" s="19" t="n">
        <f aca="false">'Cartera 60M'!K76*Supuestos!$C$20*(1-Supuestos!$C$33)</f>
        <v>192000</v>
      </c>
      <c r="L14" s="19" t="n">
        <f aca="false">'Cartera 60M'!L76*Supuestos!$C$20*(1-Supuestos!$C$33)</f>
        <v>231000</v>
      </c>
      <c r="M14" s="19" t="n">
        <f aca="false">'Cartera 60M'!M76*Supuestos!$C$20*(1-Supuestos!$C$33)</f>
        <v>276000</v>
      </c>
      <c r="N14" s="19" t="n">
        <f aca="false">'Cartera 60M'!N76*Supuestos!$C$20*(1-Supuestos!$C$33)</f>
        <v>324000</v>
      </c>
      <c r="O14" s="19" t="n">
        <f aca="false">'Cartera 60M'!O76*Supuestos!$C$20*(1-Supuestos!$C$33)</f>
        <v>369000</v>
      </c>
      <c r="P14" s="19" t="n">
        <f aca="false">'Cartera 60M'!P76*Supuestos!$C$20*(1-Supuestos!$C$33)</f>
        <v>414000</v>
      </c>
      <c r="Q14" s="19" t="n">
        <f aca="false">'Cartera 60M'!Q76*Supuestos!$C$20*(1-Supuestos!$C$33)</f>
        <v>459000</v>
      </c>
      <c r="R14" s="19" t="n">
        <f aca="false">'Cartera 60M'!R76*Supuestos!$C$20*(1-Supuestos!$C$33)</f>
        <v>504000</v>
      </c>
      <c r="S14" s="19" t="n">
        <f aca="false">'Cartera 60M'!S76*Supuestos!$C$20*(1-Supuestos!$C$33)</f>
        <v>549000</v>
      </c>
      <c r="T14" s="19" t="n">
        <f aca="false">'Cartera 60M'!T76*Supuestos!$C$20*(1-Supuestos!$C$33)</f>
        <v>597000</v>
      </c>
      <c r="U14" s="19" t="n">
        <f aca="false">'Cartera 60M'!U76*Supuestos!$C$20*(1-Supuestos!$C$33)</f>
        <v>642000</v>
      </c>
      <c r="V14" s="19" t="n">
        <f aca="false">'Cartera 60M'!V76*Supuestos!$C$20*(1-Supuestos!$C$33)</f>
        <v>687000</v>
      </c>
      <c r="W14" s="19" t="n">
        <f aca="false">'Cartera 60M'!W76*Supuestos!$C$20*(1-Supuestos!$C$33)</f>
        <v>732000</v>
      </c>
      <c r="X14" s="19" t="n">
        <f aca="false">'Cartera 60M'!X76*Supuestos!$C$20*(1-Supuestos!$C$33)</f>
        <v>780000</v>
      </c>
      <c r="Y14" s="19" t="n">
        <f aca="false">'Cartera 60M'!Y76*Supuestos!$C$20*(1-Supuestos!$C$33)</f>
        <v>825000</v>
      </c>
      <c r="Z14" s="19" t="n">
        <f aca="false">'Cartera 60M'!Z76*Supuestos!$C$20*(1-Supuestos!$C$33)</f>
        <v>870000</v>
      </c>
      <c r="AA14" s="19" t="n">
        <f aca="false">'Cartera 60M'!AA76*Supuestos!$C$20*(1-Supuestos!$C$33)</f>
        <v>915000</v>
      </c>
      <c r="AB14" s="19" t="n">
        <f aca="false">'Cartera 60M'!AB76*Supuestos!$C$20*(1-Supuestos!$C$33)</f>
        <v>963000</v>
      </c>
      <c r="AC14" s="19" t="n">
        <f aca="false">'Cartera 60M'!AC76*Supuestos!$C$20*(1-Supuestos!$C$33)</f>
        <v>1008000</v>
      </c>
      <c r="AD14" s="19" t="n">
        <f aca="false">'Cartera 60M'!AD76*Supuestos!$C$20*(1-Supuestos!$C$33)</f>
        <v>1053000</v>
      </c>
      <c r="AE14" s="19" t="n">
        <f aca="false">'Cartera 60M'!AE76*Supuestos!$C$20*(1-Supuestos!$C$33)</f>
        <v>1101000</v>
      </c>
      <c r="AF14" s="19" t="n">
        <f aca="false">'Cartera 60M'!AF76*Supuestos!$C$20*(1-Supuestos!$C$33)</f>
        <v>1146000</v>
      </c>
      <c r="AG14" s="19" t="n">
        <f aca="false">'Cartera 60M'!AG76*Supuestos!$C$20*(1-Supuestos!$C$33)</f>
        <v>1191000</v>
      </c>
      <c r="AH14" s="19" t="n">
        <f aca="false">'Cartera 60M'!AH76*Supuestos!$C$20*(1-Supuestos!$C$33)</f>
        <v>1236000</v>
      </c>
      <c r="AI14" s="19" t="n">
        <f aca="false">'Cartera 60M'!AI76*Supuestos!$C$20*(1-Supuestos!$C$33)</f>
        <v>1284000</v>
      </c>
      <c r="AJ14" s="19" t="n">
        <f aca="false">'Cartera 60M'!AJ76*Supuestos!$C$20*(1-Supuestos!$C$33)</f>
        <v>1329000</v>
      </c>
      <c r="AK14" s="19" t="n">
        <f aca="false">'Cartera 60M'!AK76*Supuestos!$C$20*(1-Supuestos!$C$33)</f>
        <v>1374000</v>
      </c>
      <c r="AL14" s="19" t="n">
        <f aca="false">'Cartera 60M'!AL76*Supuestos!$C$20*(1-Supuestos!$C$33)</f>
        <v>1419000</v>
      </c>
      <c r="AM14" s="19" t="n">
        <f aca="false">'Cartera 60M'!AM76*Supuestos!$C$20*(1-Supuestos!$C$33)</f>
        <v>1467000</v>
      </c>
      <c r="AN14" s="19" t="n">
        <f aca="false">'Cartera 60M'!AN76*Supuestos!$C$20*(1-Supuestos!$C$33)</f>
        <v>1512000</v>
      </c>
      <c r="AO14" s="19" t="n">
        <f aca="false">'Cartera 60M'!AO76*Supuestos!$C$20*(1-Supuestos!$C$33)</f>
        <v>1557000</v>
      </c>
      <c r="AP14" s="19" t="n">
        <f aca="false">'Cartera 60M'!AP76*Supuestos!$C$20*(1-Supuestos!$C$33)</f>
        <v>1602000</v>
      </c>
      <c r="AQ14" s="19" t="n">
        <f aca="false">'Cartera 60M'!AQ76*Supuestos!$C$20*(1-Supuestos!$C$33)</f>
        <v>1647000</v>
      </c>
      <c r="AR14" s="19" t="n">
        <f aca="false">'Cartera 60M'!AR76*Supuestos!$C$20*(1-Supuestos!$C$33)</f>
        <v>1692000</v>
      </c>
      <c r="AS14" s="19" t="n">
        <f aca="false">'Cartera 60M'!AS76*Supuestos!$C$20*(1-Supuestos!$C$33)</f>
        <v>1737000</v>
      </c>
      <c r="AT14" s="19" t="n">
        <f aca="false">'Cartera 60M'!AT76*Supuestos!$C$20*(1-Supuestos!$C$33)</f>
        <v>1785000</v>
      </c>
      <c r="AU14" s="19" t="n">
        <f aca="false">'Cartera 60M'!AU76*Supuestos!$C$20*(1-Supuestos!$C$33)</f>
        <v>1830000</v>
      </c>
      <c r="AV14" s="19" t="n">
        <f aca="false">'Cartera 60M'!AV76*Supuestos!$C$20*(1-Supuestos!$C$33)</f>
        <v>1875000</v>
      </c>
      <c r="AW14" s="19" t="n">
        <f aca="false">'Cartera 60M'!AW76*Supuestos!$C$20*(1-Supuestos!$C$33)</f>
        <v>1920000</v>
      </c>
      <c r="AX14" s="19" t="n">
        <f aca="false">'Cartera 60M'!AX76*Supuestos!$C$20*(1-Supuestos!$C$33)</f>
        <v>1968000</v>
      </c>
      <c r="AY14" s="19" t="n">
        <f aca="false">'Cartera 60M'!AY76*Supuestos!$C$20*(1-Supuestos!$C$33)</f>
        <v>2010000</v>
      </c>
      <c r="AZ14" s="19" t="n">
        <f aca="false">'Cartera 60M'!AZ76*Supuestos!$C$20*(1-Supuestos!$C$33)</f>
        <v>2049000</v>
      </c>
      <c r="BA14" s="19" t="n">
        <f aca="false">'Cartera 60M'!BA76*Supuestos!$C$20*(1-Supuestos!$C$33)</f>
        <v>2085000</v>
      </c>
      <c r="BB14" s="19" t="n">
        <f aca="false">'Cartera 60M'!BB76*Supuestos!$C$20*(1-Supuestos!$C$33)</f>
        <v>2118000</v>
      </c>
      <c r="BC14" s="19" t="n">
        <f aca="false">'Cartera 60M'!BC76*Supuestos!$C$20*(1-Supuestos!$C$33)</f>
        <v>2145000</v>
      </c>
      <c r="BD14" s="19" t="n">
        <f aca="false">'Cartera 60M'!BD76*Supuestos!$C$20*(1-Supuestos!$C$33)</f>
        <v>2169000</v>
      </c>
      <c r="BE14" s="19" t="n">
        <f aca="false">'Cartera 60M'!BE76*Supuestos!$C$20*(1-Supuestos!$C$33)</f>
        <v>2190000</v>
      </c>
      <c r="BF14" s="19" t="n">
        <f aca="false">'Cartera 60M'!BF76*Supuestos!$C$20*(1-Supuestos!$C$33)</f>
        <v>2205000</v>
      </c>
      <c r="BG14" s="19" t="n">
        <f aca="false">'Cartera 60M'!BG76*Supuestos!$C$20*(1-Supuestos!$C$33)</f>
        <v>2217000</v>
      </c>
      <c r="BH14" s="19" t="n">
        <f aca="false">'Cartera 60M'!BH76*Supuestos!$C$20*(1-Supuestos!$C$33)</f>
        <v>2226000</v>
      </c>
      <c r="BI14" s="19" t="n">
        <f aca="false">'Cartera 60M'!BI76*Supuestos!$C$20*(1-Supuestos!$C$33)</f>
        <v>2232000</v>
      </c>
      <c r="BJ14" s="19" t="n">
        <f aca="false">'Cartera 60M'!BJ76*Supuestos!$C$20*(1-Supuestos!$C$33)</f>
        <v>2232000</v>
      </c>
    </row>
    <row r="15" customFormat="false" ht="15" hidden="false" customHeight="false" outlineLevel="0" collapsed="false">
      <c r="A15" s="1"/>
      <c r="B15" s="23" t="s">
        <v>205</v>
      </c>
      <c r="C15" s="22" t="n">
        <f aca="false">SUM(C12:C14)</f>
        <v>178500</v>
      </c>
      <c r="D15" s="22" t="n">
        <f aca="false">SUM(D12:D14)</f>
        <v>350353.831438281</v>
      </c>
      <c r="E15" s="22" t="n">
        <f aca="false">SUM(E12:E14)</f>
        <v>646701.265398538</v>
      </c>
      <c r="F15" s="22" t="n">
        <f aca="false">SUM(F12:F14)</f>
        <v>927148.457388404</v>
      </c>
      <c r="G15" s="22" t="n">
        <f aca="false">SUM(G12:G14)</f>
        <v>1233330.69147284</v>
      </c>
      <c r="H15" s="22" t="n">
        <f aca="false">SUM(H12:H14)</f>
        <v>1561790.72202858</v>
      </c>
      <c r="I15" s="22" t="n">
        <f aca="false">SUM(I12:I14)</f>
        <v>1998226.22917772</v>
      </c>
      <c r="J15" s="22" t="n">
        <f aca="false">SUM(J12:J14)</f>
        <v>2401789.11996488</v>
      </c>
      <c r="K15" s="22" t="n">
        <f aca="false">SUM(K12:K14)</f>
        <v>2813647.93815923</v>
      </c>
      <c r="L15" s="22" t="n">
        <f aca="false">SUM(L12:L14)</f>
        <v>3229865.86248361</v>
      </c>
      <c r="M15" s="22" t="n">
        <f aca="false">SUM(M12:M14)</f>
        <v>3735647.80907574</v>
      </c>
      <c r="N15" s="22" t="n">
        <f aca="false">SUM(N12:N14)</f>
        <v>4189639.36998627</v>
      </c>
      <c r="O15" s="22" t="n">
        <f aca="false">SUM(O12:O14)</f>
        <v>4626488.85032808</v>
      </c>
      <c r="P15" s="22" t="n">
        <f aca="false">SUM(P12:P14)</f>
        <v>5052889.80216641</v>
      </c>
      <c r="Q15" s="22" t="n">
        <f aca="false">SUM(Q12:Q14)</f>
        <v>5554804.8909674</v>
      </c>
      <c r="R15" s="22" t="n">
        <f aca="false">SUM(R12:R14)</f>
        <v>6001823.25549753</v>
      </c>
      <c r="S15" s="22" t="n">
        <f aca="false">SUM(S12:S14)</f>
        <v>6438672.73583934</v>
      </c>
      <c r="T15" s="22" t="n">
        <f aca="false">SUM(T12:T14)</f>
        <v>6954323.68767767</v>
      </c>
      <c r="U15" s="22" t="n">
        <f aca="false">SUM(U12:U14)</f>
        <v>7408290.6921978</v>
      </c>
      <c r="V15" s="22" t="n">
        <f aca="false">SUM(V12:V14)</f>
        <v>7852279.90012935</v>
      </c>
      <c r="W15" s="22" t="n">
        <f aca="false">SUM(W12:W14)</f>
        <v>8286016.92206612</v>
      </c>
      <c r="X15" s="22" t="n">
        <f aca="false">SUM(X12:X14)</f>
        <v>8798469.82289327</v>
      </c>
      <c r="Y15" s="22" t="n">
        <f aca="false">SUM(Y12:Y14)</f>
        <v>9249150.82999941</v>
      </c>
      <c r="Z15" s="22" t="n">
        <f aca="false">SUM(Z12:Z14)</f>
        <v>9689763.67558808</v>
      </c>
      <c r="AA15" s="22" t="n">
        <f aca="false">SUM(AA12:AA14)</f>
        <v>10120031.4852176</v>
      </c>
      <c r="AB15" s="22" t="n">
        <f aca="false">SUM(AB12:AB14)</f>
        <v>10628919.7703989</v>
      </c>
      <c r="AC15" s="22" t="n">
        <f aca="false">SUM(AC12:AC14)</f>
        <v>11075938.1349291</v>
      </c>
      <c r="AD15" s="22" t="n">
        <f aca="false">SUM(AD12:AD14)</f>
        <v>11512787.6152709</v>
      </c>
      <c r="AE15" s="22" t="n">
        <f aca="false">SUM(AE12:AE14)</f>
        <v>12028438.5671092</v>
      </c>
      <c r="AF15" s="22" t="n">
        <f aca="false">SUM(AF12:AF14)</f>
        <v>12482405.5716294</v>
      </c>
      <c r="AG15" s="22" t="n">
        <f aca="false">SUM(AG12:AG14)</f>
        <v>12926394.7795609</v>
      </c>
      <c r="AH15" s="22" t="n">
        <f aca="false">SUM(AH12:AH14)</f>
        <v>13360131.8014977</v>
      </c>
      <c r="AI15" s="22" t="n">
        <f aca="false">SUM(AI12:AI14)</f>
        <v>13872584.7023248</v>
      </c>
      <c r="AJ15" s="22" t="n">
        <f aca="false">SUM(AJ12:AJ14)</f>
        <v>14323265.709431</v>
      </c>
      <c r="AK15" s="22" t="n">
        <f aca="false">SUM(AK12:AK14)</f>
        <v>14763878.5550196</v>
      </c>
      <c r="AL15" s="22" t="n">
        <f aca="false">SUM(AL12:AL14)</f>
        <v>15194146.3646491</v>
      </c>
      <c r="AM15" s="22" t="n">
        <f aca="false">SUM(AM12:AM14)</f>
        <v>15703034.6498305</v>
      </c>
      <c r="AN15" s="22" t="n">
        <f aca="false">SUM(AN12:AN14)</f>
        <v>16150053.0143606</v>
      </c>
      <c r="AO15" s="22" t="n">
        <f aca="false">SUM(AO12:AO14)</f>
        <v>16586902.4947025</v>
      </c>
      <c r="AP15" s="22" t="n">
        <f aca="false">SUM(AP12:AP14)</f>
        <v>17013303.4465408</v>
      </c>
      <c r="AQ15" s="22" t="n">
        <f aca="false">SUM(AQ12:AQ14)</f>
        <v>17515218.5353418</v>
      </c>
      <c r="AR15" s="22" t="n">
        <f aca="false">SUM(AR12:AR14)</f>
        <v>17962236.8998719</v>
      </c>
      <c r="AS15" s="22" t="n">
        <f aca="false">SUM(AS12:AS14)</f>
        <v>18399086.3802138</v>
      </c>
      <c r="AT15" s="22" t="n">
        <f aca="false">SUM(AT12:AT14)</f>
        <v>18914737.3320521</v>
      </c>
      <c r="AU15" s="22" t="n">
        <f aca="false">SUM(AU12:AU14)</f>
        <v>19368704.3365722</v>
      </c>
      <c r="AV15" s="22" t="n">
        <f aca="false">SUM(AV12:AV14)</f>
        <v>19812693.5445038</v>
      </c>
      <c r="AW15" s="22" t="n">
        <f aca="false">SUM(AW12:AW14)</f>
        <v>20246430.5664406</v>
      </c>
      <c r="AX15" s="22" t="n">
        <f aca="false">SUM(AX12:AX14)</f>
        <v>20758883.4672677</v>
      </c>
      <c r="AY15" s="22" t="n">
        <f aca="false">SUM(AY12:AY14)</f>
        <v>21120314.4743739</v>
      </c>
      <c r="AZ15" s="22" t="n">
        <f aca="false">SUM(AZ12:AZ14)</f>
        <v>21430375.4042434</v>
      </c>
      <c r="BA15" s="22" t="n">
        <f aca="false">SUM(BA12:BA14)</f>
        <v>21691818.5390332</v>
      </c>
      <c r="BB15" s="22" t="n">
        <f aca="false">SUM(BB12:BB14)</f>
        <v>21907471.8486594</v>
      </c>
      <c r="BC15" s="22" t="n">
        <f aca="false">SUM(BC12:BC14)</f>
        <v>22077241.0722108</v>
      </c>
      <c r="BD15" s="22" t="n">
        <f aca="false">SUM(BD12:BD14)</f>
        <v>22211194.3158822</v>
      </c>
      <c r="BE15" s="22" t="n">
        <f aca="false">SUM(BE12:BE14)</f>
        <v>22312511.5995077</v>
      </c>
      <c r="BF15" s="22" t="n">
        <f aca="false">SUM(BF12:BF14)</f>
        <v>22381460.3934669</v>
      </c>
      <c r="BG15" s="22" t="n">
        <f aca="false">SUM(BG12:BG14)</f>
        <v>22428480.4828556</v>
      </c>
      <c r="BH15" s="22" t="n">
        <f aca="false">SUM(BH12:BH14)</f>
        <v>22457133.7875791</v>
      </c>
      <c r="BI15" s="22" t="n">
        <f aca="false">SUM(BI12:BI14)</f>
        <v>22471080.1803399</v>
      </c>
      <c r="BJ15" s="22" t="n">
        <f aca="false">SUM(BJ12:BJ14)</f>
        <v>22471080.1803399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customFormat="false" ht="15" hidden="false" customHeight="false" outlineLevel="0" collapsed="false">
      <c r="A17" s="1"/>
      <c r="B17" s="6" t="s">
        <v>206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</row>
    <row r="18" customFormat="false" ht="15" hidden="false" customHeight="false" outlineLevel="0" collapsed="false">
      <c r="A18" s="1"/>
      <c r="B18" s="7" t="s">
        <v>207</v>
      </c>
      <c r="C18" s="19" t="n">
        <f aca="false">'Cartera 60M'!C71*Supuestos!$C$16/12</f>
        <v>28950</v>
      </c>
      <c r="D18" s="19" t="n">
        <f aca="false">'Cartera 60M'!D71*Supuestos!$C$16/12</f>
        <v>70305.9808501605</v>
      </c>
      <c r="E18" s="19" t="n">
        <f aca="false">'Cartera 60M'!E71*Supuestos!$C$16/12</f>
        <v>137451.534948941</v>
      </c>
      <c r="F18" s="19" t="n">
        <f aca="false">'Cartera 60M'!F71*Supuestos!$C$16/12</f>
        <v>213755.73141084</v>
      </c>
      <c r="G18" s="19" t="n">
        <f aca="false">'Cartera 60M'!G71*Supuestos!$C$16/12</f>
        <v>298037.860825923</v>
      </c>
      <c r="H18" s="19" t="n">
        <f aca="false">'Cartera 60M'!H71*Supuestos!$C$16/12</f>
        <v>389084.744275482</v>
      </c>
      <c r="I18" s="19" t="n">
        <f aca="false">'Cartera 60M'!I71*Supuestos!$C$16/12</f>
        <v>500124.840420546</v>
      </c>
      <c r="J18" s="19" t="n">
        <f aca="false">'Cartera 60M'!J71*Supuestos!$C$16/12</f>
        <v>614367.818460402</v>
      </c>
      <c r="K18" s="19" t="n">
        <f aca="false">'Cartera 60M'!K71*Supuestos!$C$16/12</f>
        <v>730469.185572238</v>
      </c>
      <c r="L18" s="19" t="n">
        <f aca="false">'Cartera 60M'!L71*Supuestos!$C$16/12</f>
        <v>847047.475380612</v>
      </c>
      <c r="M18" s="19" t="n">
        <f aca="false">'Cartera 60M'!M71*Supuestos!$C$16/12</f>
        <v>977158.23118476</v>
      </c>
      <c r="N18" s="19" t="n">
        <f aca="false">'Cartera 60M'!N71*Supuestos!$C$16/12</f>
        <v>1103833.45164973</v>
      </c>
      <c r="O18" s="19" t="n">
        <f aca="false">'Cartera 60M'!O71*Supuestos!$C$16/12</f>
        <v>1225546.08747876</v>
      </c>
      <c r="P18" s="19" t="n">
        <f aca="false">'Cartera 60M'!P71*Supuestos!$C$16/12</f>
        <v>1343592.2396693</v>
      </c>
      <c r="Q18" s="19" t="n">
        <f aca="false">'Cartera 60M'!Q71*Supuestos!$C$16/12</f>
        <v>1472346.07992129</v>
      </c>
      <c r="R18" s="19" t="n">
        <f aca="false">'Cartera 60M'!R71*Supuestos!$C$16/12</f>
        <v>1597627.06965641</v>
      </c>
      <c r="S18" s="19" t="n">
        <f aca="false">'Cartera 60M'!S71*Supuestos!$C$16/12</f>
        <v>1719339.70548544</v>
      </c>
      <c r="T18" s="19" t="n">
        <f aca="false">'Cartera 60M'!T71*Supuestos!$C$16/12</f>
        <v>1851860.85767598</v>
      </c>
      <c r="U18" s="19" t="n">
        <f aca="false">'Cartera 60M'!U71*Supuestos!$C$16/12</f>
        <v>1979580.18835305</v>
      </c>
      <c r="V18" s="19" t="n">
        <f aca="false">'Cartera 60M'!V71*Supuestos!$C$16/12</f>
        <v>2103798.21949994</v>
      </c>
      <c r="W18" s="19" t="n">
        <f aca="false">'Cartera 60M'!W71*Supuestos!$C$16/12</f>
        <v>2224418.66537957</v>
      </c>
      <c r="X18" s="19" t="n">
        <f aca="false">'Cartera 60M'!X71*Supuestos!$C$16/12</f>
        <v>2355817.59239709</v>
      </c>
      <c r="Y18" s="19" t="n">
        <f aca="false">'Cartera 60M'!Y71*Supuestos!$C$16/12</f>
        <v>2482383.83670888</v>
      </c>
      <c r="Z18" s="19" t="n">
        <f aca="false">'Cartera 60M'!Z71*Supuestos!$C$16/12</f>
        <v>2605417.07161545</v>
      </c>
      <c r="AA18" s="19" t="n">
        <f aca="false">'Cartera 60M'!AA71*Supuestos!$C$16/12</f>
        <v>2724820.13935816</v>
      </c>
      <c r="AB18" s="19" t="n">
        <f aca="false">'Cartera 60M'!AB71*Supuestos!$C$16/12</f>
        <v>2854968.21033999</v>
      </c>
      <c r="AC18" s="19" t="n">
        <f aca="false">'Cartera 60M'!AC71*Supuestos!$C$16/12</f>
        <v>2980249.20007511</v>
      </c>
      <c r="AD18" s="19" t="n">
        <f aca="false">'Cartera 60M'!AD71*Supuestos!$C$16/12</f>
        <v>3101961.83590415</v>
      </c>
      <c r="AE18" s="19" t="n">
        <f aca="false">'Cartera 60M'!AE71*Supuestos!$C$16/12</f>
        <v>3234482.98809469</v>
      </c>
      <c r="AF18" s="19" t="n">
        <f aca="false">'Cartera 60M'!AF71*Supuestos!$C$16/12</f>
        <v>3362202.31877176</v>
      </c>
      <c r="AG18" s="19" t="n">
        <f aca="false">'Cartera 60M'!AG71*Supuestos!$C$16/12</f>
        <v>3486420.34991864</v>
      </c>
      <c r="AH18" s="19" t="n">
        <f aca="false">'Cartera 60M'!AH71*Supuestos!$C$16/12</f>
        <v>3607040.79579828</v>
      </c>
      <c r="AI18" s="19" t="n">
        <f aca="false">'Cartera 60M'!AI71*Supuestos!$C$16/12</f>
        <v>3738439.7228158</v>
      </c>
      <c r="AJ18" s="19" t="n">
        <f aca="false">'Cartera 60M'!AJ71*Supuestos!$C$16/12</f>
        <v>3865005.96712759</v>
      </c>
      <c r="AK18" s="19" t="n">
        <f aca="false">'Cartera 60M'!AK71*Supuestos!$C$16/12</f>
        <v>3988039.20203417</v>
      </c>
      <c r="AL18" s="19" t="n">
        <f aca="false">'Cartera 60M'!AL71*Supuestos!$C$16/12</f>
        <v>4107442.26977687</v>
      </c>
      <c r="AM18" s="19" t="n">
        <f aca="false">'Cartera 60M'!AM71*Supuestos!$C$16/12</f>
        <v>4237590.34075871</v>
      </c>
      <c r="AN18" s="19" t="n">
        <f aca="false">'Cartera 60M'!AN71*Supuestos!$C$16/12</f>
        <v>4362871.33049383</v>
      </c>
      <c r="AO18" s="19" t="n">
        <f aca="false">'Cartera 60M'!AO71*Supuestos!$C$16/12</f>
        <v>4484583.96632287</v>
      </c>
      <c r="AP18" s="19" t="n">
        <f aca="false">'Cartera 60M'!AP71*Supuestos!$C$16/12</f>
        <v>4602630.11851341</v>
      </c>
      <c r="AQ18" s="19" t="n">
        <f aca="false">'Cartera 60M'!AQ71*Supuestos!$C$16/12</f>
        <v>4731383.95876539</v>
      </c>
      <c r="AR18" s="19" t="n">
        <f aca="false">'Cartera 60M'!AR71*Supuestos!$C$16/12</f>
        <v>4856664.94850051</v>
      </c>
      <c r="AS18" s="19" t="n">
        <f aca="false">'Cartera 60M'!AS71*Supuestos!$C$16/12</f>
        <v>4978377.58432955</v>
      </c>
      <c r="AT18" s="19" t="n">
        <f aca="false">'Cartera 60M'!AT71*Supuestos!$C$16/12</f>
        <v>5110898.7365201</v>
      </c>
      <c r="AU18" s="19" t="n">
        <f aca="false">'Cartera 60M'!AU71*Supuestos!$C$16/12</f>
        <v>5238618.06719716</v>
      </c>
      <c r="AV18" s="19" t="n">
        <f aca="false">'Cartera 60M'!AV71*Supuestos!$C$16/12</f>
        <v>5362836.09834405</v>
      </c>
      <c r="AW18" s="19" t="n">
        <f aca="false">'Cartera 60M'!AW71*Supuestos!$C$16/12</f>
        <v>5483456.54422369</v>
      </c>
      <c r="AX18" s="19" t="n">
        <f aca="false">'Cartera 60M'!AX71*Supuestos!$C$16/12</f>
        <v>5614855.47124121</v>
      </c>
      <c r="AY18" s="19" t="n">
        <f aca="false">'Cartera 60M'!AY71*Supuestos!$C$16/12</f>
        <v>5726946.71555301</v>
      </c>
      <c r="AZ18" s="19" t="n">
        <f aca="false">'Cartera 60M'!AZ71*Supuestos!$C$16/12</f>
        <v>5822064.4600345</v>
      </c>
      <c r="BA18" s="19" t="n">
        <f aca="false">'Cartera 60M'!BA71*Supuestos!$C$16/12</f>
        <v>5901174.50551528</v>
      </c>
      <c r="BB18" s="19" t="n">
        <f aca="false">'Cartera 60M'!BB71*Supuestos!$C$16/12</f>
        <v>5965269.21234774</v>
      </c>
      <c r="BC18" s="19" t="n">
        <f aca="false">'Cartera 60M'!BC71*Supuestos!$C$16/12</f>
        <v>6015368.23079398</v>
      </c>
      <c r="BD18" s="19" t="n">
        <f aca="false">'Cartera 60M'!BD71*Supuestos!$C$16/12</f>
        <v>6053951.82357321</v>
      </c>
      <c r="BE18" s="19" t="n">
        <f aca="false">'Cartera 60M'!BE71*Supuestos!$C$16/12</f>
        <v>6082135.88855452</v>
      </c>
      <c r="BF18" s="19" t="n">
        <f aca="false">'Cartera 60M'!BF71*Supuestos!$C$16/12</f>
        <v>6101067.01079837</v>
      </c>
      <c r="BG18" s="19" t="n">
        <f aca="false">'Cartera 60M'!BG71*Supuestos!$C$16/12</f>
        <v>6113355.87852933</v>
      </c>
      <c r="BH18" s="19" t="n">
        <f aca="false">'Cartera 60M'!BH71*Supuestos!$C$16/12</f>
        <v>6120252.40182321</v>
      </c>
      <c r="BI18" s="19" t="n">
        <f aca="false">'Cartera 60M'!BI71*Supuestos!$C$16/12</f>
        <v>6123040.86328291</v>
      </c>
      <c r="BJ18" s="19" t="n">
        <f aca="false">'Cartera 60M'!BJ71*Supuestos!$C$16/12</f>
        <v>6123040.86328291</v>
      </c>
    </row>
    <row r="19" customFormat="false" ht="15" hidden="false" customHeight="false" outlineLevel="0" collapsed="false">
      <c r="A19" s="1"/>
      <c r="B19" s="7" t="s">
        <v>208</v>
      </c>
      <c r="C19" s="19" t="n">
        <f aca="false">'Cartera 60M'!C73*Supuestos!$C$34</f>
        <v>2226.79597137781</v>
      </c>
      <c r="D19" s="19" t="n">
        <f aca="false">'Cartera 60M'!D73*Supuestos!$C$34</f>
        <v>5566.98992844452</v>
      </c>
      <c r="E19" s="19" t="n">
        <f aca="false">'Cartera 60M'!E73*Supuestos!$C$34</f>
        <v>11133.979856889</v>
      </c>
      <c r="F19" s="19" t="n">
        <f aca="false">'Cartera 60M'!F73*Supuestos!$C$34</f>
        <v>17814.3677710225</v>
      </c>
      <c r="G19" s="19" t="n">
        <f aca="false">'Cartera 60M'!G73*Supuestos!$C$34</f>
        <v>25608.1536708448</v>
      </c>
      <c r="H19" s="19" t="n">
        <f aca="false">'Cartera 60M'!H73*Supuestos!$C$34</f>
        <v>34515.337556356</v>
      </c>
      <c r="I19" s="19" t="n">
        <f aca="false">'Cartera 60M'!I73*Supuestos!$C$34</f>
        <v>45649.3174132451</v>
      </c>
      <c r="J19" s="19" t="n">
        <f aca="false">'Cartera 60M'!J73*Supuestos!$C$34</f>
        <v>57896.695255823</v>
      </c>
      <c r="K19" s="19" t="n">
        <f aca="false">'Cartera 60M'!K73*Supuestos!$C$34</f>
        <v>71257.4710840899</v>
      </c>
      <c r="L19" s="19" t="n">
        <f aca="false">'Cartera 60M'!L73*Supuestos!$C$34</f>
        <v>85731.6448980457</v>
      </c>
      <c r="M19" s="19" t="n">
        <f aca="false">'Cartera 60M'!M73*Supuestos!$C$34</f>
        <v>102432.614683379</v>
      </c>
      <c r="N19" s="19" t="n">
        <f aca="false">'Cartera 60M'!N73*Supuestos!$C$34</f>
        <v>120246.982454402</v>
      </c>
      <c r="O19" s="19" t="n">
        <f aca="false">'Cartera 60M'!O73*Supuestos!$C$34</f>
        <v>136947.952239735</v>
      </c>
      <c r="P19" s="19" t="n">
        <f aca="false">'Cartera 60M'!P73*Supuestos!$C$34</f>
        <v>153648.922025069</v>
      </c>
      <c r="Q19" s="19" t="n">
        <f aca="false">'Cartera 60M'!Q73*Supuestos!$C$34</f>
        <v>170349.891810402</v>
      </c>
      <c r="R19" s="19" t="n">
        <f aca="false">'Cartera 60M'!R73*Supuestos!$C$34</f>
        <v>187050.861595736</v>
      </c>
      <c r="S19" s="19" t="n">
        <f aca="false">'Cartera 60M'!S73*Supuestos!$C$34</f>
        <v>203751.83138107</v>
      </c>
      <c r="T19" s="19" t="n">
        <f aca="false">'Cartera 60M'!T73*Supuestos!$C$34</f>
        <v>221566.199152092</v>
      </c>
      <c r="U19" s="19" t="n">
        <f aca="false">'Cartera 60M'!U73*Supuestos!$C$34</f>
        <v>238267.168937426</v>
      </c>
      <c r="V19" s="19" t="n">
        <f aca="false">'Cartera 60M'!V73*Supuestos!$C$34</f>
        <v>254968.138722759</v>
      </c>
      <c r="W19" s="19" t="n">
        <f aca="false">'Cartera 60M'!W73*Supuestos!$C$34</f>
        <v>271669.108508093</v>
      </c>
      <c r="X19" s="19" t="n">
        <f aca="false">'Cartera 60M'!X73*Supuestos!$C$34</f>
        <v>289483.476279115</v>
      </c>
      <c r="Y19" s="19" t="n">
        <f aca="false">'Cartera 60M'!Y73*Supuestos!$C$34</f>
        <v>306184.446064449</v>
      </c>
      <c r="Z19" s="19" t="n">
        <f aca="false">'Cartera 60M'!Z73*Supuestos!$C$34</f>
        <v>322885.415849782</v>
      </c>
      <c r="AA19" s="19" t="n">
        <f aca="false">'Cartera 60M'!AA73*Supuestos!$C$34</f>
        <v>339586.385635116</v>
      </c>
      <c r="AB19" s="19" t="n">
        <f aca="false">'Cartera 60M'!AB73*Supuestos!$C$34</f>
        <v>357400.753406138</v>
      </c>
      <c r="AC19" s="19" t="n">
        <f aca="false">'Cartera 60M'!AC73*Supuestos!$C$34</f>
        <v>374101.723191472</v>
      </c>
      <c r="AD19" s="19" t="n">
        <f aca="false">'Cartera 60M'!AD73*Supuestos!$C$34</f>
        <v>390802.692976806</v>
      </c>
      <c r="AE19" s="19" t="n">
        <f aca="false">'Cartera 60M'!AE73*Supuestos!$C$34</f>
        <v>408617.060747828</v>
      </c>
      <c r="AF19" s="19" t="n">
        <f aca="false">'Cartera 60M'!AF73*Supuestos!$C$34</f>
        <v>425318.030533162</v>
      </c>
      <c r="AG19" s="19" t="n">
        <f aca="false">'Cartera 60M'!AG73*Supuestos!$C$34</f>
        <v>442019.000318495</v>
      </c>
      <c r="AH19" s="19" t="n">
        <f aca="false">'Cartera 60M'!AH73*Supuestos!$C$34</f>
        <v>458719.970103829</v>
      </c>
      <c r="AI19" s="19" t="n">
        <f aca="false">'Cartera 60M'!AI73*Supuestos!$C$34</f>
        <v>476534.337874851</v>
      </c>
      <c r="AJ19" s="19" t="n">
        <f aca="false">'Cartera 60M'!AJ73*Supuestos!$C$34</f>
        <v>493235.307660185</v>
      </c>
      <c r="AK19" s="19" t="n">
        <f aca="false">'Cartera 60M'!AK73*Supuestos!$C$34</f>
        <v>509936.277445518</v>
      </c>
      <c r="AL19" s="19" t="n">
        <f aca="false">'Cartera 60M'!AL73*Supuestos!$C$34</f>
        <v>526637.247230852</v>
      </c>
      <c r="AM19" s="19" t="n">
        <f aca="false">'Cartera 60M'!AM73*Supuestos!$C$34</f>
        <v>544451.615001874</v>
      </c>
      <c r="AN19" s="19" t="n">
        <f aca="false">'Cartera 60M'!AN73*Supuestos!$C$34</f>
        <v>561152.584787208</v>
      </c>
      <c r="AO19" s="19" t="n">
        <f aca="false">'Cartera 60M'!AO73*Supuestos!$C$34</f>
        <v>577853.554572541</v>
      </c>
      <c r="AP19" s="19" t="n">
        <f aca="false">'Cartera 60M'!AP73*Supuestos!$C$34</f>
        <v>594554.524357875</v>
      </c>
      <c r="AQ19" s="19" t="n">
        <f aca="false">'Cartera 60M'!AQ73*Supuestos!$C$34</f>
        <v>611255.494143209</v>
      </c>
      <c r="AR19" s="19" t="n">
        <f aca="false">'Cartera 60M'!AR73*Supuestos!$C$34</f>
        <v>627956.463928542</v>
      </c>
      <c r="AS19" s="19" t="n">
        <f aca="false">'Cartera 60M'!AS73*Supuestos!$C$34</f>
        <v>644657.433713876</v>
      </c>
      <c r="AT19" s="19" t="n">
        <f aca="false">'Cartera 60M'!AT73*Supuestos!$C$34</f>
        <v>662471.801484898</v>
      </c>
      <c r="AU19" s="19" t="n">
        <f aca="false">'Cartera 60M'!AU73*Supuestos!$C$34</f>
        <v>679172.771270232</v>
      </c>
      <c r="AV19" s="19" t="n">
        <f aca="false">'Cartera 60M'!AV73*Supuestos!$C$34</f>
        <v>695873.741055565</v>
      </c>
      <c r="AW19" s="19" t="n">
        <f aca="false">'Cartera 60M'!AW73*Supuestos!$C$34</f>
        <v>712574.710840899</v>
      </c>
      <c r="AX19" s="19" t="n">
        <f aca="false">'Cartera 60M'!AX73*Supuestos!$C$34</f>
        <v>730389.078611921</v>
      </c>
      <c r="AY19" s="19" t="n">
        <f aca="false">'Cartera 60M'!AY73*Supuestos!$C$34</f>
        <v>745976.650411566</v>
      </c>
      <c r="AZ19" s="19" t="n">
        <f aca="false">'Cartera 60M'!AZ73*Supuestos!$C$34</f>
        <v>760450.824225522</v>
      </c>
      <c r="BA19" s="19" t="n">
        <f aca="false">'Cartera 60M'!BA73*Supuestos!$C$34</f>
        <v>773811.600053789</v>
      </c>
      <c r="BB19" s="19" t="n">
        <f aca="false">'Cartera 60M'!BB73*Supuestos!$C$34</f>
        <v>786058.977896367</v>
      </c>
      <c r="BC19" s="19" t="n">
        <f aca="false">'Cartera 60M'!BC73*Supuestos!$C$34</f>
        <v>796079.559767567</v>
      </c>
      <c r="BD19" s="19" t="n">
        <f aca="false">'Cartera 60M'!BD73*Supuestos!$C$34</f>
        <v>804986.743653078</v>
      </c>
      <c r="BE19" s="19" t="n">
        <f aca="false">'Cartera 60M'!BE73*Supuestos!$C$34</f>
        <v>812780.5295529</v>
      </c>
      <c r="BF19" s="19" t="n">
        <f aca="false">'Cartera 60M'!BF73*Supuestos!$C$34</f>
        <v>818347.519481345</v>
      </c>
      <c r="BG19" s="19" t="n">
        <f aca="false">'Cartera 60M'!BG73*Supuestos!$C$34</f>
        <v>822801.111424101</v>
      </c>
      <c r="BH19" s="19" t="n">
        <f aca="false">'Cartera 60M'!BH73*Supuestos!$C$34</f>
        <v>826141.305381167</v>
      </c>
      <c r="BI19" s="19" t="n">
        <f aca="false">'Cartera 60M'!BI73*Supuestos!$C$34</f>
        <v>828368.101352545</v>
      </c>
      <c r="BJ19" s="19" t="n">
        <f aca="false">'Cartera 60M'!BJ73*Supuestos!$C$34</f>
        <v>828368.101352545</v>
      </c>
    </row>
    <row r="20" customFormat="false" ht="15" hidden="false" customHeight="false" outlineLevel="0" collapsed="false">
      <c r="A20" s="1"/>
      <c r="B20" s="7" t="s">
        <v>209</v>
      </c>
      <c r="C20" s="19" t="n">
        <f aca="false">'Cartera 60M'!C68*Supuestos!$D$31+'Cartera 60M'!C69*Supuestos!$D$30</f>
        <v>340</v>
      </c>
      <c r="D20" s="19" t="n">
        <f aca="false">'Cartera 60M'!D68*Supuestos!$D$31+'Cartera 60M'!D69*Supuestos!$D$30</f>
        <v>850</v>
      </c>
      <c r="E20" s="19" t="n">
        <f aca="false">'Cartera 60M'!E68*Supuestos!$D$31+'Cartera 60M'!E69*Supuestos!$D$30</f>
        <v>1700</v>
      </c>
      <c r="F20" s="19" t="n">
        <f aca="false">'Cartera 60M'!F68*Supuestos!$D$31+'Cartera 60M'!F69*Supuestos!$D$30</f>
        <v>2720</v>
      </c>
      <c r="G20" s="19" t="n">
        <f aca="false">'Cartera 60M'!G68*Supuestos!$D$31+'Cartera 60M'!G69*Supuestos!$D$30</f>
        <v>3910</v>
      </c>
      <c r="H20" s="19" t="n">
        <f aca="false">'Cartera 60M'!H68*Supuestos!$D$31+'Cartera 60M'!H69*Supuestos!$D$30</f>
        <v>5270</v>
      </c>
      <c r="I20" s="19" t="n">
        <f aca="false">'Cartera 60M'!I68*Supuestos!$D$31+'Cartera 60M'!I69*Supuestos!$D$30</f>
        <v>7140</v>
      </c>
      <c r="J20" s="19" t="n">
        <f aca="false">'Cartera 60M'!J68*Supuestos!$D$31+'Cartera 60M'!J69*Supuestos!$D$30</f>
        <v>9265</v>
      </c>
      <c r="K20" s="19" t="n">
        <f aca="false">'Cartera 60M'!K68*Supuestos!$D$31+'Cartera 60M'!K69*Supuestos!$D$30</f>
        <v>11730</v>
      </c>
      <c r="L20" s="19" t="n">
        <f aca="false">'Cartera 60M'!L68*Supuestos!$D$31+'Cartera 60M'!L69*Supuestos!$D$30</f>
        <v>14450</v>
      </c>
      <c r="M20" s="19" t="n">
        <f aca="false">'Cartera 60M'!M68*Supuestos!$D$31+'Cartera 60M'!M69*Supuestos!$D$30</f>
        <v>17595</v>
      </c>
      <c r="N20" s="19" t="n">
        <f aca="false">'Cartera 60M'!N68*Supuestos!$D$31+'Cartera 60M'!N69*Supuestos!$D$30</f>
        <v>20995</v>
      </c>
      <c r="O20" s="19" t="n">
        <f aca="false">'Cartera 60M'!O68*Supuestos!$D$31+'Cartera 60M'!O69*Supuestos!$D$30</f>
        <v>24225</v>
      </c>
      <c r="P20" s="19" t="n">
        <f aca="false">'Cartera 60M'!P68*Supuestos!$D$31+'Cartera 60M'!P69*Supuestos!$D$30</f>
        <v>27455</v>
      </c>
      <c r="Q20" s="19" t="n">
        <f aca="false">'Cartera 60M'!Q68*Supuestos!$D$31+'Cartera 60M'!Q69*Supuestos!$D$30</f>
        <v>30600</v>
      </c>
      <c r="R20" s="19" t="n">
        <f aca="false">'Cartera 60M'!R68*Supuestos!$D$31+'Cartera 60M'!R69*Supuestos!$D$30</f>
        <v>33745</v>
      </c>
      <c r="S20" s="19" t="n">
        <f aca="false">'Cartera 60M'!S68*Supuestos!$D$31+'Cartera 60M'!S69*Supuestos!$D$30</f>
        <v>36975</v>
      </c>
      <c r="T20" s="19" t="n">
        <f aca="false">'Cartera 60M'!T68*Supuestos!$D$31+'Cartera 60M'!T69*Supuestos!$D$30</f>
        <v>40375</v>
      </c>
      <c r="U20" s="19" t="n">
        <f aca="false">'Cartera 60M'!U68*Supuestos!$D$31+'Cartera 60M'!U69*Supuestos!$D$30</f>
        <v>43520</v>
      </c>
      <c r="V20" s="19" t="n">
        <f aca="false">'Cartera 60M'!V68*Supuestos!$D$31+'Cartera 60M'!V69*Supuestos!$D$30</f>
        <v>46665</v>
      </c>
      <c r="W20" s="19" t="n">
        <f aca="false">'Cartera 60M'!W68*Supuestos!$D$31+'Cartera 60M'!W69*Supuestos!$D$30</f>
        <v>49895</v>
      </c>
      <c r="X20" s="19" t="n">
        <f aca="false">'Cartera 60M'!X68*Supuestos!$D$31+'Cartera 60M'!X69*Supuestos!$D$30</f>
        <v>53295</v>
      </c>
      <c r="Y20" s="19" t="n">
        <f aca="false">'Cartera 60M'!Y68*Supuestos!$D$31+'Cartera 60M'!Y69*Supuestos!$D$30</f>
        <v>56440</v>
      </c>
      <c r="Z20" s="19" t="n">
        <f aca="false">'Cartera 60M'!Z68*Supuestos!$D$31+'Cartera 60M'!Z69*Supuestos!$D$30</f>
        <v>59670</v>
      </c>
      <c r="AA20" s="19" t="n">
        <f aca="false">'Cartera 60M'!AA68*Supuestos!$D$31+'Cartera 60M'!AA69*Supuestos!$D$30</f>
        <v>62900</v>
      </c>
      <c r="AB20" s="19" t="n">
        <f aca="false">'Cartera 60M'!AB68*Supuestos!$D$31+'Cartera 60M'!AB69*Supuestos!$D$30</f>
        <v>66300</v>
      </c>
      <c r="AC20" s="19" t="n">
        <f aca="false">'Cartera 60M'!AC68*Supuestos!$D$31+'Cartera 60M'!AC69*Supuestos!$D$30</f>
        <v>69445</v>
      </c>
      <c r="AD20" s="19" t="n">
        <f aca="false">'Cartera 60M'!AD68*Supuestos!$D$31+'Cartera 60M'!AD69*Supuestos!$D$30</f>
        <v>72675</v>
      </c>
      <c r="AE20" s="19" t="n">
        <f aca="false">'Cartera 60M'!AE68*Supuestos!$D$31+'Cartera 60M'!AE69*Supuestos!$D$30</f>
        <v>76075</v>
      </c>
      <c r="AF20" s="19" t="n">
        <f aca="false">'Cartera 60M'!AF68*Supuestos!$D$31+'Cartera 60M'!AF69*Supuestos!$D$30</f>
        <v>79220</v>
      </c>
      <c r="AG20" s="19" t="n">
        <f aca="false">'Cartera 60M'!AG68*Supuestos!$D$31+'Cartera 60M'!AG69*Supuestos!$D$30</f>
        <v>82365</v>
      </c>
      <c r="AH20" s="19" t="n">
        <f aca="false">'Cartera 60M'!AH68*Supuestos!$D$31+'Cartera 60M'!AH69*Supuestos!$D$30</f>
        <v>85595</v>
      </c>
      <c r="AI20" s="19" t="n">
        <f aca="false">'Cartera 60M'!AI68*Supuestos!$D$31+'Cartera 60M'!AI69*Supuestos!$D$30</f>
        <v>88995</v>
      </c>
      <c r="AJ20" s="19" t="n">
        <f aca="false">'Cartera 60M'!AJ68*Supuestos!$D$31+'Cartera 60M'!AJ69*Supuestos!$D$30</f>
        <v>92140</v>
      </c>
      <c r="AK20" s="19" t="n">
        <f aca="false">'Cartera 60M'!AK68*Supuestos!$D$31+'Cartera 60M'!AK69*Supuestos!$D$30</f>
        <v>95370</v>
      </c>
      <c r="AL20" s="19" t="n">
        <f aca="false">'Cartera 60M'!AL68*Supuestos!$D$31+'Cartera 60M'!AL69*Supuestos!$D$30</f>
        <v>98600</v>
      </c>
      <c r="AM20" s="19" t="n">
        <f aca="false">'Cartera 60M'!AM68*Supuestos!$D$31+'Cartera 60M'!AM69*Supuestos!$D$30</f>
        <v>102000</v>
      </c>
      <c r="AN20" s="19" t="n">
        <f aca="false">'Cartera 60M'!AN68*Supuestos!$D$31+'Cartera 60M'!AN69*Supuestos!$D$30</f>
        <v>105145</v>
      </c>
      <c r="AO20" s="19" t="n">
        <f aca="false">'Cartera 60M'!AO68*Supuestos!$D$31+'Cartera 60M'!AO69*Supuestos!$D$30</f>
        <v>108375</v>
      </c>
      <c r="AP20" s="19" t="n">
        <f aca="false">'Cartera 60M'!AP68*Supuestos!$D$31+'Cartera 60M'!AP69*Supuestos!$D$30</f>
        <v>111605</v>
      </c>
      <c r="AQ20" s="19" t="n">
        <f aca="false">'Cartera 60M'!AQ68*Supuestos!$D$31+'Cartera 60M'!AQ69*Supuestos!$D$30</f>
        <v>114750</v>
      </c>
      <c r="AR20" s="19" t="n">
        <f aca="false">'Cartera 60M'!AR68*Supuestos!$D$31+'Cartera 60M'!AR69*Supuestos!$D$30</f>
        <v>117895</v>
      </c>
      <c r="AS20" s="19" t="n">
        <f aca="false">'Cartera 60M'!AS68*Supuestos!$D$31+'Cartera 60M'!AS69*Supuestos!$D$30</f>
        <v>121125</v>
      </c>
      <c r="AT20" s="19" t="n">
        <f aca="false">'Cartera 60M'!AT68*Supuestos!$D$31+'Cartera 60M'!AT69*Supuestos!$D$30</f>
        <v>124525</v>
      </c>
      <c r="AU20" s="19" t="n">
        <f aca="false">'Cartera 60M'!AU68*Supuestos!$D$31+'Cartera 60M'!AU69*Supuestos!$D$30</f>
        <v>127670</v>
      </c>
      <c r="AV20" s="19" t="n">
        <f aca="false">'Cartera 60M'!AV68*Supuestos!$D$31+'Cartera 60M'!AV69*Supuestos!$D$30</f>
        <v>130815</v>
      </c>
      <c r="AW20" s="19" t="n">
        <f aca="false">'Cartera 60M'!AW68*Supuestos!$D$31+'Cartera 60M'!AW69*Supuestos!$D$30</f>
        <v>134045</v>
      </c>
      <c r="AX20" s="19" t="n">
        <f aca="false">'Cartera 60M'!AX68*Supuestos!$D$31+'Cartera 60M'!AX69*Supuestos!$D$30</f>
        <v>137445</v>
      </c>
      <c r="AY20" s="19" t="n">
        <f aca="false">'Cartera 60M'!AY68*Supuestos!$D$31+'Cartera 60M'!AY69*Supuestos!$D$30</f>
        <v>140420</v>
      </c>
      <c r="AZ20" s="19" t="n">
        <f aca="false">'Cartera 60M'!AZ68*Supuestos!$D$31+'Cartera 60M'!AZ69*Supuestos!$D$30</f>
        <v>143310</v>
      </c>
      <c r="BA20" s="19" t="n">
        <f aca="false">'Cartera 60M'!BA68*Supuestos!$D$31+'Cartera 60M'!BA69*Supuestos!$D$30</f>
        <v>146030</v>
      </c>
      <c r="BB20" s="19" t="n">
        <f aca="false">'Cartera 60M'!BB68*Supuestos!$D$31+'Cartera 60M'!BB69*Supuestos!$D$30</f>
        <v>148580</v>
      </c>
      <c r="BC20" s="19" t="n">
        <f aca="false">'Cartera 60M'!BC68*Supuestos!$D$31+'Cartera 60M'!BC69*Supuestos!$D$30</f>
        <v>150705</v>
      </c>
      <c r="BD20" s="19" t="n">
        <f aca="false">'Cartera 60M'!BD68*Supuestos!$D$31+'Cartera 60M'!BD69*Supuestos!$D$30</f>
        <v>152745</v>
      </c>
      <c r="BE20" s="19" t="n">
        <f aca="false">'Cartera 60M'!BE68*Supuestos!$D$31+'Cartera 60M'!BE69*Supuestos!$D$30</f>
        <v>154530</v>
      </c>
      <c r="BF20" s="19" t="n">
        <f aca="false">'Cartera 60M'!BF68*Supuestos!$D$31+'Cartera 60M'!BF69*Supuestos!$D$30</f>
        <v>155805</v>
      </c>
      <c r="BG20" s="19" t="n">
        <f aca="false">'Cartera 60M'!BG68*Supuestos!$D$31+'Cartera 60M'!BG69*Supuestos!$D$30</f>
        <v>156825</v>
      </c>
      <c r="BH20" s="19" t="n">
        <f aca="false">'Cartera 60M'!BH68*Supuestos!$D$31+'Cartera 60M'!BH69*Supuestos!$D$30</f>
        <v>157590</v>
      </c>
      <c r="BI20" s="19" t="n">
        <f aca="false">'Cartera 60M'!BI68*Supuestos!$D$31+'Cartera 60M'!BI69*Supuestos!$D$30</f>
        <v>158100</v>
      </c>
      <c r="BJ20" s="19" t="n">
        <f aca="false">'Cartera 60M'!BJ68*Supuestos!$D$31+'Cartera 60M'!BJ69*Supuestos!$D$30</f>
        <v>158100</v>
      </c>
    </row>
    <row r="21" customFormat="false" ht="15" hidden="false" customHeight="false" outlineLevel="0" collapsed="false">
      <c r="A21" s="1"/>
      <c r="B21" s="7" t="s">
        <v>210</v>
      </c>
      <c r="C21" s="19" t="n">
        <f aca="false">MAX(0,C30-C29)</f>
        <v>0</v>
      </c>
      <c r="D21" s="19" t="n">
        <f aca="false">MAX(0,D30-D29)</f>
        <v>0</v>
      </c>
      <c r="E21" s="19" t="n">
        <f aca="false">MAX(0,E30-E29)</f>
        <v>0</v>
      </c>
      <c r="F21" s="19" t="n">
        <f aca="false">MAX(0,F30-F29)</f>
        <v>0</v>
      </c>
      <c r="G21" s="19" t="n">
        <f aca="false">MAX(0,G30-G29)</f>
        <v>0</v>
      </c>
      <c r="H21" s="19" t="n">
        <f aca="false">MAX(0,H30-H29)</f>
        <v>0</v>
      </c>
      <c r="I21" s="19" t="n">
        <f aca="false">MAX(0,I30-I29)</f>
        <v>0</v>
      </c>
      <c r="J21" s="19" t="n">
        <f aca="false">MAX(0,J30-J29)</f>
        <v>0</v>
      </c>
      <c r="K21" s="19" t="n">
        <f aca="false">MAX(0,K30-K29)</f>
        <v>0</v>
      </c>
      <c r="L21" s="19" t="n">
        <f aca="false">MAX(0,L30-L29)</f>
        <v>0</v>
      </c>
      <c r="M21" s="19" t="n">
        <f aca="false">MAX(0,M30-M29)</f>
        <v>0</v>
      </c>
      <c r="N21" s="19" t="n">
        <f aca="false">MAX(0,N30-N29)</f>
        <v>0</v>
      </c>
      <c r="O21" s="19" t="n">
        <f aca="false">MAX(0,O30-O29)</f>
        <v>0</v>
      </c>
      <c r="P21" s="19" t="n">
        <f aca="false">MAX(0,P30-P29)</f>
        <v>0</v>
      </c>
      <c r="Q21" s="19" t="n">
        <f aca="false">MAX(0,Q30-Q29)</f>
        <v>0</v>
      </c>
      <c r="R21" s="19" t="n">
        <f aca="false">MAX(0,R30-R29)</f>
        <v>0</v>
      </c>
      <c r="S21" s="19" t="n">
        <f aca="false">MAX(0,S30-S29)</f>
        <v>0</v>
      </c>
      <c r="T21" s="19" t="n">
        <f aca="false">MAX(0,T30-T29)</f>
        <v>0</v>
      </c>
      <c r="U21" s="19" t="n">
        <f aca="false">MAX(0,U30-U29)</f>
        <v>0</v>
      </c>
      <c r="V21" s="19" t="n">
        <f aca="false">MAX(0,V30-V29)</f>
        <v>0</v>
      </c>
      <c r="W21" s="19" t="n">
        <f aca="false">MAX(0,W30-W29)</f>
        <v>0</v>
      </c>
      <c r="X21" s="19" t="n">
        <f aca="false">MAX(0,X30-X29)</f>
        <v>0</v>
      </c>
      <c r="Y21" s="19" t="n">
        <f aca="false">MAX(0,Y30-Y29)</f>
        <v>0</v>
      </c>
      <c r="Z21" s="19" t="n">
        <f aca="false">MAX(0,Z30-Z29)</f>
        <v>0</v>
      </c>
      <c r="AA21" s="19" t="n">
        <f aca="false">MAX(0,AA30-AA29)</f>
        <v>0</v>
      </c>
      <c r="AB21" s="19" t="n">
        <f aca="false">MAX(0,AB30-AB29)</f>
        <v>0</v>
      </c>
      <c r="AC21" s="19" t="n">
        <f aca="false">MAX(0,AC30-AC29)</f>
        <v>0</v>
      </c>
      <c r="AD21" s="19" t="n">
        <f aca="false">MAX(0,AD30-AD29)</f>
        <v>0</v>
      </c>
      <c r="AE21" s="19" t="n">
        <f aca="false">MAX(0,AE30-AE29)</f>
        <v>0</v>
      </c>
      <c r="AF21" s="19" t="n">
        <f aca="false">MAX(0,AF30-AF29)</f>
        <v>0</v>
      </c>
      <c r="AG21" s="19" t="n">
        <f aca="false">MAX(0,AG30-AG29)</f>
        <v>0</v>
      </c>
      <c r="AH21" s="19" t="n">
        <f aca="false">MAX(0,AH30-AH29)</f>
        <v>0</v>
      </c>
      <c r="AI21" s="19" t="n">
        <f aca="false">MAX(0,AI30-AI29)</f>
        <v>0</v>
      </c>
      <c r="AJ21" s="19" t="n">
        <f aca="false">MAX(0,AJ30-AJ29)</f>
        <v>0</v>
      </c>
      <c r="AK21" s="19" t="n">
        <f aca="false">MAX(0,AK30-AK29)</f>
        <v>0</v>
      </c>
      <c r="AL21" s="19" t="n">
        <f aca="false">MAX(0,AL30-AL29)</f>
        <v>0</v>
      </c>
      <c r="AM21" s="19" t="n">
        <f aca="false">MAX(0,AM30-AM29)</f>
        <v>0</v>
      </c>
      <c r="AN21" s="19" t="n">
        <f aca="false">MAX(0,AN30-AN29)</f>
        <v>0</v>
      </c>
      <c r="AO21" s="19" t="n">
        <f aca="false">MAX(0,AO30-AO29)</f>
        <v>0</v>
      </c>
      <c r="AP21" s="19" t="n">
        <f aca="false">MAX(0,AP30-AP29)</f>
        <v>0</v>
      </c>
      <c r="AQ21" s="19" t="n">
        <f aca="false">MAX(0,AQ30-AQ29)</f>
        <v>0</v>
      </c>
      <c r="AR21" s="19" t="n">
        <f aca="false">MAX(0,AR30-AR29)</f>
        <v>0</v>
      </c>
      <c r="AS21" s="19" t="n">
        <f aca="false">MAX(0,AS30-AS29)</f>
        <v>0</v>
      </c>
      <c r="AT21" s="19" t="n">
        <f aca="false">MAX(0,AT30-AT29)</f>
        <v>0</v>
      </c>
      <c r="AU21" s="19" t="n">
        <f aca="false">MAX(0,AU30-AU29)</f>
        <v>0</v>
      </c>
      <c r="AV21" s="19" t="n">
        <f aca="false">MAX(0,AV30-AV29)</f>
        <v>0</v>
      </c>
      <c r="AW21" s="19" t="n">
        <f aca="false">MAX(0,AW30-AW29)</f>
        <v>0</v>
      </c>
      <c r="AX21" s="19" t="n">
        <f aca="false">MAX(0,AX30-AX29)</f>
        <v>0</v>
      </c>
      <c r="AY21" s="19" t="n">
        <f aca="false">MAX(0,AY30-AY29)</f>
        <v>0</v>
      </c>
      <c r="AZ21" s="19" t="n">
        <f aca="false">MAX(0,AZ30-AZ29)</f>
        <v>0</v>
      </c>
      <c r="BA21" s="19" t="n">
        <f aca="false">MAX(0,BA30-BA29)</f>
        <v>0</v>
      </c>
      <c r="BB21" s="19" t="n">
        <f aca="false">MAX(0,BB30-BB29)</f>
        <v>0</v>
      </c>
      <c r="BC21" s="19" t="n">
        <f aca="false">MAX(0,BC30-BC29)</f>
        <v>0</v>
      </c>
      <c r="BD21" s="19" t="n">
        <f aca="false">MAX(0,BD30-BD29)</f>
        <v>0</v>
      </c>
      <c r="BE21" s="19" t="n">
        <f aca="false">MAX(0,BE30-BE29)</f>
        <v>0</v>
      </c>
      <c r="BF21" s="19" t="n">
        <f aca="false">MAX(0,BF30-BF29)</f>
        <v>0</v>
      </c>
      <c r="BG21" s="19" t="n">
        <f aca="false">MAX(0,BG30-BG29)</f>
        <v>0</v>
      </c>
      <c r="BH21" s="19" t="n">
        <f aca="false">MAX(0,BH30-BH29)</f>
        <v>0</v>
      </c>
      <c r="BI21" s="19" t="n">
        <f aca="false">MAX(0,BI30-BI29)</f>
        <v>0</v>
      </c>
      <c r="BJ21" s="19" t="n">
        <f aca="false">MAX(0,BJ30-BJ29)</f>
        <v>0</v>
      </c>
    </row>
    <row r="22" customFormat="false" ht="15" hidden="false" customHeight="false" outlineLevel="0" collapsed="false">
      <c r="A22" s="1"/>
      <c r="B22" s="7" t="s">
        <v>211</v>
      </c>
      <c r="C22" s="19" t="n">
        <f aca="false">IF(C5=1,Supuestos!$D$40*Supuestos!$C$41,0)+IF(C5='Cartera 60M'!$C$18,Supuestos!$D$40*(1-Supuestos!$C$41),0)</f>
        <v>127500</v>
      </c>
      <c r="D22" s="19" t="n">
        <f aca="false">IF(D5=1,Supuestos!$D$40*Supuestos!$C$41,0)+IF(D5='Cartera 60M'!$C$18,Supuestos!$D$40*(1-Supuestos!$C$41),0)</f>
        <v>0</v>
      </c>
      <c r="E22" s="19" t="n">
        <f aca="false">IF(E5=1,Supuestos!$D$40*Supuestos!$C$41,0)+IF(E5='Cartera 60M'!$C$18,Supuestos!$D$40*(1-Supuestos!$C$41),0)</f>
        <v>0</v>
      </c>
      <c r="F22" s="19" t="n">
        <f aca="false">IF(F5=1,Supuestos!$D$40*Supuestos!$C$41,0)+IF(F5='Cartera 60M'!$C$18,Supuestos!$D$40*(1-Supuestos!$C$41),0)</f>
        <v>0</v>
      </c>
      <c r="G22" s="19" t="n">
        <f aca="false">IF(G5=1,Supuestos!$D$40*Supuestos!$C$41,0)+IF(G5='Cartera 60M'!$C$18,Supuestos!$D$40*(1-Supuestos!$C$41),0)</f>
        <v>127500</v>
      </c>
      <c r="H22" s="19" t="n">
        <f aca="false">IF(H5=1,Supuestos!$D$40*Supuestos!$C$41,0)+IF(H5='Cartera 60M'!$C$18,Supuestos!$D$40*(1-Supuestos!$C$41),0)</f>
        <v>0</v>
      </c>
      <c r="I22" s="19" t="n">
        <f aca="false">IF(I5=1,Supuestos!$D$40*Supuestos!$C$41,0)+IF(I5='Cartera 60M'!$C$18,Supuestos!$D$40*(1-Supuestos!$C$41),0)</f>
        <v>0</v>
      </c>
      <c r="J22" s="19" t="n">
        <f aca="false">IF(J5=1,Supuestos!$D$40*Supuestos!$C$41,0)+IF(J5='Cartera 60M'!$C$18,Supuestos!$D$40*(1-Supuestos!$C$41),0)</f>
        <v>0</v>
      </c>
      <c r="K22" s="19" t="n">
        <f aca="false">IF(K5=1,Supuestos!$D$40*Supuestos!$C$41,0)+IF(K5='Cartera 60M'!$C$18,Supuestos!$D$40*(1-Supuestos!$C$41),0)</f>
        <v>0</v>
      </c>
      <c r="L22" s="19" t="n">
        <f aca="false">IF(L5=1,Supuestos!$D$40*Supuestos!$C$41,0)+IF(L5='Cartera 60M'!$C$18,Supuestos!$D$40*(1-Supuestos!$C$41),0)</f>
        <v>0</v>
      </c>
      <c r="M22" s="19" t="n">
        <f aca="false">IF(M5=1,Supuestos!$D$40*Supuestos!$C$41,0)+IF(M5='Cartera 60M'!$C$18,Supuestos!$D$40*(1-Supuestos!$C$41),0)</f>
        <v>0</v>
      </c>
      <c r="N22" s="19" t="n">
        <f aca="false">IF(N5=1,Supuestos!$D$40*Supuestos!$C$41,0)+IF(N5='Cartera 60M'!$C$18,Supuestos!$D$40*(1-Supuestos!$C$41),0)</f>
        <v>0</v>
      </c>
      <c r="O22" s="19" t="n">
        <f aca="false">IF(O5=1,Supuestos!$D$40*Supuestos!$C$41,0)+IF(O5='Cartera 60M'!$C$18,Supuestos!$D$40*(1-Supuestos!$C$41),0)</f>
        <v>0</v>
      </c>
      <c r="P22" s="19" t="n">
        <f aca="false">IF(P5=1,Supuestos!$D$40*Supuestos!$C$41,0)+IF(P5='Cartera 60M'!$C$18,Supuestos!$D$40*(1-Supuestos!$C$41),0)</f>
        <v>0</v>
      </c>
      <c r="Q22" s="19" t="n">
        <f aca="false">IF(Q5=1,Supuestos!$D$40*Supuestos!$C$41,0)+IF(Q5='Cartera 60M'!$C$18,Supuestos!$D$40*(1-Supuestos!$C$41),0)</f>
        <v>0</v>
      </c>
      <c r="R22" s="19" t="n">
        <f aca="false">IF(R5=1,Supuestos!$D$40*Supuestos!$C$41,0)+IF(R5='Cartera 60M'!$C$18,Supuestos!$D$40*(1-Supuestos!$C$41),0)</f>
        <v>0</v>
      </c>
      <c r="S22" s="19" t="n">
        <f aca="false">IF(S5=1,Supuestos!$D$40*Supuestos!$C$41,0)+IF(S5='Cartera 60M'!$C$18,Supuestos!$D$40*(1-Supuestos!$C$41),0)</f>
        <v>0</v>
      </c>
      <c r="T22" s="19" t="n">
        <f aca="false">IF(T5=1,Supuestos!$D$40*Supuestos!$C$41,0)+IF(T5='Cartera 60M'!$C$18,Supuestos!$D$40*(1-Supuestos!$C$41),0)</f>
        <v>0</v>
      </c>
      <c r="U22" s="19" t="n">
        <f aca="false">IF(U5=1,Supuestos!$D$40*Supuestos!$C$41,0)+IF(U5='Cartera 60M'!$C$18,Supuestos!$D$40*(1-Supuestos!$C$41),0)</f>
        <v>0</v>
      </c>
      <c r="V22" s="19" t="n">
        <f aca="false">IF(V5=1,Supuestos!$D$40*Supuestos!$C$41,0)+IF(V5='Cartera 60M'!$C$18,Supuestos!$D$40*(1-Supuestos!$C$41),0)</f>
        <v>0</v>
      </c>
      <c r="W22" s="19" t="n">
        <f aca="false">IF(W5=1,Supuestos!$D$40*Supuestos!$C$41,0)+IF(W5='Cartera 60M'!$C$18,Supuestos!$D$40*(1-Supuestos!$C$41),0)</f>
        <v>0</v>
      </c>
      <c r="X22" s="19" t="n">
        <f aca="false">IF(X5=1,Supuestos!$D$40*Supuestos!$C$41,0)+IF(X5='Cartera 60M'!$C$18,Supuestos!$D$40*(1-Supuestos!$C$41),0)</f>
        <v>0</v>
      </c>
      <c r="Y22" s="19" t="n">
        <f aca="false">IF(Y5=1,Supuestos!$D$40*Supuestos!$C$41,0)+IF(Y5='Cartera 60M'!$C$18,Supuestos!$D$40*(1-Supuestos!$C$41),0)</f>
        <v>0</v>
      </c>
      <c r="Z22" s="19" t="n">
        <f aca="false">IF(Z5=1,Supuestos!$D$40*Supuestos!$C$41,0)+IF(Z5='Cartera 60M'!$C$18,Supuestos!$D$40*(1-Supuestos!$C$41),0)</f>
        <v>0</v>
      </c>
      <c r="AA22" s="19" t="n">
        <f aca="false">IF(AA5=1,Supuestos!$D$40*Supuestos!$C$41,0)+IF(AA5='Cartera 60M'!$C$18,Supuestos!$D$40*(1-Supuestos!$C$41),0)</f>
        <v>0</v>
      </c>
      <c r="AB22" s="19" t="n">
        <f aca="false">IF(AB5=1,Supuestos!$D$40*Supuestos!$C$41,0)+IF(AB5='Cartera 60M'!$C$18,Supuestos!$D$40*(1-Supuestos!$C$41),0)</f>
        <v>0</v>
      </c>
      <c r="AC22" s="19" t="n">
        <f aca="false">IF(AC5=1,Supuestos!$D$40*Supuestos!$C$41,0)+IF(AC5='Cartera 60M'!$C$18,Supuestos!$D$40*(1-Supuestos!$C$41),0)</f>
        <v>0</v>
      </c>
      <c r="AD22" s="19" t="n">
        <f aca="false">IF(AD5=1,Supuestos!$D$40*Supuestos!$C$41,0)+IF(AD5='Cartera 60M'!$C$18,Supuestos!$D$40*(1-Supuestos!$C$41),0)</f>
        <v>0</v>
      </c>
      <c r="AE22" s="19" t="n">
        <f aca="false">IF(AE5=1,Supuestos!$D$40*Supuestos!$C$41,0)+IF(AE5='Cartera 60M'!$C$18,Supuestos!$D$40*(1-Supuestos!$C$41),0)</f>
        <v>0</v>
      </c>
      <c r="AF22" s="19" t="n">
        <f aca="false">IF(AF5=1,Supuestos!$D$40*Supuestos!$C$41,0)+IF(AF5='Cartera 60M'!$C$18,Supuestos!$D$40*(1-Supuestos!$C$41),0)</f>
        <v>0</v>
      </c>
      <c r="AG22" s="19" t="n">
        <f aca="false">IF(AG5=1,Supuestos!$D$40*Supuestos!$C$41,0)+IF(AG5='Cartera 60M'!$C$18,Supuestos!$D$40*(1-Supuestos!$C$41),0)</f>
        <v>0</v>
      </c>
      <c r="AH22" s="19" t="n">
        <f aca="false">IF(AH5=1,Supuestos!$D$40*Supuestos!$C$41,0)+IF(AH5='Cartera 60M'!$C$18,Supuestos!$D$40*(1-Supuestos!$C$41),0)</f>
        <v>0</v>
      </c>
      <c r="AI22" s="19" t="n">
        <f aca="false">IF(AI5=1,Supuestos!$D$40*Supuestos!$C$41,0)+IF(AI5='Cartera 60M'!$C$18,Supuestos!$D$40*(1-Supuestos!$C$41),0)</f>
        <v>0</v>
      </c>
      <c r="AJ22" s="19" t="n">
        <f aca="false">IF(AJ5=1,Supuestos!$D$40*Supuestos!$C$41,0)+IF(AJ5='Cartera 60M'!$C$18,Supuestos!$D$40*(1-Supuestos!$C$41),0)</f>
        <v>0</v>
      </c>
      <c r="AK22" s="19" t="n">
        <f aca="false">IF(AK5=1,Supuestos!$D$40*Supuestos!$C$41,0)+IF(AK5='Cartera 60M'!$C$18,Supuestos!$D$40*(1-Supuestos!$C$41),0)</f>
        <v>0</v>
      </c>
      <c r="AL22" s="19" t="n">
        <f aca="false">IF(AL5=1,Supuestos!$D$40*Supuestos!$C$41,0)+IF(AL5='Cartera 60M'!$C$18,Supuestos!$D$40*(1-Supuestos!$C$41),0)</f>
        <v>0</v>
      </c>
      <c r="AM22" s="19" t="n">
        <f aca="false">IF(AM5=1,Supuestos!$D$40*Supuestos!$C$41,0)+IF(AM5='Cartera 60M'!$C$18,Supuestos!$D$40*(1-Supuestos!$C$41),0)</f>
        <v>0</v>
      </c>
      <c r="AN22" s="19" t="n">
        <f aca="false">IF(AN5=1,Supuestos!$D$40*Supuestos!$C$41,0)+IF(AN5='Cartera 60M'!$C$18,Supuestos!$D$40*(1-Supuestos!$C$41),0)</f>
        <v>0</v>
      </c>
      <c r="AO22" s="19" t="n">
        <f aca="false">IF(AO5=1,Supuestos!$D$40*Supuestos!$C$41,0)+IF(AO5='Cartera 60M'!$C$18,Supuestos!$D$40*(1-Supuestos!$C$41),0)</f>
        <v>0</v>
      </c>
      <c r="AP22" s="19" t="n">
        <f aca="false">IF(AP5=1,Supuestos!$D$40*Supuestos!$C$41,0)+IF(AP5='Cartera 60M'!$C$18,Supuestos!$D$40*(1-Supuestos!$C$41),0)</f>
        <v>0</v>
      </c>
      <c r="AQ22" s="19" t="n">
        <f aca="false">IF(AQ5=1,Supuestos!$D$40*Supuestos!$C$41,0)+IF(AQ5='Cartera 60M'!$C$18,Supuestos!$D$40*(1-Supuestos!$C$41),0)</f>
        <v>0</v>
      </c>
      <c r="AR22" s="19" t="n">
        <f aca="false">IF(AR5=1,Supuestos!$D$40*Supuestos!$C$41,0)+IF(AR5='Cartera 60M'!$C$18,Supuestos!$D$40*(1-Supuestos!$C$41),0)</f>
        <v>0</v>
      </c>
      <c r="AS22" s="19" t="n">
        <f aca="false">IF(AS5=1,Supuestos!$D$40*Supuestos!$C$41,0)+IF(AS5='Cartera 60M'!$C$18,Supuestos!$D$40*(1-Supuestos!$C$41),0)</f>
        <v>0</v>
      </c>
      <c r="AT22" s="19" t="n">
        <f aca="false">IF(AT5=1,Supuestos!$D$40*Supuestos!$C$41,0)+IF(AT5='Cartera 60M'!$C$18,Supuestos!$D$40*(1-Supuestos!$C$41),0)</f>
        <v>0</v>
      </c>
      <c r="AU22" s="19" t="n">
        <f aca="false">IF(AU5=1,Supuestos!$D$40*Supuestos!$C$41,0)+IF(AU5='Cartera 60M'!$C$18,Supuestos!$D$40*(1-Supuestos!$C$41),0)</f>
        <v>0</v>
      </c>
      <c r="AV22" s="19" t="n">
        <f aca="false">IF(AV5=1,Supuestos!$D$40*Supuestos!$C$41,0)+IF(AV5='Cartera 60M'!$C$18,Supuestos!$D$40*(1-Supuestos!$C$41),0)</f>
        <v>0</v>
      </c>
      <c r="AW22" s="19" t="n">
        <f aca="false">IF(AW5=1,Supuestos!$D$40*Supuestos!$C$41,0)+IF(AW5='Cartera 60M'!$C$18,Supuestos!$D$40*(1-Supuestos!$C$41),0)</f>
        <v>0</v>
      </c>
      <c r="AX22" s="19" t="n">
        <f aca="false">IF(AX5=1,Supuestos!$D$40*Supuestos!$C$41,0)+IF(AX5='Cartera 60M'!$C$18,Supuestos!$D$40*(1-Supuestos!$C$41),0)</f>
        <v>0</v>
      </c>
      <c r="AY22" s="19" t="n">
        <f aca="false">IF(AY5=1,Supuestos!$D$40*Supuestos!$C$41,0)+IF(AY5='Cartera 60M'!$C$18,Supuestos!$D$40*(1-Supuestos!$C$41),0)</f>
        <v>0</v>
      </c>
      <c r="AZ22" s="19" t="n">
        <f aca="false">IF(AZ5=1,Supuestos!$D$40*Supuestos!$C$41,0)+IF(AZ5='Cartera 60M'!$C$18,Supuestos!$D$40*(1-Supuestos!$C$41),0)</f>
        <v>0</v>
      </c>
      <c r="BA22" s="19" t="n">
        <f aca="false">IF(BA5=1,Supuestos!$D$40*Supuestos!$C$41,0)+IF(BA5='Cartera 60M'!$C$18,Supuestos!$D$40*(1-Supuestos!$C$41),0)</f>
        <v>0</v>
      </c>
      <c r="BB22" s="19" t="n">
        <f aca="false">IF(BB5=1,Supuestos!$D$40*Supuestos!$C$41,0)+IF(BB5='Cartera 60M'!$C$18,Supuestos!$D$40*(1-Supuestos!$C$41),0)</f>
        <v>0</v>
      </c>
      <c r="BC22" s="19" t="n">
        <f aca="false">IF(BC5=1,Supuestos!$D$40*Supuestos!$C$41,0)+IF(BC5='Cartera 60M'!$C$18,Supuestos!$D$40*(1-Supuestos!$C$41),0)</f>
        <v>0</v>
      </c>
      <c r="BD22" s="19" t="n">
        <f aca="false">IF(BD5=1,Supuestos!$D$40*Supuestos!$C$41,0)+IF(BD5='Cartera 60M'!$C$18,Supuestos!$D$40*(1-Supuestos!$C$41),0)</f>
        <v>0</v>
      </c>
      <c r="BE22" s="19" t="n">
        <f aca="false">IF(BE5=1,Supuestos!$D$40*Supuestos!$C$41,0)+IF(BE5='Cartera 60M'!$C$18,Supuestos!$D$40*(1-Supuestos!$C$41),0)</f>
        <v>0</v>
      </c>
      <c r="BF22" s="19" t="n">
        <f aca="false">IF(BF5=1,Supuestos!$D$40*Supuestos!$C$41,0)+IF(BF5='Cartera 60M'!$C$18,Supuestos!$D$40*(1-Supuestos!$C$41),0)</f>
        <v>0</v>
      </c>
      <c r="BG22" s="19" t="n">
        <f aca="false">IF(BG5=1,Supuestos!$D$40*Supuestos!$C$41,0)+IF(BG5='Cartera 60M'!$C$18,Supuestos!$D$40*(1-Supuestos!$C$41),0)</f>
        <v>0</v>
      </c>
      <c r="BH22" s="19" t="n">
        <f aca="false">IF(BH5=1,Supuestos!$D$40*Supuestos!$C$41,0)+IF(BH5='Cartera 60M'!$C$18,Supuestos!$D$40*(1-Supuestos!$C$41),0)</f>
        <v>0</v>
      </c>
      <c r="BI22" s="19" t="n">
        <f aca="false">IF(BI5=1,Supuestos!$D$40*Supuestos!$C$41,0)+IF(BI5='Cartera 60M'!$C$18,Supuestos!$D$40*(1-Supuestos!$C$41),0)</f>
        <v>0</v>
      </c>
      <c r="BJ22" s="19" t="n">
        <f aca="false">IF(BJ5=1,Supuestos!$D$40*Supuestos!$C$41,0)+IF(BJ5='Cartera 60M'!$C$18,Supuestos!$D$40*(1-Supuestos!$C$41),0)</f>
        <v>0</v>
      </c>
    </row>
    <row r="23" customFormat="false" ht="15" hidden="false" customHeight="false" outlineLevel="0" collapsed="false">
      <c r="A23" s="1"/>
      <c r="B23" s="23" t="s">
        <v>212</v>
      </c>
      <c r="C23" s="22" t="n">
        <f aca="false">SUM(C18:C22)</f>
        <v>159016.795971378</v>
      </c>
      <c r="D23" s="22" t="n">
        <f aca="false">SUM(D18:D22)</f>
        <v>76722.9707786051</v>
      </c>
      <c r="E23" s="22" t="n">
        <f aca="false">SUM(E18:E22)</f>
        <v>150285.51480583</v>
      </c>
      <c r="F23" s="22" t="n">
        <f aca="false">SUM(F18:F22)</f>
        <v>234290.099181862</v>
      </c>
      <c r="G23" s="22" t="n">
        <f aca="false">SUM(G18:G22)</f>
        <v>455056.014496767</v>
      </c>
      <c r="H23" s="22" t="n">
        <f aca="false">SUM(H18:H22)</f>
        <v>428870.081831838</v>
      </c>
      <c r="I23" s="22" t="n">
        <f aca="false">SUM(I18:I22)</f>
        <v>552914.157833791</v>
      </c>
      <c r="J23" s="22" t="n">
        <f aca="false">SUM(J18:J22)</f>
        <v>681529.513716225</v>
      </c>
      <c r="K23" s="22" t="n">
        <f aca="false">SUM(K18:K22)</f>
        <v>813456.656656328</v>
      </c>
      <c r="L23" s="22" t="n">
        <f aca="false">SUM(L18:L22)</f>
        <v>947229.120278658</v>
      </c>
      <c r="M23" s="22" t="n">
        <f aca="false">SUM(M18:M22)</f>
        <v>1097185.84586814</v>
      </c>
      <c r="N23" s="22" t="n">
        <f aca="false">SUM(N18:N22)</f>
        <v>1245075.43410413</v>
      </c>
      <c r="O23" s="22" t="n">
        <f aca="false">SUM(O18:O22)</f>
        <v>1386719.0397185</v>
      </c>
      <c r="P23" s="22" t="n">
        <f aca="false">SUM(P18:P22)</f>
        <v>1524696.16169437</v>
      </c>
      <c r="Q23" s="22" t="n">
        <f aca="false">SUM(Q18:Q22)</f>
        <v>1673295.97173169</v>
      </c>
      <c r="R23" s="22" t="n">
        <f aca="false">SUM(R18:R22)</f>
        <v>1818422.93125214</v>
      </c>
      <c r="S23" s="22" t="n">
        <f aca="false">SUM(S18:S22)</f>
        <v>1960066.53686651</v>
      </c>
      <c r="T23" s="22" t="n">
        <f aca="false">SUM(T18:T22)</f>
        <v>2113802.05682807</v>
      </c>
      <c r="U23" s="22" t="n">
        <f aca="false">SUM(U18:U22)</f>
        <v>2261367.35729047</v>
      </c>
      <c r="V23" s="22" t="n">
        <f aca="false">SUM(V18:V22)</f>
        <v>2405431.35822269</v>
      </c>
      <c r="W23" s="22" t="n">
        <f aca="false">SUM(W18:W22)</f>
        <v>2545982.77388766</v>
      </c>
      <c r="X23" s="22" t="n">
        <f aca="false">SUM(X18:X22)</f>
        <v>2698596.06867621</v>
      </c>
      <c r="Y23" s="22" t="n">
        <f aca="false">SUM(Y18:Y22)</f>
        <v>2845008.28277333</v>
      </c>
      <c r="Z23" s="22" t="n">
        <f aca="false">SUM(Z18:Z22)</f>
        <v>2987972.48746524</v>
      </c>
      <c r="AA23" s="22" t="n">
        <f aca="false">SUM(AA18:AA22)</f>
        <v>3127306.52499327</v>
      </c>
      <c r="AB23" s="22" t="n">
        <f aca="false">SUM(AB18:AB22)</f>
        <v>3278668.96374613</v>
      </c>
      <c r="AC23" s="22" t="n">
        <f aca="false">SUM(AC18:AC22)</f>
        <v>3423795.92326658</v>
      </c>
      <c r="AD23" s="22" t="n">
        <f aca="false">SUM(AD18:AD22)</f>
        <v>3565439.52888095</v>
      </c>
      <c r="AE23" s="22" t="n">
        <f aca="false">SUM(AE18:AE22)</f>
        <v>3719175.04884252</v>
      </c>
      <c r="AF23" s="22" t="n">
        <f aca="false">SUM(AF18:AF22)</f>
        <v>3866740.34930492</v>
      </c>
      <c r="AG23" s="22" t="n">
        <f aca="false">SUM(AG18:AG22)</f>
        <v>4010804.35023714</v>
      </c>
      <c r="AH23" s="22" t="n">
        <f aca="false">SUM(AH18:AH22)</f>
        <v>4151355.7659021</v>
      </c>
      <c r="AI23" s="22" t="n">
        <f aca="false">SUM(AI18:AI22)</f>
        <v>4303969.06069065</v>
      </c>
      <c r="AJ23" s="22" t="n">
        <f aca="false">SUM(AJ18:AJ22)</f>
        <v>4450381.27478778</v>
      </c>
      <c r="AK23" s="22" t="n">
        <f aca="false">SUM(AK18:AK22)</f>
        <v>4593345.47947968</v>
      </c>
      <c r="AL23" s="22" t="n">
        <f aca="false">SUM(AL18:AL22)</f>
        <v>4732679.51700772</v>
      </c>
      <c r="AM23" s="22" t="n">
        <f aca="false">SUM(AM18:AM22)</f>
        <v>4884041.95576058</v>
      </c>
      <c r="AN23" s="22" t="n">
        <f aca="false">SUM(AN18:AN22)</f>
        <v>5029168.91528103</v>
      </c>
      <c r="AO23" s="22" t="n">
        <f aca="false">SUM(AO18:AO22)</f>
        <v>5170812.52089541</v>
      </c>
      <c r="AP23" s="22" t="n">
        <f aca="false">SUM(AP18:AP22)</f>
        <v>5308789.64287128</v>
      </c>
      <c r="AQ23" s="22" t="n">
        <f aca="false">SUM(AQ18:AQ22)</f>
        <v>5457389.4529086</v>
      </c>
      <c r="AR23" s="22" t="n">
        <f aca="false">SUM(AR18:AR22)</f>
        <v>5602516.41242906</v>
      </c>
      <c r="AS23" s="22" t="n">
        <f aca="false">SUM(AS18:AS22)</f>
        <v>5744160.01804343</v>
      </c>
      <c r="AT23" s="22" t="n">
        <f aca="false">SUM(AT18:AT22)</f>
        <v>5897895.53800499</v>
      </c>
      <c r="AU23" s="22" t="n">
        <f aca="false">SUM(AU18:AU22)</f>
        <v>6045460.8384674</v>
      </c>
      <c r="AV23" s="22" t="n">
        <f aca="false">SUM(AV18:AV22)</f>
        <v>6189524.83939962</v>
      </c>
      <c r="AW23" s="22" t="n">
        <f aca="false">SUM(AW18:AW22)</f>
        <v>6330076.25506459</v>
      </c>
      <c r="AX23" s="22" t="n">
        <f aca="false">SUM(AX18:AX22)</f>
        <v>6482689.54985314</v>
      </c>
      <c r="AY23" s="22" t="n">
        <f aca="false">SUM(AY18:AY22)</f>
        <v>6613343.36596458</v>
      </c>
      <c r="AZ23" s="22" t="n">
        <f aca="false">SUM(AZ18:AZ22)</f>
        <v>6725825.28426003</v>
      </c>
      <c r="BA23" s="22" t="n">
        <f aca="false">SUM(BA18:BA22)</f>
        <v>6821016.10556907</v>
      </c>
      <c r="BB23" s="22" t="n">
        <f aca="false">SUM(BB18:BB22)</f>
        <v>6899908.19024411</v>
      </c>
      <c r="BC23" s="22" t="n">
        <f aca="false">SUM(BC18:BC22)</f>
        <v>6962152.79056155</v>
      </c>
      <c r="BD23" s="22" t="n">
        <f aca="false">SUM(BD18:BD22)</f>
        <v>7011683.56722629</v>
      </c>
      <c r="BE23" s="22" t="n">
        <f aca="false">SUM(BE18:BE22)</f>
        <v>7049446.41810742</v>
      </c>
      <c r="BF23" s="22" t="n">
        <f aca="false">SUM(BF18:BF22)</f>
        <v>7075219.53027971</v>
      </c>
      <c r="BG23" s="22" t="n">
        <f aca="false">SUM(BG18:BG22)</f>
        <v>7092981.98995343</v>
      </c>
      <c r="BH23" s="22" t="n">
        <f aca="false">SUM(BH18:BH22)</f>
        <v>7103983.70720437</v>
      </c>
      <c r="BI23" s="22" t="n">
        <f aca="false">SUM(BI18:BI22)</f>
        <v>7109508.96463545</v>
      </c>
      <c r="BJ23" s="22" t="n">
        <f aca="false">SUM(BJ18:BJ22)</f>
        <v>7109508.96463546</v>
      </c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customFormat="false" ht="15" hidden="false" customHeight="false" outlineLevel="0" collapsed="false">
      <c r="A25" s="1"/>
      <c r="B25" s="23" t="s">
        <v>213</v>
      </c>
      <c r="C25" s="20" t="n">
        <f aca="false">C15-C23</f>
        <v>19483.2040286222</v>
      </c>
      <c r="D25" s="20" t="n">
        <f aca="false">D15-D23</f>
        <v>273630.860659676</v>
      </c>
      <c r="E25" s="20" t="n">
        <f aca="false">E15-E23</f>
        <v>496415.750592707</v>
      </c>
      <c r="F25" s="20" t="n">
        <f aca="false">F15-F23</f>
        <v>692858.358206542</v>
      </c>
      <c r="G25" s="20" t="n">
        <f aca="false">G15-G23</f>
        <v>778274.676976069</v>
      </c>
      <c r="H25" s="20" t="n">
        <f aca="false">H15-H23</f>
        <v>1132920.64019674</v>
      </c>
      <c r="I25" s="20" t="n">
        <f aca="false">I15-I23</f>
        <v>1445312.07134393</v>
      </c>
      <c r="J25" s="20" t="n">
        <f aca="false">J15-J23</f>
        <v>1720259.60624865</v>
      </c>
      <c r="K25" s="20" t="n">
        <f aca="false">K15-K23</f>
        <v>2000191.2815029</v>
      </c>
      <c r="L25" s="20" t="n">
        <f aca="false">L15-L23</f>
        <v>2282636.74220495</v>
      </c>
      <c r="M25" s="20" t="n">
        <f aca="false">M15-M23</f>
        <v>2638461.9632076</v>
      </c>
      <c r="N25" s="20" t="n">
        <f aca="false">N15-N23</f>
        <v>2944563.93588214</v>
      </c>
      <c r="O25" s="20" t="n">
        <f aca="false">O15-O23</f>
        <v>3239769.81060958</v>
      </c>
      <c r="P25" s="20" t="n">
        <f aca="false">P15-P23</f>
        <v>3528193.64047204</v>
      </c>
      <c r="Q25" s="20" t="n">
        <f aca="false">Q15-Q23</f>
        <v>3881508.91923571</v>
      </c>
      <c r="R25" s="20" t="n">
        <f aca="false">R15-R23</f>
        <v>4183400.32424539</v>
      </c>
      <c r="S25" s="20" t="n">
        <f aca="false">S15-S23</f>
        <v>4478606.19897283</v>
      </c>
      <c r="T25" s="20" t="n">
        <f aca="false">T15-T23</f>
        <v>4840521.6308496</v>
      </c>
      <c r="U25" s="20" t="n">
        <f aca="false">U15-U23</f>
        <v>5146923.33490733</v>
      </c>
      <c r="V25" s="20" t="n">
        <f aca="false">V15-V23</f>
        <v>5446848.54190666</v>
      </c>
      <c r="W25" s="20" t="n">
        <f aca="false">W15-W23</f>
        <v>5740034.14817846</v>
      </c>
      <c r="X25" s="20" t="n">
        <f aca="false">X15-X23</f>
        <v>6099873.75421706</v>
      </c>
      <c r="Y25" s="20" t="n">
        <f aca="false">Y15-Y23</f>
        <v>6404142.54722608</v>
      </c>
      <c r="Z25" s="20" t="n">
        <f aca="false">Z15-Z23</f>
        <v>6701791.18812285</v>
      </c>
      <c r="AA25" s="20" t="n">
        <f aca="false">AA15-AA23</f>
        <v>6992724.96022428</v>
      </c>
      <c r="AB25" s="20" t="n">
        <f aca="false">AB15-AB23</f>
        <v>7350250.80665281</v>
      </c>
      <c r="AC25" s="20" t="n">
        <f aca="false">AC15-AC23</f>
        <v>7652142.21166249</v>
      </c>
      <c r="AD25" s="20" t="n">
        <f aca="false">AD15-AD23</f>
        <v>7947348.08638994</v>
      </c>
      <c r="AE25" s="20" t="n">
        <f aca="false">AE15-AE23</f>
        <v>8309263.5182667</v>
      </c>
      <c r="AF25" s="20" t="n">
        <f aca="false">AF15-AF23</f>
        <v>8615665.22232444</v>
      </c>
      <c r="AG25" s="20" t="n">
        <f aca="false">AG15-AG23</f>
        <v>8915590.42932376</v>
      </c>
      <c r="AH25" s="20" t="n">
        <f aca="false">AH15-AH23</f>
        <v>9208776.03559557</v>
      </c>
      <c r="AI25" s="20" t="n">
        <f aca="false">AI15-AI23</f>
        <v>9568615.64163417</v>
      </c>
      <c r="AJ25" s="20" t="n">
        <f aca="false">AJ15-AJ23</f>
        <v>9872884.43464319</v>
      </c>
      <c r="AK25" s="20" t="n">
        <f aca="false">AK15-AK23</f>
        <v>10170533.07554</v>
      </c>
      <c r="AL25" s="20" t="n">
        <f aca="false">AL15-AL23</f>
        <v>10461466.8476414</v>
      </c>
      <c r="AM25" s="20" t="n">
        <f aca="false">AM15-AM23</f>
        <v>10818992.6940699</v>
      </c>
      <c r="AN25" s="20" t="n">
        <f aca="false">AN15-AN23</f>
        <v>11120884.0990796</v>
      </c>
      <c r="AO25" s="20" t="n">
        <f aca="false">AO15-AO23</f>
        <v>11416089.9738071</v>
      </c>
      <c r="AP25" s="20" t="n">
        <f aca="false">AP15-AP23</f>
        <v>11704513.8036695</v>
      </c>
      <c r="AQ25" s="20" t="n">
        <f aca="false">AQ15-AQ23</f>
        <v>12057829.0824332</v>
      </c>
      <c r="AR25" s="20" t="n">
        <f aca="false">AR15-AR23</f>
        <v>12359720.4874429</v>
      </c>
      <c r="AS25" s="20" t="n">
        <f aca="false">AS15-AS23</f>
        <v>12654926.3621703</v>
      </c>
      <c r="AT25" s="20" t="n">
        <f aca="false">AT15-AT23</f>
        <v>13016841.7940471</v>
      </c>
      <c r="AU25" s="20" t="n">
        <f aca="false">AU15-AU23</f>
        <v>13323243.4981048</v>
      </c>
      <c r="AV25" s="20" t="n">
        <f aca="false">AV15-AV23</f>
        <v>13623168.7051042</v>
      </c>
      <c r="AW25" s="20" t="n">
        <f aca="false">AW15-AW23</f>
        <v>13916354.311376</v>
      </c>
      <c r="AX25" s="20" t="n">
        <f aca="false">AX15-AX23</f>
        <v>14276193.9174146</v>
      </c>
      <c r="AY25" s="20" t="n">
        <f aca="false">AY15-AY23</f>
        <v>14506971.1084093</v>
      </c>
      <c r="AZ25" s="20" t="n">
        <f aca="false">AZ15-AZ23</f>
        <v>14704550.1199834</v>
      </c>
      <c r="BA25" s="20" t="n">
        <f aca="false">BA15-BA23</f>
        <v>14870802.4334641</v>
      </c>
      <c r="BB25" s="20" t="n">
        <f aca="false">BB15-BB23</f>
        <v>15007563.6584153</v>
      </c>
      <c r="BC25" s="20" t="n">
        <f aca="false">BC15-BC23</f>
        <v>15115088.2816493</v>
      </c>
      <c r="BD25" s="20" t="n">
        <f aca="false">BD15-BD23</f>
        <v>15199510.7486559</v>
      </c>
      <c r="BE25" s="20" t="n">
        <f aca="false">BE15-BE23</f>
        <v>15263065.1814003</v>
      </c>
      <c r="BF25" s="20" t="n">
        <f aca="false">BF15-BF23</f>
        <v>15306240.8631871</v>
      </c>
      <c r="BG25" s="20" t="n">
        <f aca="false">BG15-BG23</f>
        <v>15335498.4929022</v>
      </c>
      <c r="BH25" s="20" t="n">
        <f aca="false">BH15-BH23</f>
        <v>15353150.0803747</v>
      </c>
      <c r="BI25" s="20" t="n">
        <f aca="false">BI15-BI23</f>
        <v>15361571.2157044</v>
      </c>
      <c r="BJ25" s="20" t="n">
        <f aca="false">BJ15-BJ23</f>
        <v>15361571.2157045</v>
      </c>
    </row>
    <row r="26" customFormat="false" ht="15" hidden="false" customHeight="false" outlineLevel="0" collapsed="false">
      <c r="A26" s="1"/>
      <c r="B26" s="23" t="s">
        <v>214</v>
      </c>
      <c r="C26" s="20" t="n">
        <f aca="false">C25</f>
        <v>19483.2040286222</v>
      </c>
      <c r="D26" s="20" t="n">
        <f aca="false">C26+D25</f>
        <v>293114.064688298</v>
      </c>
      <c r="E26" s="20" t="n">
        <f aca="false">D26+E25</f>
        <v>789529.815281006</v>
      </c>
      <c r="F26" s="20" t="n">
        <f aca="false">E26+F25</f>
        <v>1482388.17348755</v>
      </c>
      <c r="G26" s="20" t="n">
        <f aca="false">F26+G25</f>
        <v>2260662.85046362</v>
      </c>
      <c r="H26" s="20" t="n">
        <f aca="false">G26+H25</f>
        <v>3393583.49066035</v>
      </c>
      <c r="I26" s="20" t="n">
        <f aca="false">H26+I25</f>
        <v>4838895.56200428</v>
      </c>
      <c r="J26" s="20" t="n">
        <f aca="false">I26+J25</f>
        <v>6559155.16825294</v>
      </c>
      <c r="K26" s="20" t="n">
        <f aca="false">J26+K25</f>
        <v>8559346.44975583</v>
      </c>
      <c r="L26" s="20" t="n">
        <f aca="false">K26+L25</f>
        <v>10841983.1919608</v>
      </c>
      <c r="M26" s="20" t="n">
        <f aca="false">L26+M25</f>
        <v>13480445.1551684</v>
      </c>
      <c r="N26" s="20" t="n">
        <f aca="false">M26+N25</f>
        <v>16425009.0910505</v>
      </c>
      <c r="O26" s="20" t="n">
        <f aca="false">N26+O25</f>
        <v>19664778.9016601</v>
      </c>
      <c r="P26" s="20" t="n">
        <f aca="false">O26+P25</f>
        <v>23192972.5421321</v>
      </c>
      <c r="Q26" s="20" t="n">
        <f aca="false">P26+Q25</f>
        <v>27074481.4613679</v>
      </c>
      <c r="R26" s="20" t="n">
        <f aca="false">Q26+R25</f>
        <v>31257881.7856132</v>
      </c>
      <c r="S26" s="20" t="n">
        <f aca="false">R26+S25</f>
        <v>35736487.9845861</v>
      </c>
      <c r="T26" s="20" t="n">
        <f aca="false">S26+T25</f>
        <v>40577009.6154357</v>
      </c>
      <c r="U26" s="20" t="n">
        <f aca="false">T26+U25</f>
        <v>45723932.950343</v>
      </c>
      <c r="V26" s="20" t="n">
        <f aca="false">U26+V25</f>
        <v>51170781.4922497</v>
      </c>
      <c r="W26" s="20" t="n">
        <f aca="false">V26+W25</f>
        <v>56910815.6404281</v>
      </c>
      <c r="X26" s="20" t="n">
        <f aca="false">W26+X25</f>
        <v>63010689.3946452</v>
      </c>
      <c r="Y26" s="20" t="n">
        <f aca="false">X26+Y25</f>
        <v>69414831.9418713</v>
      </c>
      <c r="Z26" s="20" t="n">
        <f aca="false">Y26+Z25</f>
        <v>76116623.1299941</v>
      </c>
      <c r="AA26" s="20" t="n">
        <f aca="false">Z26+AA25</f>
        <v>83109348.0902184</v>
      </c>
      <c r="AB26" s="20" t="n">
        <f aca="false">AA26+AB25</f>
        <v>90459598.8968712</v>
      </c>
      <c r="AC26" s="20" t="n">
        <f aca="false">AB26+AC25</f>
        <v>98111741.1085337</v>
      </c>
      <c r="AD26" s="20" t="n">
        <f aca="false">AC26+AD25</f>
        <v>106059089.194924</v>
      </c>
      <c r="AE26" s="20" t="n">
        <f aca="false">AD26+AE25</f>
        <v>114368352.71319</v>
      </c>
      <c r="AF26" s="20" t="n">
        <f aca="false">AE26+AF25</f>
        <v>122984017.935515</v>
      </c>
      <c r="AG26" s="20" t="n">
        <f aca="false">AF26+AG25</f>
        <v>131899608.364839</v>
      </c>
      <c r="AH26" s="20" t="n">
        <f aca="false">AG26+AH25</f>
        <v>141108384.400434</v>
      </c>
      <c r="AI26" s="20" t="n">
        <f aca="false">AH26+AI25</f>
        <v>150677000.042068</v>
      </c>
      <c r="AJ26" s="20" t="n">
        <f aca="false">AI26+AJ25</f>
        <v>160549884.476711</v>
      </c>
      <c r="AK26" s="20" t="n">
        <f aca="false">AJ26+AK25</f>
        <v>170720417.552251</v>
      </c>
      <c r="AL26" s="20" t="n">
        <f aca="false">AK26+AL25</f>
        <v>181181884.399893</v>
      </c>
      <c r="AM26" s="20" t="n">
        <f aca="false">AL26+AM25</f>
        <v>192000877.093963</v>
      </c>
      <c r="AN26" s="20" t="n">
        <f aca="false">AM26+AN25</f>
        <v>203121761.193042</v>
      </c>
      <c r="AO26" s="20" t="n">
        <f aca="false">AN26+AO25</f>
        <v>214537851.166849</v>
      </c>
      <c r="AP26" s="20" t="n">
        <f aca="false">AO26+AP25</f>
        <v>226242364.970519</v>
      </c>
      <c r="AQ26" s="20" t="n">
        <f aca="false">AP26+AQ25</f>
        <v>238300194.052952</v>
      </c>
      <c r="AR26" s="20" t="n">
        <f aca="false">AQ26+AR25</f>
        <v>250659914.540395</v>
      </c>
      <c r="AS26" s="20" t="n">
        <f aca="false">AR26+AS25</f>
        <v>263314840.902565</v>
      </c>
      <c r="AT26" s="20" t="n">
        <f aca="false">AS26+AT25</f>
        <v>276331682.696612</v>
      </c>
      <c r="AU26" s="20" t="n">
        <f aca="false">AT26+AU25</f>
        <v>289654926.194717</v>
      </c>
      <c r="AV26" s="20" t="n">
        <f aca="false">AU26+AV25</f>
        <v>303278094.899821</v>
      </c>
      <c r="AW26" s="20" t="n">
        <f aca="false">AV26+AW25</f>
        <v>317194449.211197</v>
      </c>
      <c r="AX26" s="20" t="n">
        <f aca="false">AW26+AX25</f>
        <v>331470643.128612</v>
      </c>
      <c r="AY26" s="20" t="n">
        <f aca="false">AX26+AY25</f>
        <v>345977614.237021</v>
      </c>
      <c r="AZ26" s="20" t="n">
        <f aca="false">AY26+AZ25</f>
        <v>360682164.357005</v>
      </c>
      <c r="BA26" s="20" t="n">
        <f aca="false">AZ26+BA25</f>
        <v>375552966.790469</v>
      </c>
      <c r="BB26" s="20" t="n">
        <f aca="false">BA26+BB25</f>
        <v>390560530.448884</v>
      </c>
      <c r="BC26" s="20" t="n">
        <f aca="false">BB26+BC25</f>
        <v>405675618.730533</v>
      </c>
      <c r="BD26" s="20" t="n">
        <f aca="false">BC26+BD25</f>
        <v>420875129.479189</v>
      </c>
      <c r="BE26" s="20" t="n">
        <f aca="false">BD26+BE25</f>
        <v>436138194.66059</v>
      </c>
      <c r="BF26" s="20" t="n">
        <f aca="false">BE26+BF25</f>
        <v>451444435.523777</v>
      </c>
      <c r="BG26" s="20" t="n">
        <f aca="false">BF26+BG25</f>
        <v>466779934.016679</v>
      </c>
      <c r="BH26" s="20" t="n">
        <f aca="false">BG26+BH25</f>
        <v>482133084.097054</v>
      </c>
      <c r="BI26" s="20" t="n">
        <f aca="false">BH26+BI25</f>
        <v>497494655.312758</v>
      </c>
      <c r="BJ26" s="20" t="n">
        <f aca="false">BI26+BJ25</f>
        <v>512856226.528462</v>
      </c>
    </row>
    <row r="27" customFormat="false" ht="15" hidden="false" customHeight="false" outlineLevel="0" collapsed="false">
      <c r="A27" s="1"/>
      <c r="B27" s="7" t="s">
        <v>215</v>
      </c>
      <c r="C27" s="12" t="n">
        <f aca="false">IF(C15=0,0,C25/C15)</f>
        <v>0.109149602401245</v>
      </c>
      <c r="D27" s="12" t="n">
        <f aca="false">IF(D15=0,0,D25/D15)</f>
        <v>0.78101289640921</v>
      </c>
      <c r="E27" s="12" t="n">
        <f aca="false">IF(E15=0,0,E25/E15)</f>
        <v>0.767612152864406</v>
      </c>
      <c r="F27" s="12" t="n">
        <f aca="false">IF(F15=0,0,F25/F15)</f>
        <v>0.747300340830193</v>
      </c>
      <c r="G27" s="12" t="n">
        <f aca="false">IF(G15=0,0,G25/G15)</f>
        <v>0.631034873580141</v>
      </c>
      <c r="H27" s="12" t="n">
        <f aca="false">IF(H15=0,0,H25/H15)</f>
        <v>0.725398495596908</v>
      </c>
      <c r="I27" s="12" t="n">
        <f aca="false">IF(I15=0,0,I25/I15)</f>
        <v>0.723297517688316</v>
      </c>
      <c r="J27" s="12" t="n">
        <f aca="false">IF(J15=0,0,J25/J15)</f>
        <v>0.716240902229505</v>
      </c>
      <c r="K27" s="12" t="n">
        <f aca="false">IF(K15=0,0,K25/K15)</f>
        <v>0.710888968863491</v>
      </c>
      <c r="L27" s="12" t="n">
        <f aca="false">IF(L15=0,0,L25/L15)</f>
        <v>0.706728031253197</v>
      </c>
      <c r="M27" s="12" t="n">
        <f aca="false">IF(M15=0,0,M25/M15)</f>
        <v>0.706293017451343</v>
      </c>
      <c r="N27" s="12" t="n">
        <f aca="false">IF(N15=0,0,N25/N15)</f>
        <v>0.702820380430927</v>
      </c>
      <c r="O27" s="12" t="n">
        <f aca="false">IF(O15=0,0,O25/O15)</f>
        <v>0.700265344934278</v>
      </c>
      <c r="P27" s="12" t="n">
        <f aca="false">IF(P15=0,0,P25/P15)</f>
        <v>0.698252639303421</v>
      </c>
      <c r="Q27" s="12" t="n">
        <f aca="false">IF(Q15=0,0,Q25/Q15)</f>
        <v>0.698766022465953</v>
      </c>
      <c r="R27" s="12" t="n">
        <f aca="false">IF(R15=0,0,R25/R15)</f>
        <v>0.697021579303171</v>
      </c>
      <c r="S27" s="12" t="n">
        <f aca="false">IF(S15=0,0,S25/S15)</f>
        <v>0.695579101892186</v>
      </c>
      <c r="T27" s="12" t="n">
        <f aca="false">IF(T15=0,0,T25/T15)</f>
        <v>0.696044913673847</v>
      </c>
      <c r="U27" s="12" t="n">
        <f aca="false">IF(U15=0,0,U25/U15)</f>
        <v>0.694751805612585</v>
      </c>
      <c r="V27" s="12" t="n">
        <f aca="false">IF(V15=0,0,V25/V15)</f>
        <v>0.693664593109694</v>
      </c>
      <c r="W27" s="12" t="n">
        <f aca="false">IF(W15=0,0,W25/W15)</f>
        <v>0.692737439733249</v>
      </c>
      <c r="X27" s="12" t="n">
        <f aca="false">IF(X15=0,0,X25/X15)</f>
        <v>0.693288023599903</v>
      </c>
      <c r="Y27" s="12" t="n">
        <f aca="false">IF(Y15=0,0,Y25/Y15)</f>
        <v>0.692403298955228</v>
      </c>
      <c r="Z27" s="12" t="n">
        <f aca="false">IF(Z15=0,0,Z25/Z15)</f>
        <v>0.691636185617923</v>
      </c>
      <c r="AA27" s="12" t="n">
        <f aca="false">IF(AA15=0,0,AA25/AA15)</f>
        <v>0.690978577530972</v>
      </c>
      <c r="AB27" s="12" t="n">
        <f aca="false">IF(AB15=0,0,AB25/AB15)</f>
        <v>0.691533191088988</v>
      </c>
      <c r="AC27" s="12" t="n">
        <f aca="false">IF(AC15=0,0,AC25/AC15)</f>
        <v>0.690879826019495</v>
      </c>
      <c r="AD27" s="12" t="n">
        <f aca="false">IF(AD15=0,0,AD25/AD15)</f>
        <v>0.690306149298572</v>
      </c>
      <c r="AE27" s="12" t="n">
        <f aca="false">IF(AE15=0,0,AE25/AE15)</f>
        <v>0.690801509431798</v>
      </c>
      <c r="AF27" s="12" t="n">
        <f aca="false">IF(AF15=0,0,AF25/AF15)</f>
        <v>0.690224746575016</v>
      </c>
      <c r="AG27" s="12" t="n">
        <f aca="false">IF(AG15=0,0,AG25/AG15)</f>
        <v>0.689719800560402</v>
      </c>
      <c r="AH27" s="12" t="n">
        <f aca="false">IF(AH15=0,0,AH25/AH15)</f>
        <v>0.689272843443301</v>
      </c>
      <c r="AI27" s="12" t="n">
        <f aca="false">IF(AI15=0,0,AI25/AI15)</f>
        <v>0.689750024739847</v>
      </c>
      <c r="AJ27" s="12" t="n">
        <f aca="false">IF(AJ15=0,0,AJ25/AJ15)</f>
        <v>0.689290042852624</v>
      </c>
      <c r="AK27" s="12" t="n">
        <f aca="false">IF(AK15=0,0,AK25/AK15)</f>
        <v>0.688879486351642</v>
      </c>
      <c r="AL27" s="12" t="n">
        <f aca="false">IF(AL15=0,0,AL25/AL15)</f>
        <v>0.688519551975698</v>
      </c>
      <c r="AM27" s="12" t="n">
        <f aca="false">IF(AM15=0,0,AM25/AM15)</f>
        <v>0.688974643139229</v>
      </c>
      <c r="AN27" s="12" t="n">
        <f aca="false">IF(AN15=0,0,AN25/AN15)</f>
        <v>0.688597374212389</v>
      </c>
      <c r="AO27" s="12" t="n">
        <f aca="false">IF(AO15=0,0,AO25/AO15)</f>
        <v>0.688259304439339</v>
      </c>
      <c r="AP27" s="12" t="n">
        <f aca="false">IF(AP15=0,0,AP25/AP15)</f>
        <v>0.68796244306389</v>
      </c>
      <c r="AQ27" s="12" t="n">
        <f aca="false">IF(AQ15=0,0,AQ25/AQ15)</f>
        <v>0.688420133502942</v>
      </c>
      <c r="AR27" s="12" t="n">
        <f aca="false">IF(AR15=0,0,AR25/AR15)</f>
        <v>0.688094726527685</v>
      </c>
      <c r="AS27" s="12" t="n">
        <f aca="false">IF(AS15=0,0,AS25/AS15)</f>
        <v>0.687801888673089</v>
      </c>
      <c r="AT27" s="12" t="n">
        <f aca="false">IF(AT15=0,0,AT25/AT15)</f>
        <v>0.688185173578346</v>
      </c>
      <c r="AU27" s="12" t="n">
        <f aca="false">IF(AU15=0,0,AU25/AU15)</f>
        <v>0.687874793614755</v>
      </c>
      <c r="AV27" s="12" t="n">
        <f aca="false">IF(AV15=0,0,AV25/AV15)</f>
        <v>0.687598012582361</v>
      </c>
      <c r="AW27" s="12" t="n">
        <f aca="false">IF(AW15=0,0,AW25/AW15)</f>
        <v>0.687348531174824</v>
      </c>
      <c r="AX27" s="12" t="n">
        <f aca="false">IF(AX15=0,0,AX25/AX15)</f>
        <v>0.687714921658723</v>
      </c>
      <c r="AY27" s="12" t="n">
        <f aca="false">IF(AY15=0,0,AY25/AY15)</f>
        <v>0.686872874265731</v>
      </c>
      <c r="AZ27" s="12" t="n">
        <f aca="false">IF(AZ15=0,0,AZ25/AZ15)</f>
        <v>0.686154574645097</v>
      </c>
      <c r="BA27" s="12" t="n">
        <f aca="false">IF(BA15=0,0,BA25/BA15)</f>
        <v>0.685548904380929</v>
      </c>
      <c r="BB27" s="12" t="n">
        <f aca="false">IF(BB15=0,0,BB25/BB15)</f>
        <v>0.685043156147369</v>
      </c>
      <c r="BC27" s="12" t="n">
        <f aca="false">IF(BC15=0,0,BC25/BC15)</f>
        <v>0.684645705149953</v>
      </c>
      <c r="BD27" s="12" t="n">
        <f aca="false">IF(BD15=0,0,BD25/BD15)</f>
        <v>0.684317580247697</v>
      </c>
      <c r="BE27" s="12" t="n">
        <f aca="false">IF(BE15=0,0,BE25/BE15)</f>
        <v>0.684058588085487</v>
      </c>
      <c r="BF27" s="12" t="n">
        <f aca="false">IF(BF15=0,0,BF25/BF15)</f>
        <v>0.683880345343999</v>
      </c>
      <c r="BG27" s="12" t="n">
        <f aca="false">IF(BG15=0,0,BG25/BG15)</f>
        <v>0.683751112993351</v>
      </c>
      <c r="BH27" s="12" t="n">
        <f aca="false">IF(BH15=0,0,BH25/BH15)</f>
        <v>0.683664719888094</v>
      </c>
      <c r="BI27" s="12" t="n">
        <f aca="false">IF(BI15=0,0,BI25/BI15)</f>
        <v>0.683615166356996</v>
      </c>
      <c r="BJ27" s="12" t="n">
        <f aca="false">IF(BJ15=0,0,BJ25/BJ15)</f>
        <v>0.683615166356996</v>
      </c>
    </row>
    <row r="28" customFormat="false" ht="15" hidden="false" customHeight="false" outlineLevel="0" collapsed="false">
      <c r="A28" s="1"/>
      <c r="B28" s="6" t="s">
        <v>216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</row>
    <row r="29" customFormat="false" ht="15" hidden="false" customHeight="false" outlineLevel="0" collapsed="false">
      <c r="A29" s="1"/>
      <c r="B29" s="7" t="s">
        <v>217</v>
      </c>
      <c r="C29" s="19" t="n">
        <f aca="false">'Cartera 60M'!C76*Supuestos!$C$20*Supuestos!$C$33+C19+C20</f>
        <v>8566.79597137781</v>
      </c>
      <c r="D29" s="19" t="n">
        <f aca="false">'Cartera 60M'!D76*Supuestos!$C$20*Supuestos!$C$33+D19+D20</f>
        <v>21416.9899284445</v>
      </c>
      <c r="E29" s="19" t="n">
        <f aca="false">'Cartera 60M'!E76*Supuestos!$C$20*Supuestos!$C$33+E19+E20</f>
        <v>42833.979856889</v>
      </c>
      <c r="F29" s="19" t="n">
        <f aca="false">'Cartera 60M'!F76*Supuestos!$C$20*Supuestos!$C$33+F19+F20</f>
        <v>68534.3677710225</v>
      </c>
      <c r="G29" s="19" t="n">
        <f aca="false">'Cartera 60M'!G76*Supuestos!$C$20*Supuestos!$C$33+G19+G20</f>
        <v>98518.1536708448</v>
      </c>
      <c r="H29" s="19" t="n">
        <f aca="false">'Cartera 60M'!H76*Supuestos!$C$20*Supuestos!$C$33+H19+H20</f>
        <v>132785.337556356</v>
      </c>
      <c r="I29" s="19" t="n">
        <f aca="false">'Cartera 60M'!I76*Supuestos!$C$20*Supuestos!$C$33+I19+I20</f>
        <v>175789.317413245</v>
      </c>
      <c r="J29" s="19" t="n">
        <f aca="false">'Cartera 60M'!J76*Supuestos!$C$20*Supuestos!$C$33+J19+J20</f>
        <v>223161.695255823</v>
      </c>
      <c r="K29" s="19" t="n">
        <f aca="false">'Cartera 60M'!K76*Supuestos!$C$20*Supuestos!$C$33+K19+K20</f>
        <v>274987.47108409</v>
      </c>
      <c r="L29" s="19" t="n">
        <f aca="false">'Cartera 60M'!L76*Supuestos!$C$20*Supuestos!$C$33+L19+L20</f>
        <v>331181.644898046</v>
      </c>
      <c r="M29" s="19" t="n">
        <f aca="false">'Cartera 60M'!M76*Supuestos!$C$20*Supuestos!$C$33+M19+M20</f>
        <v>396027.614683379</v>
      </c>
      <c r="N29" s="19" t="n">
        <f aca="false">'Cartera 60M'!N76*Supuestos!$C$20*Supuestos!$C$33+N19+N20</f>
        <v>465241.982454402</v>
      </c>
      <c r="O29" s="19" t="n">
        <f aca="false">'Cartera 60M'!O76*Supuestos!$C$20*Supuestos!$C$33+O19+O20</f>
        <v>530172.952239735</v>
      </c>
      <c r="P29" s="19" t="n">
        <f aca="false">'Cartera 60M'!P76*Supuestos!$C$20*Supuestos!$C$33+P19+P20</f>
        <v>595103.922025069</v>
      </c>
      <c r="Q29" s="19" t="n">
        <f aca="false">'Cartera 60M'!Q76*Supuestos!$C$20*Supuestos!$C$33+Q19+Q20</f>
        <v>659949.891810402</v>
      </c>
      <c r="R29" s="19" t="n">
        <f aca="false">'Cartera 60M'!R76*Supuestos!$C$20*Supuestos!$C$33+R19+R20</f>
        <v>724795.861595736</v>
      </c>
      <c r="S29" s="19" t="n">
        <f aca="false">'Cartera 60M'!S76*Supuestos!$C$20*Supuestos!$C$33+S19+S20</f>
        <v>789726.83138107</v>
      </c>
      <c r="T29" s="19" t="n">
        <f aca="false">'Cartera 60M'!T76*Supuestos!$C$20*Supuestos!$C$33+T19+T20</f>
        <v>858941.199152092</v>
      </c>
      <c r="U29" s="19" t="n">
        <f aca="false">'Cartera 60M'!U76*Supuestos!$C$20*Supuestos!$C$33+U19+U20</f>
        <v>923787.168937426</v>
      </c>
      <c r="V29" s="19" t="n">
        <f aca="false">'Cartera 60M'!V76*Supuestos!$C$20*Supuestos!$C$33+V19+V20</f>
        <v>988633.138722759</v>
      </c>
      <c r="W29" s="19" t="n">
        <f aca="false">'Cartera 60M'!W76*Supuestos!$C$20*Supuestos!$C$33+W19+W20</f>
        <v>1053564.10850809</v>
      </c>
      <c r="X29" s="19" t="n">
        <f aca="false">'Cartera 60M'!X76*Supuestos!$C$20*Supuestos!$C$33+X19+X20</f>
        <v>1122778.47627912</v>
      </c>
      <c r="Y29" s="19" t="n">
        <f aca="false">'Cartera 60M'!Y76*Supuestos!$C$20*Supuestos!$C$33+Y19+Y20</f>
        <v>1187624.44606445</v>
      </c>
      <c r="Z29" s="19" t="n">
        <f aca="false">'Cartera 60M'!Z76*Supuestos!$C$20*Supuestos!$C$33+Z19+Z20</f>
        <v>1252555.41584978</v>
      </c>
      <c r="AA29" s="19" t="n">
        <f aca="false">'Cartera 60M'!AA76*Supuestos!$C$20*Supuestos!$C$33+AA19+AA20</f>
        <v>1317486.38563512</v>
      </c>
      <c r="AB29" s="19" t="n">
        <f aca="false">'Cartera 60M'!AB76*Supuestos!$C$20*Supuestos!$C$33+AB19+AB20</f>
        <v>1386700.75340614</v>
      </c>
      <c r="AC29" s="19" t="n">
        <f aca="false">'Cartera 60M'!AC76*Supuestos!$C$20*Supuestos!$C$33+AC19+AC20</f>
        <v>1451546.72319147</v>
      </c>
      <c r="AD29" s="19" t="n">
        <f aca="false">'Cartera 60M'!AD76*Supuestos!$C$20*Supuestos!$C$33+AD19+AD20</f>
        <v>1516477.69297681</v>
      </c>
      <c r="AE29" s="19" t="n">
        <f aca="false">'Cartera 60M'!AE76*Supuestos!$C$20*Supuestos!$C$33+AE19+AE20</f>
        <v>1585692.06074783</v>
      </c>
      <c r="AF29" s="19" t="n">
        <f aca="false">'Cartera 60M'!AF76*Supuestos!$C$20*Supuestos!$C$33+AF19+AF20</f>
        <v>1650538.03053316</v>
      </c>
      <c r="AG29" s="19" t="n">
        <f aca="false">'Cartera 60M'!AG76*Supuestos!$C$20*Supuestos!$C$33+AG19+AG20</f>
        <v>1715384.0003185</v>
      </c>
      <c r="AH29" s="19" t="n">
        <f aca="false">'Cartera 60M'!AH76*Supuestos!$C$20*Supuestos!$C$33+AH19+AH20</f>
        <v>1780314.97010383</v>
      </c>
      <c r="AI29" s="19" t="n">
        <f aca="false">'Cartera 60M'!AI76*Supuestos!$C$20*Supuestos!$C$33+AI19+AI20</f>
        <v>1849529.33787485</v>
      </c>
      <c r="AJ29" s="19" t="n">
        <f aca="false">'Cartera 60M'!AJ76*Supuestos!$C$20*Supuestos!$C$33+AJ19+AJ20</f>
        <v>1914375.30766018</v>
      </c>
      <c r="AK29" s="19" t="n">
        <f aca="false">'Cartera 60M'!AK76*Supuestos!$C$20*Supuestos!$C$33+AK19+AK20</f>
        <v>1979306.27744552</v>
      </c>
      <c r="AL29" s="19" t="n">
        <f aca="false">'Cartera 60M'!AL76*Supuestos!$C$20*Supuestos!$C$33+AL19+AL20</f>
        <v>2044237.24723085</v>
      </c>
      <c r="AM29" s="19" t="n">
        <f aca="false">'Cartera 60M'!AM76*Supuestos!$C$20*Supuestos!$C$33+AM19+AM20</f>
        <v>2113451.61500187</v>
      </c>
      <c r="AN29" s="19" t="n">
        <f aca="false">'Cartera 60M'!AN76*Supuestos!$C$20*Supuestos!$C$33+AN19+AN20</f>
        <v>2178297.58478721</v>
      </c>
      <c r="AO29" s="19" t="n">
        <f aca="false">'Cartera 60M'!AO76*Supuestos!$C$20*Supuestos!$C$33+AO19+AO20</f>
        <v>2243228.55457254</v>
      </c>
      <c r="AP29" s="19" t="n">
        <f aca="false">'Cartera 60M'!AP76*Supuestos!$C$20*Supuestos!$C$33+AP19+AP20</f>
        <v>2308159.52435788</v>
      </c>
      <c r="AQ29" s="19" t="n">
        <f aca="false">'Cartera 60M'!AQ76*Supuestos!$C$20*Supuestos!$C$33+AQ19+AQ20</f>
        <v>2373005.49414321</v>
      </c>
      <c r="AR29" s="19" t="n">
        <f aca="false">'Cartera 60M'!AR76*Supuestos!$C$20*Supuestos!$C$33+AR19+AR20</f>
        <v>2437851.46392854</v>
      </c>
      <c r="AS29" s="19" t="n">
        <f aca="false">'Cartera 60M'!AS76*Supuestos!$C$20*Supuestos!$C$33+AS19+AS20</f>
        <v>2502782.43371388</v>
      </c>
      <c r="AT29" s="19" t="n">
        <f aca="false">'Cartera 60M'!AT76*Supuestos!$C$20*Supuestos!$C$33+AT19+AT20</f>
        <v>2571996.8014849</v>
      </c>
      <c r="AU29" s="19" t="n">
        <f aca="false">'Cartera 60M'!AU76*Supuestos!$C$20*Supuestos!$C$33+AU19+AU20</f>
        <v>2636842.77127023</v>
      </c>
      <c r="AV29" s="19" t="n">
        <f aca="false">'Cartera 60M'!AV76*Supuestos!$C$20*Supuestos!$C$33+AV19+AV20</f>
        <v>2701688.74105557</v>
      </c>
      <c r="AW29" s="19" t="n">
        <f aca="false">'Cartera 60M'!AW76*Supuestos!$C$20*Supuestos!$C$33+AW19+AW20</f>
        <v>2766619.7108409</v>
      </c>
      <c r="AX29" s="19" t="n">
        <f aca="false">'Cartera 60M'!AX76*Supuestos!$C$20*Supuestos!$C$33+AX19+AX20</f>
        <v>2835834.07861192</v>
      </c>
      <c r="AY29" s="19" t="n">
        <f aca="false">'Cartera 60M'!AY76*Supuestos!$C$20*Supuestos!$C$33+AY19+AY20</f>
        <v>2896396.65041157</v>
      </c>
      <c r="AZ29" s="19" t="n">
        <f aca="false">'Cartera 60M'!AZ76*Supuestos!$C$20*Supuestos!$C$33+AZ19+AZ20</f>
        <v>2952760.82422552</v>
      </c>
      <c r="BA29" s="19" t="n">
        <f aca="false">'Cartera 60M'!BA76*Supuestos!$C$20*Supuestos!$C$33+BA19+BA20</f>
        <v>3004841.60005379</v>
      </c>
      <c r="BB29" s="19" t="n">
        <f aca="false">'Cartera 60M'!BB76*Supuestos!$C$20*Supuestos!$C$33+BB19+BB20</f>
        <v>3052638.97789637</v>
      </c>
      <c r="BC29" s="19" t="n">
        <f aca="false">'Cartera 60M'!BC76*Supuestos!$C$20*Supuestos!$C$33+BC19+BC20</f>
        <v>3091784.55976757</v>
      </c>
      <c r="BD29" s="19" t="n">
        <f aca="false">'Cartera 60M'!BD76*Supuestos!$C$20*Supuestos!$C$33+BD19+BD20</f>
        <v>3126731.74365308</v>
      </c>
      <c r="BE29" s="19" t="n">
        <f aca="false">'Cartera 60M'!BE76*Supuestos!$C$20*Supuestos!$C$33+BE19+BE20</f>
        <v>3157310.5295529</v>
      </c>
      <c r="BF29" s="19" t="n">
        <f aca="false">'Cartera 60M'!BF76*Supuestos!$C$20*Supuestos!$C$33+BF19+BF20</f>
        <v>3179152.51948135</v>
      </c>
      <c r="BG29" s="19" t="n">
        <f aca="false">'Cartera 60M'!BG76*Supuestos!$C$20*Supuestos!$C$33+BG19+BG20</f>
        <v>3196626.1114241</v>
      </c>
      <c r="BH29" s="19" t="n">
        <f aca="false">'Cartera 60M'!BH76*Supuestos!$C$20*Supuestos!$C$33+BH19+BH20</f>
        <v>3209731.30538117</v>
      </c>
      <c r="BI29" s="19" t="n">
        <f aca="false">'Cartera 60M'!BI76*Supuestos!$C$20*Supuestos!$C$33+BI19+BI20</f>
        <v>3218468.10135255</v>
      </c>
      <c r="BJ29" s="19" t="n">
        <f aca="false">'Cartera 60M'!BJ76*Supuestos!$C$20*Supuestos!$C$33+BJ19+BJ20</f>
        <v>3218468.10135255</v>
      </c>
    </row>
    <row r="30" customFormat="false" ht="15" hidden="false" customHeight="false" outlineLevel="0" collapsed="false">
      <c r="A30" s="1"/>
      <c r="B30" s="7" t="s">
        <v>218</v>
      </c>
      <c r="C30" s="19" t="n">
        <f aca="false">IF(C5&lt;=Supuestos!$C$36,Supuestos!$D$35,IF(C5&lt;=Supuestos!$C$38,Supuestos!$D$37,Supuestos!$D$39))</f>
        <v>0</v>
      </c>
      <c r="D30" s="19" t="n">
        <f aca="false">IF(D5&lt;=Supuestos!$C$36,Supuestos!$D$35,IF(D5&lt;=Supuestos!$C$38,Supuestos!$D$37,Supuestos!$D$39))</f>
        <v>0</v>
      </c>
      <c r="E30" s="19" t="n">
        <f aca="false">IF(E5&lt;=Supuestos!$C$36,Supuestos!$D$35,IF(E5&lt;=Supuestos!$C$38,Supuestos!$D$37,Supuestos!$D$39))</f>
        <v>42500</v>
      </c>
      <c r="F30" s="19" t="n">
        <f aca="false">IF(F5&lt;=Supuestos!$C$36,Supuestos!$D$35,IF(F5&lt;=Supuestos!$C$38,Supuestos!$D$37,Supuestos!$D$39))</f>
        <v>42500</v>
      </c>
      <c r="G30" s="19" t="n">
        <f aca="false">IF(G5&lt;=Supuestos!$C$36,Supuestos!$D$35,IF(G5&lt;=Supuestos!$C$38,Supuestos!$D$37,Supuestos!$D$39))</f>
        <v>85000</v>
      </c>
      <c r="H30" s="19" t="n">
        <f aca="false">IF(H5&lt;=Supuestos!$C$36,Supuestos!$D$35,IF(H5&lt;=Supuestos!$C$38,Supuestos!$D$37,Supuestos!$D$39))</f>
        <v>85000</v>
      </c>
      <c r="I30" s="19" t="n">
        <f aca="false">IF(I5&lt;=Supuestos!$C$36,Supuestos!$D$35,IF(I5&lt;=Supuestos!$C$38,Supuestos!$D$37,Supuestos!$D$39))</f>
        <v>85000</v>
      </c>
      <c r="J30" s="19" t="n">
        <f aca="false">IF(J5&lt;=Supuestos!$C$36,Supuestos!$D$35,IF(J5&lt;=Supuestos!$C$38,Supuestos!$D$37,Supuestos!$D$39))</f>
        <v>85000</v>
      </c>
      <c r="K30" s="19" t="n">
        <f aca="false">IF(K5&lt;=Supuestos!$C$36,Supuestos!$D$35,IF(K5&lt;=Supuestos!$C$38,Supuestos!$D$37,Supuestos!$D$39))</f>
        <v>85000</v>
      </c>
      <c r="L30" s="19" t="n">
        <f aca="false">IF(L5&lt;=Supuestos!$C$36,Supuestos!$D$35,IF(L5&lt;=Supuestos!$C$38,Supuestos!$D$37,Supuestos!$D$39))</f>
        <v>85000</v>
      </c>
      <c r="M30" s="19" t="n">
        <f aca="false">IF(M5&lt;=Supuestos!$C$36,Supuestos!$D$35,IF(M5&lt;=Supuestos!$C$38,Supuestos!$D$37,Supuestos!$D$39))</f>
        <v>85000</v>
      </c>
      <c r="N30" s="19" t="n">
        <f aca="false">IF(N5&lt;=Supuestos!$C$36,Supuestos!$D$35,IF(N5&lt;=Supuestos!$C$38,Supuestos!$D$37,Supuestos!$D$39))</f>
        <v>85000</v>
      </c>
      <c r="O30" s="19" t="n">
        <f aca="false">IF(O5&lt;=Supuestos!$C$36,Supuestos!$D$35,IF(O5&lt;=Supuestos!$C$38,Supuestos!$D$37,Supuestos!$D$39))</f>
        <v>85000</v>
      </c>
      <c r="P30" s="19" t="n">
        <f aca="false">IF(P5&lt;=Supuestos!$C$36,Supuestos!$D$35,IF(P5&lt;=Supuestos!$C$38,Supuestos!$D$37,Supuestos!$D$39))</f>
        <v>85000</v>
      </c>
      <c r="Q30" s="19" t="n">
        <f aca="false">IF(Q5&lt;=Supuestos!$C$36,Supuestos!$D$35,IF(Q5&lt;=Supuestos!$C$38,Supuestos!$D$37,Supuestos!$D$39))</f>
        <v>85000</v>
      </c>
      <c r="R30" s="19" t="n">
        <f aca="false">IF(R5&lt;=Supuestos!$C$36,Supuestos!$D$35,IF(R5&lt;=Supuestos!$C$38,Supuestos!$D$37,Supuestos!$D$39))</f>
        <v>85000</v>
      </c>
      <c r="S30" s="19" t="n">
        <f aca="false">IF(S5&lt;=Supuestos!$C$36,Supuestos!$D$35,IF(S5&lt;=Supuestos!$C$38,Supuestos!$D$37,Supuestos!$D$39))</f>
        <v>85000</v>
      </c>
      <c r="T30" s="19" t="n">
        <f aca="false">IF(T5&lt;=Supuestos!$C$36,Supuestos!$D$35,IF(T5&lt;=Supuestos!$C$38,Supuestos!$D$37,Supuestos!$D$39))</f>
        <v>85000</v>
      </c>
      <c r="U30" s="19" t="n">
        <f aca="false">IF(U5&lt;=Supuestos!$C$36,Supuestos!$D$35,IF(U5&lt;=Supuestos!$C$38,Supuestos!$D$37,Supuestos!$D$39))</f>
        <v>85000</v>
      </c>
      <c r="V30" s="19" t="n">
        <f aca="false">IF(V5&lt;=Supuestos!$C$36,Supuestos!$D$35,IF(V5&lt;=Supuestos!$C$38,Supuestos!$D$37,Supuestos!$D$39))</f>
        <v>85000</v>
      </c>
      <c r="W30" s="19" t="n">
        <f aca="false">IF(W5&lt;=Supuestos!$C$36,Supuestos!$D$35,IF(W5&lt;=Supuestos!$C$38,Supuestos!$D$37,Supuestos!$D$39))</f>
        <v>85000</v>
      </c>
      <c r="X30" s="19" t="n">
        <f aca="false">IF(X5&lt;=Supuestos!$C$36,Supuestos!$D$35,IF(X5&lt;=Supuestos!$C$38,Supuestos!$D$37,Supuestos!$D$39))</f>
        <v>85000</v>
      </c>
      <c r="Y30" s="19" t="n">
        <f aca="false">IF(Y5&lt;=Supuestos!$C$36,Supuestos!$D$35,IF(Y5&lt;=Supuestos!$C$38,Supuestos!$D$37,Supuestos!$D$39))</f>
        <v>85000</v>
      </c>
      <c r="Z30" s="19" t="n">
        <f aca="false">IF(Z5&lt;=Supuestos!$C$36,Supuestos!$D$35,IF(Z5&lt;=Supuestos!$C$38,Supuestos!$D$37,Supuestos!$D$39))</f>
        <v>85000</v>
      </c>
      <c r="AA30" s="19" t="n">
        <f aca="false">IF(AA5&lt;=Supuestos!$C$36,Supuestos!$D$35,IF(AA5&lt;=Supuestos!$C$38,Supuestos!$D$37,Supuestos!$D$39))</f>
        <v>85000</v>
      </c>
      <c r="AB30" s="19" t="n">
        <f aca="false">IF(AB5&lt;=Supuestos!$C$36,Supuestos!$D$35,IF(AB5&lt;=Supuestos!$C$38,Supuestos!$D$37,Supuestos!$D$39))</f>
        <v>85000</v>
      </c>
      <c r="AC30" s="19" t="n">
        <f aca="false">IF(AC5&lt;=Supuestos!$C$36,Supuestos!$D$35,IF(AC5&lt;=Supuestos!$C$38,Supuestos!$D$37,Supuestos!$D$39))</f>
        <v>85000</v>
      </c>
      <c r="AD30" s="19" t="n">
        <f aca="false">IF(AD5&lt;=Supuestos!$C$36,Supuestos!$D$35,IF(AD5&lt;=Supuestos!$C$38,Supuestos!$D$37,Supuestos!$D$39))</f>
        <v>85000</v>
      </c>
      <c r="AE30" s="19" t="n">
        <f aca="false">IF(AE5&lt;=Supuestos!$C$36,Supuestos!$D$35,IF(AE5&lt;=Supuestos!$C$38,Supuestos!$D$37,Supuestos!$D$39))</f>
        <v>85000</v>
      </c>
      <c r="AF30" s="19" t="n">
        <f aca="false">IF(AF5&lt;=Supuestos!$C$36,Supuestos!$D$35,IF(AF5&lt;=Supuestos!$C$38,Supuestos!$D$37,Supuestos!$D$39))</f>
        <v>85000</v>
      </c>
      <c r="AG30" s="19" t="n">
        <f aca="false">IF(AG5&lt;=Supuestos!$C$36,Supuestos!$D$35,IF(AG5&lt;=Supuestos!$C$38,Supuestos!$D$37,Supuestos!$D$39))</f>
        <v>85000</v>
      </c>
      <c r="AH30" s="19" t="n">
        <f aca="false">IF(AH5&lt;=Supuestos!$C$36,Supuestos!$D$35,IF(AH5&lt;=Supuestos!$C$38,Supuestos!$D$37,Supuestos!$D$39))</f>
        <v>85000</v>
      </c>
      <c r="AI30" s="19" t="n">
        <f aca="false">IF(AI5&lt;=Supuestos!$C$36,Supuestos!$D$35,IF(AI5&lt;=Supuestos!$C$38,Supuestos!$D$37,Supuestos!$D$39))</f>
        <v>85000</v>
      </c>
      <c r="AJ30" s="19" t="n">
        <f aca="false">IF(AJ5&lt;=Supuestos!$C$36,Supuestos!$D$35,IF(AJ5&lt;=Supuestos!$C$38,Supuestos!$D$37,Supuestos!$D$39))</f>
        <v>85000</v>
      </c>
      <c r="AK30" s="19" t="n">
        <f aca="false">IF(AK5&lt;=Supuestos!$C$36,Supuestos!$D$35,IF(AK5&lt;=Supuestos!$C$38,Supuestos!$D$37,Supuestos!$D$39))</f>
        <v>85000</v>
      </c>
      <c r="AL30" s="19" t="n">
        <f aca="false">IF(AL5&lt;=Supuestos!$C$36,Supuestos!$D$35,IF(AL5&lt;=Supuestos!$C$38,Supuestos!$D$37,Supuestos!$D$39))</f>
        <v>85000</v>
      </c>
      <c r="AM30" s="19" t="n">
        <f aca="false">IF(AM5&lt;=Supuestos!$C$36,Supuestos!$D$35,IF(AM5&lt;=Supuestos!$C$38,Supuestos!$D$37,Supuestos!$D$39))</f>
        <v>85000</v>
      </c>
      <c r="AN30" s="19" t="n">
        <f aca="false">IF(AN5&lt;=Supuestos!$C$36,Supuestos!$D$35,IF(AN5&lt;=Supuestos!$C$38,Supuestos!$D$37,Supuestos!$D$39))</f>
        <v>85000</v>
      </c>
      <c r="AO30" s="19" t="n">
        <f aca="false">IF(AO5&lt;=Supuestos!$C$36,Supuestos!$D$35,IF(AO5&lt;=Supuestos!$C$38,Supuestos!$D$37,Supuestos!$D$39))</f>
        <v>85000</v>
      </c>
      <c r="AP30" s="19" t="n">
        <f aca="false">IF(AP5&lt;=Supuestos!$C$36,Supuestos!$D$35,IF(AP5&lt;=Supuestos!$C$38,Supuestos!$D$37,Supuestos!$D$39))</f>
        <v>85000</v>
      </c>
      <c r="AQ30" s="19" t="n">
        <f aca="false">IF(AQ5&lt;=Supuestos!$C$36,Supuestos!$D$35,IF(AQ5&lt;=Supuestos!$C$38,Supuestos!$D$37,Supuestos!$D$39))</f>
        <v>85000</v>
      </c>
      <c r="AR30" s="19" t="n">
        <f aca="false">IF(AR5&lt;=Supuestos!$C$36,Supuestos!$D$35,IF(AR5&lt;=Supuestos!$C$38,Supuestos!$D$37,Supuestos!$D$39))</f>
        <v>85000</v>
      </c>
      <c r="AS30" s="19" t="n">
        <f aca="false">IF(AS5&lt;=Supuestos!$C$36,Supuestos!$D$35,IF(AS5&lt;=Supuestos!$C$38,Supuestos!$D$37,Supuestos!$D$39))</f>
        <v>85000</v>
      </c>
      <c r="AT30" s="19" t="n">
        <f aca="false">IF(AT5&lt;=Supuestos!$C$36,Supuestos!$D$35,IF(AT5&lt;=Supuestos!$C$38,Supuestos!$D$37,Supuestos!$D$39))</f>
        <v>85000</v>
      </c>
      <c r="AU30" s="19" t="n">
        <f aca="false">IF(AU5&lt;=Supuestos!$C$36,Supuestos!$D$35,IF(AU5&lt;=Supuestos!$C$38,Supuestos!$D$37,Supuestos!$D$39))</f>
        <v>85000</v>
      </c>
      <c r="AV30" s="19" t="n">
        <f aca="false">IF(AV5&lt;=Supuestos!$C$36,Supuestos!$D$35,IF(AV5&lt;=Supuestos!$C$38,Supuestos!$D$37,Supuestos!$D$39))</f>
        <v>85000</v>
      </c>
      <c r="AW30" s="19" t="n">
        <f aca="false">IF(AW5&lt;=Supuestos!$C$36,Supuestos!$D$35,IF(AW5&lt;=Supuestos!$C$38,Supuestos!$D$37,Supuestos!$D$39))</f>
        <v>85000</v>
      </c>
      <c r="AX30" s="19" t="n">
        <f aca="false">IF(AX5&lt;=Supuestos!$C$36,Supuestos!$D$35,IF(AX5&lt;=Supuestos!$C$38,Supuestos!$D$37,Supuestos!$D$39))</f>
        <v>85000</v>
      </c>
      <c r="AY30" s="19" t="n">
        <f aca="false">IF(AY5&lt;=Supuestos!$C$36,Supuestos!$D$35,IF(AY5&lt;=Supuestos!$C$38,Supuestos!$D$37,Supuestos!$D$39))</f>
        <v>85000</v>
      </c>
      <c r="AZ30" s="19" t="n">
        <f aca="false">IF(AZ5&lt;=Supuestos!$C$36,Supuestos!$D$35,IF(AZ5&lt;=Supuestos!$C$38,Supuestos!$D$37,Supuestos!$D$39))</f>
        <v>85000</v>
      </c>
      <c r="BA30" s="19" t="n">
        <f aca="false">IF(BA5&lt;=Supuestos!$C$36,Supuestos!$D$35,IF(BA5&lt;=Supuestos!$C$38,Supuestos!$D$37,Supuestos!$D$39))</f>
        <v>85000</v>
      </c>
      <c r="BB30" s="19" t="n">
        <f aca="false">IF(BB5&lt;=Supuestos!$C$36,Supuestos!$D$35,IF(BB5&lt;=Supuestos!$C$38,Supuestos!$D$37,Supuestos!$D$39))</f>
        <v>85000</v>
      </c>
      <c r="BC30" s="19" t="n">
        <f aca="false">IF(BC5&lt;=Supuestos!$C$36,Supuestos!$D$35,IF(BC5&lt;=Supuestos!$C$38,Supuestos!$D$37,Supuestos!$D$39))</f>
        <v>85000</v>
      </c>
      <c r="BD30" s="19" t="n">
        <f aca="false">IF(BD5&lt;=Supuestos!$C$36,Supuestos!$D$35,IF(BD5&lt;=Supuestos!$C$38,Supuestos!$D$37,Supuestos!$D$39))</f>
        <v>85000</v>
      </c>
      <c r="BE30" s="19" t="n">
        <f aca="false">IF(BE5&lt;=Supuestos!$C$36,Supuestos!$D$35,IF(BE5&lt;=Supuestos!$C$38,Supuestos!$D$37,Supuestos!$D$39))</f>
        <v>85000</v>
      </c>
      <c r="BF30" s="19" t="n">
        <f aca="false">IF(BF5&lt;=Supuestos!$C$36,Supuestos!$D$35,IF(BF5&lt;=Supuestos!$C$38,Supuestos!$D$37,Supuestos!$D$39))</f>
        <v>85000</v>
      </c>
      <c r="BG30" s="19" t="n">
        <f aca="false">IF(BG5&lt;=Supuestos!$C$36,Supuestos!$D$35,IF(BG5&lt;=Supuestos!$C$38,Supuestos!$D$37,Supuestos!$D$39))</f>
        <v>85000</v>
      </c>
      <c r="BH30" s="19" t="n">
        <f aca="false">IF(BH5&lt;=Supuestos!$C$36,Supuestos!$D$35,IF(BH5&lt;=Supuestos!$C$38,Supuestos!$D$37,Supuestos!$D$39))</f>
        <v>85000</v>
      </c>
      <c r="BI30" s="19" t="n">
        <f aca="false">IF(BI5&lt;=Supuestos!$C$36,Supuestos!$D$35,IF(BI5&lt;=Supuestos!$C$38,Supuestos!$D$37,Supuestos!$D$39))</f>
        <v>85000</v>
      </c>
      <c r="BJ30" s="19" t="n">
        <f aca="false">IF(BJ5&lt;=Supuestos!$C$36,Supuestos!$D$35,IF(BJ5&lt;=Supuestos!$C$38,Supuestos!$D$37,Supuestos!$D$39))</f>
        <v>85000</v>
      </c>
    </row>
    <row r="31" customFormat="false" ht="15" hidden="false" customHeight="false" outlineLevel="0" collapsed="false">
      <c r="A31" s="1"/>
      <c r="B31" s="23" t="s">
        <v>219</v>
      </c>
      <c r="C31" s="20" t="n">
        <f aca="false">MAX(C29,C30)+C22</f>
        <v>136066.795971378</v>
      </c>
      <c r="D31" s="20" t="n">
        <f aca="false">MAX(D29,D30)+D22</f>
        <v>21416.9899284445</v>
      </c>
      <c r="E31" s="20" t="n">
        <f aca="false">MAX(E29,E30)+E22</f>
        <v>42833.979856889</v>
      </c>
      <c r="F31" s="20" t="n">
        <f aca="false">MAX(F29,F30)+F22</f>
        <v>68534.3677710225</v>
      </c>
      <c r="G31" s="20" t="n">
        <f aca="false">MAX(G29,G30)+G22</f>
        <v>226018.153670845</v>
      </c>
      <c r="H31" s="20" t="n">
        <f aca="false">MAX(H29,H30)+H22</f>
        <v>132785.337556356</v>
      </c>
      <c r="I31" s="20" t="n">
        <f aca="false">MAX(I29,I30)+I22</f>
        <v>175789.317413245</v>
      </c>
      <c r="J31" s="20" t="n">
        <f aca="false">MAX(J29,J30)+J22</f>
        <v>223161.695255823</v>
      </c>
      <c r="K31" s="20" t="n">
        <f aca="false">MAX(K29,K30)+K22</f>
        <v>274987.47108409</v>
      </c>
      <c r="L31" s="20" t="n">
        <f aca="false">MAX(L29,L30)+L22</f>
        <v>331181.644898046</v>
      </c>
      <c r="M31" s="20" t="n">
        <f aca="false">MAX(M29,M30)+M22</f>
        <v>396027.614683379</v>
      </c>
      <c r="N31" s="20" t="n">
        <f aca="false">MAX(N29,N30)+N22</f>
        <v>465241.982454402</v>
      </c>
      <c r="O31" s="20" t="n">
        <f aca="false">MAX(O29,O30)+O22</f>
        <v>530172.952239735</v>
      </c>
      <c r="P31" s="20" t="n">
        <f aca="false">MAX(P29,P30)+P22</f>
        <v>595103.922025069</v>
      </c>
      <c r="Q31" s="20" t="n">
        <f aca="false">MAX(Q29,Q30)+Q22</f>
        <v>659949.891810402</v>
      </c>
      <c r="R31" s="20" t="n">
        <f aca="false">MAX(R29,R30)+R22</f>
        <v>724795.861595736</v>
      </c>
      <c r="S31" s="20" t="n">
        <f aca="false">MAX(S29,S30)+S22</f>
        <v>789726.83138107</v>
      </c>
      <c r="T31" s="20" t="n">
        <f aca="false">MAX(T29,T30)+T22</f>
        <v>858941.199152092</v>
      </c>
      <c r="U31" s="20" t="n">
        <f aca="false">MAX(U29,U30)+U22</f>
        <v>923787.168937426</v>
      </c>
      <c r="V31" s="20" t="n">
        <f aca="false">MAX(V29,V30)+V22</f>
        <v>988633.138722759</v>
      </c>
      <c r="W31" s="20" t="n">
        <f aca="false">MAX(W29,W30)+W22</f>
        <v>1053564.10850809</v>
      </c>
      <c r="X31" s="20" t="n">
        <f aca="false">MAX(X29,X30)+X22</f>
        <v>1122778.47627912</v>
      </c>
      <c r="Y31" s="20" t="n">
        <f aca="false">MAX(Y29,Y30)+Y22</f>
        <v>1187624.44606445</v>
      </c>
      <c r="Z31" s="20" t="n">
        <f aca="false">MAX(Z29,Z30)+Z22</f>
        <v>1252555.41584978</v>
      </c>
      <c r="AA31" s="20" t="n">
        <f aca="false">MAX(AA29,AA30)+AA22</f>
        <v>1317486.38563512</v>
      </c>
      <c r="AB31" s="20" t="n">
        <f aca="false">MAX(AB29,AB30)+AB22</f>
        <v>1386700.75340614</v>
      </c>
      <c r="AC31" s="20" t="n">
        <f aca="false">MAX(AC29,AC30)+AC22</f>
        <v>1451546.72319147</v>
      </c>
      <c r="AD31" s="20" t="n">
        <f aca="false">MAX(AD29,AD30)+AD22</f>
        <v>1516477.69297681</v>
      </c>
      <c r="AE31" s="20" t="n">
        <f aca="false">MAX(AE29,AE30)+AE22</f>
        <v>1585692.06074783</v>
      </c>
      <c r="AF31" s="20" t="n">
        <f aca="false">MAX(AF29,AF30)+AF22</f>
        <v>1650538.03053316</v>
      </c>
      <c r="AG31" s="20" t="n">
        <f aca="false">MAX(AG29,AG30)+AG22</f>
        <v>1715384.0003185</v>
      </c>
      <c r="AH31" s="20" t="n">
        <f aca="false">MAX(AH29,AH30)+AH22</f>
        <v>1780314.97010383</v>
      </c>
      <c r="AI31" s="20" t="n">
        <f aca="false">MAX(AI29,AI30)+AI22</f>
        <v>1849529.33787485</v>
      </c>
      <c r="AJ31" s="20" t="n">
        <f aca="false">MAX(AJ29,AJ30)+AJ22</f>
        <v>1914375.30766018</v>
      </c>
      <c r="AK31" s="20" t="n">
        <f aca="false">MAX(AK29,AK30)+AK22</f>
        <v>1979306.27744552</v>
      </c>
      <c r="AL31" s="20" t="n">
        <f aca="false">MAX(AL29,AL30)+AL22</f>
        <v>2044237.24723085</v>
      </c>
      <c r="AM31" s="20" t="n">
        <f aca="false">MAX(AM29,AM30)+AM22</f>
        <v>2113451.61500187</v>
      </c>
      <c r="AN31" s="20" t="n">
        <f aca="false">MAX(AN29,AN30)+AN22</f>
        <v>2178297.58478721</v>
      </c>
      <c r="AO31" s="20" t="n">
        <f aca="false">MAX(AO29,AO30)+AO22</f>
        <v>2243228.55457254</v>
      </c>
      <c r="AP31" s="20" t="n">
        <f aca="false">MAX(AP29,AP30)+AP22</f>
        <v>2308159.52435788</v>
      </c>
      <c r="AQ31" s="20" t="n">
        <f aca="false">MAX(AQ29,AQ30)+AQ22</f>
        <v>2373005.49414321</v>
      </c>
      <c r="AR31" s="20" t="n">
        <f aca="false">MAX(AR29,AR30)+AR22</f>
        <v>2437851.46392854</v>
      </c>
      <c r="AS31" s="20" t="n">
        <f aca="false">MAX(AS29,AS30)+AS22</f>
        <v>2502782.43371388</v>
      </c>
      <c r="AT31" s="20" t="n">
        <f aca="false">MAX(AT29,AT30)+AT22</f>
        <v>2571996.8014849</v>
      </c>
      <c r="AU31" s="20" t="n">
        <f aca="false">MAX(AU29,AU30)+AU22</f>
        <v>2636842.77127023</v>
      </c>
      <c r="AV31" s="20" t="n">
        <f aca="false">MAX(AV29,AV30)+AV22</f>
        <v>2701688.74105557</v>
      </c>
      <c r="AW31" s="20" t="n">
        <f aca="false">MAX(AW29,AW30)+AW22</f>
        <v>2766619.7108409</v>
      </c>
      <c r="AX31" s="20" t="n">
        <f aca="false">MAX(AX29,AX30)+AX22</f>
        <v>2835834.07861192</v>
      </c>
      <c r="AY31" s="20" t="n">
        <f aca="false">MAX(AY29,AY30)+AY22</f>
        <v>2896396.65041157</v>
      </c>
      <c r="AZ31" s="20" t="n">
        <f aca="false">MAX(AZ29,AZ30)+AZ22</f>
        <v>2952760.82422552</v>
      </c>
      <c r="BA31" s="20" t="n">
        <f aca="false">MAX(BA29,BA30)+BA22</f>
        <v>3004841.60005379</v>
      </c>
      <c r="BB31" s="20" t="n">
        <f aca="false">MAX(BB29,BB30)+BB22</f>
        <v>3052638.97789637</v>
      </c>
      <c r="BC31" s="20" t="n">
        <f aca="false">MAX(BC29,BC30)+BC22</f>
        <v>3091784.55976757</v>
      </c>
      <c r="BD31" s="20" t="n">
        <f aca="false">MAX(BD29,BD30)+BD22</f>
        <v>3126731.74365308</v>
      </c>
      <c r="BE31" s="20" t="n">
        <f aca="false">MAX(BE29,BE30)+BE22</f>
        <v>3157310.5295529</v>
      </c>
      <c r="BF31" s="20" t="n">
        <f aca="false">MAX(BF29,BF30)+BF22</f>
        <v>3179152.51948135</v>
      </c>
      <c r="BG31" s="20" t="n">
        <f aca="false">MAX(BG29,BG30)+BG22</f>
        <v>3196626.1114241</v>
      </c>
      <c r="BH31" s="20" t="n">
        <f aca="false">MAX(BH29,BH30)+BH22</f>
        <v>3209731.30538117</v>
      </c>
      <c r="BI31" s="20" t="n">
        <f aca="false">MAX(BI29,BI30)+BI22</f>
        <v>3218468.10135255</v>
      </c>
      <c r="BJ31" s="20" t="n">
        <f aca="false">MAX(BJ29,BJ30)+BJ22</f>
        <v>3218468.10135255</v>
      </c>
    </row>
    <row r="32" customFormat="false" ht="15" hidden="false" customHeight="false" outlineLevel="0" collapsed="false">
      <c r="A32" s="1"/>
      <c r="B32" s="7" t="s">
        <v>220</v>
      </c>
      <c r="C32" s="44" t="n">
        <f aca="false">IF(C26&gt;=0,C5,999)</f>
        <v>1</v>
      </c>
      <c r="D32" s="44" t="n">
        <f aca="false">IF(D26&gt;=0,D5,999)</f>
        <v>2</v>
      </c>
      <c r="E32" s="44" t="n">
        <f aca="false">IF(E26&gt;=0,E5,999)</f>
        <v>3</v>
      </c>
      <c r="F32" s="44" t="n">
        <f aca="false">IF(F26&gt;=0,F5,999)</f>
        <v>4</v>
      </c>
      <c r="G32" s="44" t="n">
        <f aca="false">IF(G26&gt;=0,G5,999)</f>
        <v>5</v>
      </c>
      <c r="H32" s="44" t="n">
        <f aca="false">IF(H26&gt;=0,H5,999)</f>
        <v>6</v>
      </c>
      <c r="I32" s="44" t="n">
        <f aca="false">IF(I26&gt;=0,I5,999)</f>
        <v>7</v>
      </c>
      <c r="J32" s="44" t="n">
        <f aca="false">IF(J26&gt;=0,J5,999)</f>
        <v>8</v>
      </c>
      <c r="K32" s="44" t="n">
        <f aca="false">IF(K26&gt;=0,K5,999)</f>
        <v>9</v>
      </c>
      <c r="L32" s="44" t="n">
        <f aca="false">IF(L26&gt;=0,L5,999)</f>
        <v>10</v>
      </c>
      <c r="M32" s="44" t="n">
        <f aca="false">IF(M26&gt;=0,M5,999)</f>
        <v>11</v>
      </c>
      <c r="N32" s="44" t="n">
        <f aca="false">IF(N26&gt;=0,N5,999)</f>
        <v>12</v>
      </c>
      <c r="O32" s="44" t="n">
        <f aca="false">IF(O26&gt;=0,O5,999)</f>
        <v>13</v>
      </c>
      <c r="P32" s="44" t="n">
        <f aca="false">IF(P26&gt;=0,P5,999)</f>
        <v>14</v>
      </c>
      <c r="Q32" s="44" t="n">
        <f aca="false">IF(Q26&gt;=0,Q5,999)</f>
        <v>15</v>
      </c>
      <c r="R32" s="44" t="n">
        <f aca="false">IF(R26&gt;=0,R5,999)</f>
        <v>16</v>
      </c>
      <c r="S32" s="44" t="n">
        <f aca="false">IF(S26&gt;=0,S5,999)</f>
        <v>17</v>
      </c>
      <c r="T32" s="44" t="n">
        <f aca="false">IF(T26&gt;=0,T5,999)</f>
        <v>18</v>
      </c>
      <c r="U32" s="44" t="n">
        <f aca="false">IF(U26&gt;=0,U5,999)</f>
        <v>19</v>
      </c>
      <c r="V32" s="44" t="n">
        <f aca="false">IF(V26&gt;=0,V5,999)</f>
        <v>20</v>
      </c>
      <c r="W32" s="44" t="n">
        <f aca="false">IF(W26&gt;=0,W5,999)</f>
        <v>21</v>
      </c>
      <c r="X32" s="44" t="n">
        <f aca="false">IF(X26&gt;=0,X5,999)</f>
        <v>22</v>
      </c>
      <c r="Y32" s="44" t="n">
        <f aca="false">IF(Y26&gt;=0,Y5,999)</f>
        <v>23</v>
      </c>
      <c r="Z32" s="44" t="n">
        <f aca="false">IF(Z26&gt;=0,Z5,999)</f>
        <v>24</v>
      </c>
      <c r="AA32" s="44" t="n">
        <f aca="false">IF(AA26&gt;=0,AA5,999)</f>
        <v>25</v>
      </c>
      <c r="AB32" s="44" t="n">
        <f aca="false">IF(AB26&gt;=0,AB5,999)</f>
        <v>26</v>
      </c>
      <c r="AC32" s="44" t="n">
        <f aca="false">IF(AC26&gt;=0,AC5,999)</f>
        <v>27</v>
      </c>
      <c r="AD32" s="44" t="n">
        <f aca="false">IF(AD26&gt;=0,AD5,999)</f>
        <v>28</v>
      </c>
      <c r="AE32" s="44" t="n">
        <f aca="false">IF(AE26&gt;=0,AE5,999)</f>
        <v>29</v>
      </c>
      <c r="AF32" s="44" t="n">
        <f aca="false">IF(AF26&gt;=0,AF5,999)</f>
        <v>30</v>
      </c>
      <c r="AG32" s="44" t="n">
        <f aca="false">IF(AG26&gt;=0,AG5,999)</f>
        <v>31</v>
      </c>
      <c r="AH32" s="44" t="n">
        <f aca="false">IF(AH26&gt;=0,AH5,999)</f>
        <v>32</v>
      </c>
      <c r="AI32" s="44" t="n">
        <f aca="false">IF(AI26&gt;=0,AI5,999)</f>
        <v>33</v>
      </c>
      <c r="AJ32" s="44" t="n">
        <f aca="false">IF(AJ26&gt;=0,AJ5,999)</f>
        <v>34</v>
      </c>
      <c r="AK32" s="44" t="n">
        <f aca="false">IF(AK26&gt;=0,AK5,999)</f>
        <v>35</v>
      </c>
      <c r="AL32" s="44" t="n">
        <f aca="false">IF(AL26&gt;=0,AL5,999)</f>
        <v>36</v>
      </c>
      <c r="AM32" s="44" t="n">
        <f aca="false">IF(AM26&gt;=0,AM5,999)</f>
        <v>37</v>
      </c>
      <c r="AN32" s="44" t="n">
        <f aca="false">IF(AN26&gt;=0,AN5,999)</f>
        <v>38</v>
      </c>
      <c r="AO32" s="44" t="n">
        <f aca="false">IF(AO26&gt;=0,AO5,999)</f>
        <v>39</v>
      </c>
      <c r="AP32" s="44" t="n">
        <f aca="false">IF(AP26&gt;=0,AP5,999)</f>
        <v>40</v>
      </c>
      <c r="AQ32" s="44" t="n">
        <f aca="false">IF(AQ26&gt;=0,AQ5,999)</f>
        <v>41</v>
      </c>
      <c r="AR32" s="44" t="n">
        <f aca="false">IF(AR26&gt;=0,AR5,999)</f>
        <v>42</v>
      </c>
      <c r="AS32" s="44" t="n">
        <f aca="false">IF(AS26&gt;=0,AS5,999)</f>
        <v>43</v>
      </c>
      <c r="AT32" s="44" t="n">
        <f aca="false">IF(AT26&gt;=0,AT5,999)</f>
        <v>44</v>
      </c>
      <c r="AU32" s="44" t="n">
        <f aca="false">IF(AU26&gt;=0,AU5,999)</f>
        <v>45</v>
      </c>
      <c r="AV32" s="44" t="n">
        <f aca="false">IF(AV26&gt;=0,AV5,999)</f>
        <v>46</v>
      </c>
      <c r="AW32" s="44" t="n">
        <f aca="false">IF(AW26&gt;=0,AW5,999)</f>
        <v>47</v>
      </c>
      <c r="AX32" s="44" t="n">
        <f aca="false">IF(AX26&gt;=0,AX5,999)</f>
        <v>48</v>
      </c>
      <c r="AY32" s="44" t="n">
        <f aca="false">IF(AY26&gt;=0,AY5,999)</f>
        <v>49</v>
      </c>
      <c r="AZ32" s="44" t="n">
        <f aca="false">IF(AZ26&gt;=0,AZ5,999)</f>
        <v>50</v>
      </c>
      <c r="BA32" s="44" t="n">
        <f aca="false">IF(BA26&gt;=0,BA5,999)</f>
        <v>51</v>
      </c>
      <c r="BB32" s="44" t="n">
        <f aca="false">IF(BB26&gt;=0,BB5,999)</f>
        <v>52</v>
      </c>
      <c r="BC32" s="44" t="n">
        <f aca="false">IF(BC26&gt;=0,BC5,999)</f>
        <v>53</v>
      </c>
      <c r="BD32" s="44" t="n">
        <f aca="false">IF(BD26&gt;=0,BD5,999)</f>
        <v>54</v>
      </c>
      <c r="BE32" s="44" t="n">
        <f aca="false">IF(BE26&gt;=0,BE5,999)</f>
        <v>55</v>
      </c>
      <c r="BF32" s="44" t="n">
        <f aca="false">IF(BF26&gt;=0,BF5,999)</f>
        <v>56</v>
      </c>
      <c r="BG32" s="44" t="n">
        <f aca="false">IF(BG26&gt;=0,BG5,999)</f>
        <v>57</v>
      </c>
      <c r="BH32" s="44" t="n">
        <f aca="false">IF(BH26&gt;=0,BH5,999)</f>
        <v>58</v>
      </c>
      <c r="BI32" s="44" t="n">
        <f aca="false">IF(BI26&gt;=0,BI5,999)</f>
        <v>59</v>
      </c>
      <c r="BJ32" s="44" t="n">
        <f aca="false">IF(BJ26&gt;=0,BJ5,999)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62" min="3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customFormat="false" ht="17.35" hidden="false" customHeight="false" outlineLevel="0" collapsed="false">
      <c r="A2" s="1"/>
      <c r="B2" s="2" t="s">
        <v>221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customFormat="false" ht="15" hidden="false" customHeight="false" outlineLevel="0" collapsed="false">
      <c r="A3" s="1"/>
      <c r="B3" s="3" t="s">
        <v>222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customFormat="false" ht="15" hidden="false" customHeight="false" outlineLevel="0" collapsed="false">
      <c r="A5" s="1"/>
      <c r="B5" s="23" t="s">
        <v>179</v>
      </c>
      <c r="C5" s="45" t="n">
        <f aca="false">'Cartera 60M'!C62</f>
        <v>1</v>
      </c>
      <c r="D5" s="45" t="n">
        <f aca="false">'Cartera 60M'!D62</f>
        <v>2</v>
      </c>
      <c r="E5" s="45" t="n">
        <f aca="false">'Cartera 60M'!E62</f>
        <v>3</v>
      </c>
      <c r="F5" s="45" t="n">
        <f aca="false">'Cartera 60M'!F62</f>
        <v>4</v>
      </c>
      <c r="G5" s="45" t="n">
        <f aca="false">'Cartera 60M'!G62</f>
        <v>5</v>
      </c>
      <c r="H5" s="45" t="n">
        <f aca="false">'Cartera 60M'!H62</f>
        <v>6</v>
      </c>
      <c r="I5" s="45" t="n">
        <f aca="false">'Cartera 60M'!I62</f>
        <v>7</v>
      </c>
      <c r="J5" s="45" t="n">
        <f aca="false">'Cartera 60M'!J62</f>
        <v>8</v>
      </c>
      <c r="K5" s="45" t="n">
        <f aca="false">'Cartera 60M'!K62</f>
        <v>9</v>
      </c>
      <c r="L5" s="45" t="n">
        <f aca="false">'Cartera 60M'!L62</f>
        <v>10</v>
      </c>
      <c r="M5" s="45" t="n">
        <f aca="false">'Cartera 60M'!M62</f>
        <v>11</v>
      </c>
      <c r="N5" s="45" t="n">
        <f aca="false">'Cartera 60M'!N62</f>
        <v>12</v>
      </c>
      <c r="O5" s="45" t="n">
        <f aca="false">'Cartera 60M'!O62</f>
        <v>13</v>
      </c>
      <c r="P5" s="45" t="n">
        <f aca="false">'Cartera 60M'!P62</f>
        <v>14</v>
      </c>
      <c r="Q5" s="45" t="n">
        <f aca="false">'Cartera 60M'!Q62</f>
        <v>15</v>
      </c>
      <c r="R5" s="45" t="n">
        <f aca="false">'Cartera 60M'!R62</f>
        <v>16</v>
      </c>
      <c r="S5" s="45" t="n">
        <f aca="false">'Cartera 60M'!S62</f>
        <v>17</v>
      </c>
      <c r="T5" s="45" t="n">
        <f aca="false">'Cartera 60M'!T62</f>
        <v>18</v>
      </c>
      <c r="U5" s="45" t="n">
        <f aca="false">'Cartera 60M'!U62</f>
        <v>19</v>
      </c>
      <c r="V5" s="45" t="n">
        <f aca="false">'Cartera 60M'!V62</f>
        <v>20</v>
      </c>
      <c r="W5" s="45" t="n">
        <f aca="false">'Cartera 60M'!W62</f>
        <v>21</v>
      </c>
      <c r="X5" s="45" t="n">
        <f aca="false">'Cartera 60M'!X62</f>
        <v>22</v>
      </c>
      <c r="Y5" s="45" t="n">
        <f aca="false">'Cartera 60M'!Y62</f>
        <v>23</v>
      </c>
      <c r="Z5" s="45" t="n">
        <f aca="false">'Cartera 60M'!Z62</f>
        <v>24</v>
      </c>
      <c r="AA5" s="45" t="n">
        <f aca="false">'Cartera 60M'!AA62</f>
        <v>25</v>
      </c>
      <c r="AB5" s="45" t="n">
        <f aca="false">'Cartera 60M'!AB62</f>
        <v>26</v>
      </c>
      <c r="AC5" s="45" t="n">
        <f aca="false">'Cartera 60M'!AC62</f>
        <v>27</v>
      </c>
      <c r="AD5" s="45" t="n">
        <f aca="false">'Cartera 60M'!AD62</f>
        <v>28</v>
      </c>
      <c r="AE5" s="45" t="n">
        <f aca="false">'Cartera 60M'!AE62</f>
        <v>29</v>
      </c>
      <c r="AF5" s="45" t="n">
        <f aca="false">'Cartera 60M'!AF62</f>
        <v>30</v>
      </c>
      <c r="AG5" s="45" t="n">
        <f aca="false">'Cartera 60M'!AG62</f>
        <v>31</v>
      </c>
      <c r="AH5" s="45" t="n">
        <f aca="false">'Cartera 60M'!AH62</f>
        <v>32</v>
      </c>
      <c r="AI5" s="45" t="n">
        <f aca="false">'Cartera 60M'!AI62</f>
        <v>33</v>
      </c>
      <c r="AJ5" s="45" t="n">
        <f aca="false">'Cartera 60M'!AJ62</f>
        <v>34</v>
      </c>
      <c r="AK5" s="45" t="n">
        <f aca="false">'Cartera 60M'!AK62</f>
        <v>35</v>
      </c>
      <c r="AL5" s="45" t="n">
        <f aca="false">'Cartera 60M'!AL62</f>
        <v>36</v>
      </c>
      <c r="AM5" s="45" t="n">
        <f aca="false">'Cartera 60M'!AM62</f>
        <v>37</v>
      </c>
      <c r="AN5" s="45" t="n">
        <f aca="false">'Cartera 60M'!AN62</f>
        <v>38</v>
      </c>
      <c r="AO5" s="45" t="n">
        <f aca="false">'Cartera 60M'!AO62</f>
        <v>39</v>
      </c>
      <c r="AP5" s="45" t="n">
        <f aca="false">'Cartera 60M'!AP62</f>
        <v>40</v>
      </c>
      <c r="AQ5" s="45" t="n">
        <f aca="false">'Cartera 60M'!AQ62</f>
        <v>41</v>
      </c>
      <c r="AR5" s="45" t="n">
        <f aca="false">'Cartera 60M'!AR62</f>
        <v>42</v>
      </c>
      <c r="AS5" s="45" t="n">
        <f aca="false">'Cartera 60M'!AS62</f>
        <v>43</v>
      </c>
      <c r="AT5" s="45" t="n">
        <f aca="false">'Cartera 60M'!AT62</f>
        <v>44</v>
      </c>
      <c r="AU5" s="45" t="n">
        <f aca="false">'Cartera 60M'!AU62</f>
        <v>45</v>
      </c>
      <c r="AV5" s="45" t="n">
        <f aca="false">'Cartera 60M'!AV62</f>
        <v>46</v>
      </c>
      <c r="AW5" s="45" t="n">
        <f aca="false">'Cartera 60M'!AW62</f>
        <v>47</v>
      </c>
      <c r="AX5" s="45" t="n">
        <f aca="false">'Cartera 60M'!AX62</f>
        <v>48</v>
      </c>
      <c r="AY5" s="45" t="n">
        <f aca="false">'Cartera 60M'!AY62</f>
        <v>49</v>
      </c>
      <c r="AZ5" s="45" t="n">
        <f aca="false">'Cartera 60M'!AZ62</f>
        <v>50</v>
      </c>
      <c r="BA5" s="45" t="n">
        <f aca="false">'Cartera 60M'!BA62</f>
        <v>51</v>
      </c>
      <c r="BB5" s="45" t="n">
        <f aca="false">'Cartera 60M'!BB62</f>
        <v>52</v>
      </c>
      <c r="BC5" s="45" t="n">
        <f aca="false">'Cartera 60M'!BC62</f>
        <v>53</v>
      </c>
      <c r="BD5" s="45" t="n">
        <f aca="false">'Cartera 60M'!BD62</f>
        <v>54</v>
      </c>
      <c r="BE5" s="45" t="n">
        <f aca="false">'Cartera 60M'!BE62</f>
        <v>55</v>
      </c>
      <c r="BF5" s="45" t="n">
        <f aca="false">'Cartera 60M'!BF62</f>
        <v>56</v>
      </c>
      <c r="BG5" s="45" t="n">
        <f aca="false">'Cartera 60M'!BG62</f>
        <v>57</v>
      </c>
      <c r="BH5" s="45" t="n">
        <f aca="false">'Cartera 60M'!BH62</f>
        <v>58</v>
      </c>
      <c r="BI5" s="45" t="n">
        <f aca="false">'Cartera 60M'!BI62</f>
        <v>59</v>
      </c>
      <c r="BJ5" s="45" t="n">
        <f aca="false">'Cartera 60M'!BJ62</f>
        <v>60</v>
      </c>
    </row>
    <row r="6" customFormat="false" ht="15" hidden="false" customHeight="false" outlineLevel="0" collapsed="false">
      <c r="A6" s="1"/>
      <c r="B6" s="7" t="s">
        <v>180</v>
      </c>
      <c r="C6" s="25" t="n">
        <f aca="false">'Cartera 60M'!C63</f>
        <v>1</v>
      </c>
      <c r="D6" s="25" t="n">
        <f aca="false">'Cartera 60M'!D63</f>
        <v>1</v>
      </c>
      <c r="E6" s="25" t="n">
        <f aca="false">'Cartera 60M'!E63</f>
        <v>1</v>
      </c>
      <c r="F6" s="25" t="n">
        <f aca="false">'Cartera 60M'!F63</f>
        <v>1</v>
      </c>
      <c r="G6" s="25" t="n">
        <f aca="false">'Cartera 60M'!G63</f>
        <v>1</v>
      </c>
      <c r="H6" s="25" t="n">
        <f aca="false">'Cartera 60M'!H63</f>
        <v>1</v>
      </c>
      <c r="I6" s="25" t="n">
        <f aca="false">'Cartera 60M'!I63</f>
        <v>1</v>
      </c>
      <c r="J6" s="25" t="n">
        <f aca="false">'Cartera 60M'!J63</f>
        <v>1</v>
      </c>
      <c r="K6" s="25" t="n">
        <f aca="false">'Cartera 60M'!K63</f>
        <v>1</v>
      </c>
      <c r="L6" s="25" t="n">
        <f aca="false">'Cartera 60M'!L63</f>
        <v>1</v>
      </c>
      <c r="M6" s="25" t="n">
        <f aca="false">'Cartera 60M'!M63</f>
        <v>1</v>
      </c>
      <c r="N6" s="25" t="n">
        <f aca="false">'Cartera 60M'!N63</f>
        <v>1</v>
      </c>
      <c r="O6" s="25" t="n">
        <f aca="false">'Cartera 60M'!O63</f>
        <v>2</v>
      </c>
      <c r="P6" s="25" t="n">
        <f aca="false">'Cartera 60M'!P63</f>
        <v>2</v>
      </c>
      <c r="Q6" s="25" t="n">
        <f aca="false">'Cartera 60M'!Q63</f>
        <v>2</v>
      </c>
      <c r="R6" s="25" t="n">
        <f aca="false">'Cartera 60M'!R63</f>
        <v>2</v>
      </c>
      <c r="S6" s="25" t="n">
        <f aca="false">'Cartera 60M'!S63</f>
        <v>2</v>
      </c>
      <c r="T6" s="25" t="n">
        <f aca="false">'Cartera 60M'!T63</f>
        <v>2</v>
      </c>
      <c r="U6" s="25" t="n">
        <f aca="false">'Cartera 60M'!U63</f>
        <v>2</v>
      </c>
      <c r="V6" s="25" t="n">
        <f aca="false">'Cartera 60M'!V63</f>
        <v>2</v>
      </c>
      <c r="W6" s="25" t="n">
        <f aca="false">'Cartera 60M'!W63</f>
        <v>2</v>
      </c>
      <c r="X6" s="25" t="n">
        <f aca="false">'Cartera 60M'!X63</f>
        <v>2</v>
      </c>
      <c r="Y6" s="25" t="n">
        <f aca="false">'Cartera 60M'!Y63</f>
        <v>2</v>
      </c>
      <c r="Z6" s="25" t="n">
        <f aca="false">'Cartera 60M'!Z63</f>
        <v>2</v>
      </c>
      <c r="AA6" s="25" t="n">
        <f aca="false">'Cartera 60M'!AA63</f>
        <v>3</v>
      </c>
      <c r="AB6" s="25" t="n">
        <f aca="false">'Cartera 60M'!AB63</f>
        <v>3</v>
      </c>
      <c r="AC6" s="25" t="n">
        <f aca="false">'Cartera 60M'!AC63</f>
        <v>3</v>
      </c>
      <c r="AD6" s="25" t="n">
        <f aca="false">'Cartera 60M'!AD63</f>
        <v>3</v>
      </c>
      <c r="AE6" s="25" t="n">
        <f aca="false">'Cartera 60M'!AE63</f>
        <v>3</v>
      </c>
      <c r="AF6" s="25" t="n">
        <f aca="false">'Cartera 60M'!AF63</f>
        <v>3</v>
      </c>
      <c r="AG6" s="25" t="n">
        <f aca="false">'Cartera 60M'!AG63</f>
        <v>3</v>
      </c>
      <c r="AH6" s="25" t="n">
        <f aca="false">'Cartera 60M'!AH63</f>
        <v>3</v>
      </c>
      <c r="AI6" s="25" t="n">
        <f aca="false">'Cartera 60M'!AI63</f>
        <v>3</v>
      </c>
      <c r="AJ6" s="25" t="n">
        <f aca="false">'Cartera 60M'!AJ63</f>
        <v>3</v>
      </c>
      <c r="AK6" s="25" t="n">
        <f aca="false">'Cartera 60M'!AK63</f>
        <v>3</v>
      </c>
      <c r="AL6" s="25" t="n">
        <f aca="false">'Cartera 60M'!AL63</f>
        <v>3</v>
      </c>
      <c r="AM6" s="25" t="n">
        <f aca="false">'Cartera 60M'!AM63</f>
        <v>4</v>
      </c>
      <c r="AN6" s="25" t="n">
        <f aca="false">'Cartera 60M'!AN63</f>
        <v>4</v>
      </c>
      <c r="AO6" s="25" t="n">
        <f aca="false">'Cartera 60M'!AO63</f>
        <v>4</v>
      </c>
      <c r="AP6" s="25" t="n">
        <f aca="false">'Cartera 60M'!AP63</f>
        <v>4</v>
      </c>
      <c r="AQ6" s="25" t="n">
        <f aca="false">'Cartera 60M'!AQ63</f>
        <v>4</v>
      </c>
      <c r="AR6" s="25" t="n">
        <f aca="false">'Cartera 60M'!AR63</f>
        <v>4</v>
      </c>
      <c r="AS6" s="25" t="n">
        <f aca="false">'Cartera 60M'!AS63</f>
        <v>4</v>
      </c>
      <c r="AT6" s="25" t="n">
        <f aca="false">'Cartera 60M'!AT63</f>
        <v>4</v>
      </c>
      <c r="AU6" s="25" t="n">
        <f aca="false">'Cartera 60M'!AU63</f>
        <v>4</v>
      </c>
      <c r="AV6" s="25" t="n">
        <f aca="false">'Cartera 60M'!AV63</f>
        <v>4</v>
      </c>
      <c r="AW6" s="25" t="n">
        <f aca="false">'Cartera 60M'!AW63</f>
        <v>4</v>
      </c>
      <c r="AX6" s="25" t="n">
        <f aca="false">'Cartera 60M'!AX63</f>
        <v>4</v>
      </c>
      <c r="AY6" s="25" t="n">
        <f aca="false">'Cartera 60M'!AY63</f>
        <v>5</v>
      </c>
      <c r="AZ6" s="25" t="n">
        <f aca="false">'Cartera 60M'!AZ63</f>
        <v>5</v>
      </c>
      <c r="BA6" s="25" t="n">
        <f aca="false">'Cartera 60M'!BA63</f>
        <v>5</v>
      </c>
      <c r="BB6" s="25" t="n">
        <f aca="false">'Cartera 60M'!BB63</f>
        <v>5</v>
      </c>
      <c r="BC6" s="25" t="n">
        <f aca="false">'Cartera 60M'!BC63</f>
        <v>5</v>
      </c>
      <c r="BD6" s="25" t="n">
        <f aca="false">'Cartera 60M'!BD63</f>
        <v>5</v>
      </c>
      <c r="BE6" s="25" t="n">
        <f aca="false">'Cartera 60M'!BE63</f>
        <v>5</v>
      </c>
      <c r="BF6" s="25" t="n">
        <f aca="false">'Cartera 60M'!BF63</f>
        <v>5</v>
      </c>
      <c r="BG6" s="25" t="n">
        <f aca="false">'Cartera 60M'!BG63</f>
        <v>5</v>
      </c>
      <c r="BH6" s="25" t="n">
        <f aca="false">'Cartera 60M'!BH63</f>
        <v>5</v>
      </c>
      <c r="BI6" s="25" t="n">
        <f aca="false">'Cartera 60M'!BI63</f>
        <v>5</v>
      </c>
      <c r="BJ6" s="25" t="n">
        <f aca="false">'Cartera 60M'!BJ63</f>
        <v>5</v>
      </c>
    </row>
    <row r="7" customFormat="false" ht="15" hidden="false" customHeight="false" outlineLevel="0" collapsed="false">
      <c r="A7" s="1"/>
      <c r="B7" s="7" t="s">
        <v>183</v>
      </c>
      <c r="C7" s="25" t="n">
        <f aca="false">'Cartera 60M'!C66</f>
        <v>2</v>
      </c>
      <c r="D7" s="25" t="n">
        <f aca="false">'Cartera 60M'!D66</f>
        <v>5</v>
      </c>
      <c r="E7" s="25" t="n">
        <f aca="false">'Cartera 60M'!E66</f>
        <v>10</v>
      </c>
      <c r="F7" s="25" t="n">
        <f aca="false">'Cartera 60M'!F66</f>
        <v>16</v>
      </c>
      <c r="G7" s="25" t="n">
        <f aca="false">'Cartera 60M'!G66</f>
        <v>23</v>
      </c>
      <c r="H7" s="25" t="n">
        <f aca="false">'Cartera 60M'!H66</f>
        <v>31</v>
      </c>
      <c r="I7" s="25" t="n">
        <f aca="false">'Cartera 60M'!I66</f>
        <v>41</v>
      </c>
      <c r="J7" s="25" t="n">
        <f aca="false">'Cartera 60M'!J66</f>
        <v>52</v>
      </c>
      <c r="K7" s="25" t="n">
        <f aca="false">'Cartera 60M'!K66</f>
        <v>64</v>
      </c>
      <c r="L7" s="25" t="n">
        <f aca="false">'Cartera 60M'!L66</f>
        <v>77</v>
      </c>
      <c r="M7" s="25" t="n">
        <f aca="false">'Cartera 60M'!M66</f>
        <v>92</v>
      </c>
      <c r="N7" s="25" t="n">
        <f aca="false">'Cartera 60M'!N66</f>
        <v>108</v>
      </c>
      <c r="O7" s="25" t="n">
        <f aca="false">'Cartera 60M'!O66</f>
        <v>123</v>
      </c>
      <c r="P7" s="25" t="n">
        <f aca="false">'Cartera 60M'!P66</f>
        <v>138</v>
      </c>
      <c r="Q7" s="25" t="n">
        <f aca="false">'Cartera 60M'!Q66</f>
        <v>153</v>
      </c>
      <c r="R7" s="25" t="n">
        <f aca="false">'Cartera 60M'!R66</f>
        <v>168</v>
      </c>
      <c r="S7" s="25" t="n">
        <f aca="false">'Cartera 60M'!S66</f>
        <v>183</v>
      </c>
      <c r="T7" s="25" t="n">
        <f aca="false">'Cartera 60M'!T66</f>
        <v>199</v>
      </c>
      <c r="U7" s="25" t="n">
        <f aca="false">'Cartera 60M'!U66</f>
        <v>214</v>
      </c>
      <c r="V7" s="25" t="n">
        <f aca="false">'Cartera 60M'!V66</f>
        <v>229</v>
      </c>
      <c r="W7" s="25" t="n">
        <f aca="false">'Cartera 60M'!W66</f>
        <v>244</v>
      </c>
      <c r="X7" s="25" t="n">
        <f aca="false">'Cartera 60M'!X66</f>
        <v>260</v>
      </c>
      <c r="Y7" s="25" t="n">
        <f aca="false">'Cartera 60M'!Y66</f>
        <v>275</v>
      </c>
      <c r="Z7" s="25" t="n">
        <f aca="false">'Cartera 60M'!Z66</f>
        <v>290</v>
      </c>
      <c r="AA7" s="25" t="n">
        <f aca="false">'Cartera 60M'!AA66</f>
        <v>305</v>
      </c>
      <c r="AB7" s="25" t="n">
        <f aca="false">'Cartera 60M'!AB66</f>
        <v>321</v>
      </c>
      <c r="AC7" s="25" t="n">
        <f aca="false">'Cartera 60M'!AC66</f>
        <v>336</v>
      </c>
      <c r="AD7" s="25" t="n">
        <f aca="false">'Cartera 60M'!AD66</f>
        <v>351</v>
      </c>
      <c r="AE7" s="25" t="n">
        <f aca="false">'Cartera 60M'!AE66</f>
        <v>367</v>
      </c>
      <c r="AF7" s="25" t="n">
        <f aca="false">'Cartera 60M'!AF66</f>
        <v>382</v>
      </c>
      <c r="AG7" s="25" t="n">
        <f aca="false">'Cartera 60M'!AG66</f>
        <v>397</v>
      </c>
      <c r="AH7" s="25" t="n">
        <f aca="false">'Cartera 60M'!AH66</f>
        <v>412</v>
      </c>
      <c r="AI7" s="25" t="n">
        <f aca="false">'Cartera 60M'!AI66</f>
        <v>428</v>
      </c>
      <c r="AJ7" s="25" t="n">
        <f aca="false">'Cartera 60M'!AJ66</f>
        <v>443</v>
      </c>
      <c r="AK7" s="25" t="n">
        <f aca="false">'Cartera 60M'!AK66</f>
        <v>458</v>
      </c>
      <c r="AL7" s="25" t="n">
        <f aca="false">'Cartera 60M'!AL66</f>
        <v>473</v>
      </c>
      <c r="AM7" s="25" t="n">
        <f aca="false">'Cartera 60M'!AM66</f>
        <v>489</v>
      </c>
      <c r="AN7" s="25" t="n">
        <f aca="false">'Cartera 60M'!AN66</f>
        <v>504</v>
      </c>
      <c r="AO7" s="25" t="n">
        <f aca="false">'Cartera 60M'!AO66</f>
        <v>519</v>
      </c>
      <c r="AP7" s="25" t="n">
        <f aca="false">'Cartera 60M'!AP66</f>
        <v>534</v>
      </c>
      <c r="AQ7" s="25" t="n">
        <f aca="false">'Cartera 60M'!AQ66</f>
        <v>549</v>
      </c>
      <c r="AR7" s="25" t="n">
        <f aca="false">'Cartera 60M'!AR66</f>
        <v>564</v>
      </c>
      <c r="AS7" s="25" t="n">
        <f aca="false">'Cartera 60M'!AS66</f>
        <v>579</v>
      </c>
      <c r="AT7" s="25" t="n">
        <f aca="false">'Cartera 60M'!AT66</f>
        <v>595</v>
      </c>
      <c r="AU7" s="25" t="n">
        <f aca="false">'Cartera 60M'!AU66</f>
        <v>610</v>
      </c>
      <c r="AV7" s="25" t="n">
        <f aca="false">'Cartera 60M'!AV66</f>
        <v>625</v>
      </c>
      <c r="AW7" s="25" t="n">
        <f aca="false">'Cartera 60M'!AW66</f>
        <v>640</v>
      </c>
      <c r="AX7" s="25" t="n">
        <f aca="false">'Cartera 60M'!AX66</f>
        <v>656</v>
      </c>
      <c r="AY7" s="25" t="n">
        <f aca="false">'Cartera 60M'!AY66</f>
        <v>670</v>
      </c>
      <c r="AZ7" s="25" t="n">
        <f aca="false">'Cartera 60M'!AZ66</f>
        <v>683</v>
      </c>
      <c r="BA7" s="25" t="n">
        <f aca="false">'Cartera 60M'!BA66</f>
        <v>695</v>
      </c>
      <c r="BB7" s="25" t="n">
        <f aca="false">'Cartera 60M'!BB66</f>
        <v>706</v>
      </c>
      <c r="BC7" s="25" t="n">
        <f aca="false">'Cartera 60M'!BC66</f>
        <v>715</v>
      </c>
      <c r="BD7" s="25" t="n">
        <f aca="false">'Cartera 60M'!BD66</f>
        <v>723</v>
      </c>
      <c r="BE7" s="25" t="n">
        <f aca="false">'Cartera 60M'!BE66</f>
        <v>730</v>
      </c>
      <c r="BF7" s="25" t="n">
        <f aca="false">'Cartera 60M'!BF66</f>
        <v>735</v>
      </c>
      <c r="BG7" s="25" t="n">
        <f aca="false">'Cartera 60M'!BG66</f>
        <v>739</v>
      </c>
      <c r="BH7" s="25" t="n">
        <f aca="false">'Cartera 60M'!BH66</f>
        <v>742</v>
      </c>
      <c r="BI7" s="25" t="n">
        <f aca="false">'Cartera 60M'!BI66</f>
        <v>744</v>
      </c>
      <c r="BJ7" s="25" t="n">
        <f aca="false">'Cartera 60M'!BJ66</f>
        <v>744</v>
      </c>
    </row>
    <row r="8" customFormat="false" ht="15" hidden="false" customHeight="false" outlineLevel="0" collapsed="false">
      <c r="A8" s="1"/>
      <c r="B8" s="7" t="s">
        <v>184</v>
      </c>
      <c r="C8" s="25" t="n">
        <f aca="false">'Cartera 60M'!C67</f>
        <v>2</v>
      </c>
      <c r="D8" s="25" t="n">
        <f aca="false">'Cartera 60M'!D67</f>
        <v>5</v>
      </c>
      <c r="E8" s="25" t="n">
        <f aca="false">'Cartera 60M'!E67</f>
        <v>10</v>
      </c>
      <c r="F8" s="25" t="n">
        <f aca="false">'Cartera 60M'!F67</f>
        <v>16</v>
      </c>
      <c r="G8" s="25" t="n">
        <f aca="false">'Cartera 60M'!G67</f>
        <v>23</v>
      </c>
      <c r="H8" s="25" t="n">
        <f aca="false">'Cartera 60M'!H67</f>
        <v>31</v>
      </c>
      <c r="I8" s="25" t="n">
        <f aca="false">'Cartera 60M'!I67</f>
        <v>41</v>
      </c>
      <c r="J8" s="25" t="n">
        <f aca="false">'Cartera 60M'!J67</f>
        <v>52</v>
      </c>
      <c r="K8" s="25" t="n">
        <f aca="false">'Cartera 60M'!K67</f>
        <v>64</v>
      </c>
      <c r="L8" s="25" t="n">
        <f aca="false">'Cartera 60M'!L67</f>
        <v>77</v>
      </c>
      <c r="M8" s="25" t="n">
        <f aca="false">'Cartera 60M'!M67</f>
        <v>92</v>
      </c>
      <c r="N8" s="25" t="n">
        <f aca="false">'Cartera 60M'!N67</f>
        <v>108</v>
      </c>
      <c r="O8" s="25" t="n">
        <f aca="false">'Cartera 60M'!O67</f>
        <v>123</v>
      </c>
      <c r="P8" s="25" t="n">
        <f aca="false">'Cartera 60M'!P67</f>
        <v>138</v>
      </c>
      <c r="Q8" s="25" t="n">
        <f aca="false">'Cartera 60M'!Q67</f>
        <v>153</v>
      </c>
      <c r="R8" s="25" t="n">
        <f aca="false">'Cartera 60M'!R67</f>
        <v>168</v>
      </c>
      <c r="S8" s="25" t="n">
        <f aca="false">'Cartera 60M'!S67</f>
        <v>183</v>
      </c>
      <c r="T8" s="25" t="n">
        <f aca="false">'Cartera 60M'!T67</f>
        <v>199</v>
      </c>
      <c r="U8" s="25" t="n">
        <f aca="false">'Cartera 60M'!U67</f>
        <v>214</v>
      </c>
      <c r="V8" s="25" t="n">
        <f aca="false">'Cartera 60M'!V67</f>
        <v>229</v>
      </c>
      <c r="W8" s="25" t="n">
        <f aca="false">'Cartera 60M'!W67</f>
        <v>244</v>
      </c>
      <c r="X8" s="25" t="n">
        <f aca="false">'Cartera 60M'!X67</f>
        <v>260</v>
      </c>
      <c r="Y8" s="25" t="n">
        <f aca="false">'Cartera 60M'!Y67</f>
        <v>275</v>
      </c>
      <c r="Z8" s="25" t="n">
        <f aca="false">'Cartera 60M'!Z67</f>
        <v>290</v>
      </c>
      <c r="AA8" s="25" t="n">
        <f aca="false">'Cartera 60M'!AA67</f>
        <v>305</v>
      </c>
      <c r="AB8" s="25" t="n">
        <f aca="false">'Cartera 60M'!AB67</f>
        <v>321</v>
      </c>
      <c r="AC8" s="25" t="n">
        <f aca="false">'Cartera 60M'!AC67</f>
        <v>336</v>
      </c>
      <c r="AD8" s="25" t="n">
        <f aca="false">'Cartera 60M'!AD67</f>
        <v>351</v>
      </c>
      <c r="AE8" s="25" t="n">
        <f aca="false">'Cartera 60M'!AE67</f>
        <v>367</v>
      </c>
      <c r="AF8" s="25" t="n">
        <f aca="false">'Cartera 60M'!AF67</f>
        <v>382</v>
      </c>
      <c r="AG8" s="25" t="n">
        <f aca="false">'Cartera 60M'!AG67</f>
        <v>397</v>
      </c>
      <c r="AH8" s="25" t="n">
        <f aca="false">'Cartera 60M'!AH67</f>
        <v>412</v>
      </c>
      <c r="AI8" s="25" t="n">
        <f aca="false">'Cartera 60M'!AI67</f>
        <v>428</v>
      </c>
      <c r="AJ8" s="25" t="n">
        <f aca="false">'Cartera 60M'!AJ67</f>
        <v>443</v>
      </c>
      <c r="AK8" s="25" t="n">
        <f aca="false">'Cartera 60M'!AK67</f>
        <v>458</v>
      </c>
      <c r="AL8" s="25" t="n">
        <f aca="false">'Cartera 60M'!AL67</f>
        <v>473</v>
      </c>
      <c r="AM8" s="25" t="n">
        <f aca="false">'Cartera 60M'!AM67</f>
        <v>489</v>
      </c>
      <c r="AN8" s="25" t="n">
        <f aca="false">'Cartera 60M'!AN67</f>
        <v>504</v>
      </c>
      <c r="AO8" s="25" t="n">
        <f aca="false">'Cartera 60M'!AO67</f>
        <v>519</v>
      </c>
      <c r="AP8" s="25" t="n">
        <f aca="false">'Cartera 60M'!AP67</f>
        <v>534</v>
      </c>
      <c r="AQ8" s="25" t="n">
        <f aca="false">'Cartera 60M'!AQ67</f>
        <v>549</v>
      </c>
      <c r="AR8" s="25" t="n">
        <f aca="false">'Cartera 60M'!AR67</f>
        <v>564</v>
      </c>
      <c r="AS8" s="25" t="n">
        <f aca="false">'Cartera 60M'!AS67</f>
        <v>579</v>
      </c>
      <c r="AT8" s="25" t="n">
        <f aca="false">'Cartera 60M'!AT67</f>
        <v>595</v>
      </c>
      <c r="AU8" s="25" t="n">
        <f aca="false">'Cartera 60M'!AU67</f>
        <v>610</v>
      </c>
      <c r="AV8" s="25" t="n">
        <f aca="false">'Cartera 60M'!AV67</f>
        <v>625</v>
      </c>
      <c r="AW8" s="25" t="n">
        <f aca="false">'Cartera 60M'!AW67</f>
        <v>640</v>
      </c>
      <c r="AX8" s="25" t="n">
        <f aca="false">'Cartera 60M'!AX67</f>
        <v>656</v>
      </c>
      <c r="AY8" s="25" t="n">
        <f aca="false">'Cartera 60M'!AY67</f>
        <v>670</v>
      </c>
      <c r="AZ8" s="25" t="n">
        <f aca="false">'Cartera 60M'!AZ67</f>
        <v>683</v>
      </c>
      <c r="BA8" s="25" t="n">
        <f aca="false">'Cartera 60M'!BA67</f>
        <v>695</v>
      </c>
      <c r="BB8" s="25" t="n">
        <f aca="false">'Cartera 60M'!BB67</f>
        <v>706</v>
      </c>
      <c r="BC8" s="25" t="n">
        <f aca="false">'Cartera 60M'!BC67</f>
        <v>715</v>
      </c>
      <c r="BD8" s="25" t="n">
        <f aca="false">'Cartera 60M'!BD67</f>
        <v>723</v>
      </c>
      <c r="BE8" s="25" t="n">
        <f aca="false">'Cartera 60M'!BE67</f>
        <v>730</v>
      </c>
      <c r="BF8" s="25" t="n">
        <f aca="false">'Cartera 60M'!BF67</f>
        <v>735</v>
      </c>
      <c r="BG8" s="25" t="n">
        <f aca="false">'Cartera 60M'!BG67</f>
        <v>739</v>
      </c>
      <c r="BH8" s="25" t="n">
        <f aca="false">'Cartera 60M'!BH67</f>
        <v>742</v>
      </c>
      <c r="BI8" s="25" t="n">
        <f aca="false">'Cartera 60M'!BI67</f>
        <v>744</v>
      </c>
      <c r="BJ8" s="25" t="n">
        <f aca="false">'Cartera 60M'!BJ67</f>
        <v>744</v>
      </c>
    </row>
    <row r="9" customFormat="false" ht="15" hidden="false" customHeight="false" outlineLevel="0" collapsed="false">
      <c r="A9" s="1"/>
      <c r="B9" s="7" t="s">
        <v>200</v>
      </c>
      <c r="C9" s="25" t="n">
        <f aca="false">'Cartera 60M'!C75</f>
        <v>2785593.87048296</v>
      </c>
      <c r="D9" s="25" t="n">
        <f aca="false">'Cartera 60M'!D75</f>
        <v>6743682.37812864</v>
      </c>
      <c r="E9" s="25" t="n">
        <f aca="false">'Cartera 60M'!E75</f>
        <v>13150852.995942</v>
      </c>
      <c r="F9" s="25" t="n">
        <f aca="false">'Cartera 60M'!F75</f>
        <v>20384752.417194</v>
      </c>
      <c r="G9" s="25" t="n">
        <f aca="false">'Cartera 60M'!G75</f>
        <v>28319662.6192209</v>
      </c>
      <c r="H9" s="25" t="n">
        <f aca="false">'Cartera 60M'!H75</f>
        <v>36826408.3337353</v>
      </c>
      <c r="I9" s="25" t="n">
        <f aca="false">'Cartera 60M'!I75</f>
        <v>47165058.9078137</v>
      </c>
      <c r="J9" s="25" t="n">
        <f aca="false">'Cartera 60M'!J75</f>
        <v>57696288.6603355</v>
      </c>
      <c r="K9" s="25" t="n">
        <f aca="false">'Cartera 60M'!K75</f>
        <v>68276940.4539494</v>
      </c>
      <c r="L9" s="25" t="n">
        <f aca="false">'Cartera 60M'!L75</f>
        <v>78759920.3300269</v>
      </c>
      <c r="M9" s="25" t="n">
        <f aca="false">'Cartera 60M'!M75</f>
        <v>90386886.1813188</v>
      </c>
      <c r="N9" s="25" t="n">
        <f aca="false">'Cartera 60M'!N75</f>
        <v>101499594.557385</v>
      </c>
      <c r="O9" s="25" t="n">
        <f aca="false">'Cartera 60M'!O75</f>
        <v>112232356.442415</v>
      </c>
      <c r="P9" s="25" t="n">
        <f aca="false">'Cartera 60M'!P75</f>
        <v>122574723.307905</v>
      </c>
      <c r="Q9" s="25" t="n">
        <f aca="false">'Cartera 60M'!Q75</f>
        <v>134057209.290819</v>
      </c>
      <c r="R9" s="25" t="n">
        <f aca="false">'Cartera 60M'!R75</f>
        <v>145169917.666885</v>
      </c>
      <c r="S9" s="25" t="n">
        <f aca="false">'Cartera 60M'!S75</f>
        <v>155902679.551915</v>
      </c>
      <c r="T9" s="25" t="n">
        <f aca="false">'Cartera 60M'!T75</f>
        <v>167637843.352647</v>
      </c>
      <c r="U9" s="25" t="n">
        <f aca="false">'Cartera 60M'!U75</f>
        <v>179010178.186522</v>
      </c>
      <c r="V9" s="25" t="n">
        <f aca="false">'Cartera 60M'!V75</f>
        <v>190009706.25695</v>
      </c>
      <c r="W9" s="25" t="n">
        <f aca="false">'Cartera 60M'!W75</f>
        <v>200626175.377937</v>
      </c>
      <c r="X9" s="25" t="n">
        <f aca="false">'Cartera 60M'!X75</f>
        <v>212241848.363615</v>
      </c>
      <c r="Y9" s="25" t="n">
        <f aca="false">'Cartera 60M'!Y75</f>
        <v>223491406.385021</v>
      </c>
      <c r="Z9" s="25" t="n">
        <f aca="false">'Cartera 60M'!Z75</f>
        <v>234364781.280638</v>
      </c>
      <c r="AA9" s="25" t="n">
        <f aca="false">'Cartera 60M'!AA75</f>
        <v>244851628.014507</v>
      </c>
      <c r="AB9" s="25" t="n">
        <f aca="false">'Cartera 60M'!AB75</f>
        <v>256334113.997421</v>
      </c>
      <c r="AC9" s="25" t="n">
        <f aca="false">'Cartera 60M'!AC75</f>
        <v>267446822.373487</v>
      </c>
      <c r="AD9" s="25" t="n">
        <f aca="false">'Cartera 60M'!AD75</f>
        <v>278179584.258517</v>
      </c>
      <c r="AE9" s="25" t="n">
        <f aca="false">'Cartera 60M'!AE75</f>
        <v>289914748.059249</v>
      </c>
      <c r="AF9" s="25" t="n">
        <f aca="false">'Cartera 60M'!AF75</f>
        <v>301287082.893124</v>
      </c>
      <c r="AG9" s="25" t="n">
        <f aca="false">'Cartera 60M'!AG75</f>
        <v>312286610.963552</v>
      </c>
      <c r="AH9" s="25" t="n">
        <f aca="false">'Cartera 60M'!AH75</f>
        <v>322903080.084539</v>
      </c>
      <c r="AI9" s="25" t="n">
        <f aca="false">'Cartera 60M'!AI75</f>
        <v>334518753.070217</v>
      </c>
      <c r="AJ9" s="25" t="n">
        <f aca="false">'Cartera 60M'!AJ75</f>
        <v>345768311.091623</v>
      </c>
      <c r="AK9" s="25" t="n">
        <f aca="false">'Cartera 60M'!AK75</f>
        <v>356641685.987241</v>
      </c>
      <c r="AL9" s="25" t="n">
        <f aca="false">'Cartera 60M'!AL75</f>
        <v>367128532.72111</v>
      </c>
      <c r="AM9" s="25" t="n">
        <f aca="false">'Cartera 60M'!AM75</f>
        <v>378611018.704023</v>
      </c>
      <c r="AN9" s="25" t="n">
        <f aca="false">'Cartera 60M'!AN75</f>
        <v>389723727.08009</v>
      </c>
      <c r="AO9" s="25" t="n">
        <f aca="false">'Cartera 60M'!AO75</f>
        <v>400456488.96512</v>
      </c>
      <c r="AP9" s="25" t="n">
        <f aca="false">'Cartera 60M'!AP75</f>
        <v>410798855.830611</v>
      </c>
      <c r="AQ9" s="25" t="n">
        <f aca="false">'Cartera 60M'!AQ75</f>
        <v>422281341.813525</v>
      </c>
      <c r="AR9" s="25" t="n">
        <f aca="false">'Cartera 60M'!AR75</f>
        <v>433394050.189591</v>
      </c>
      <c r="AS9" s="25" t="n">
        <f aca="false">'Cartera 60M'!AS75</f>
        <v>444126812.074621</v>
      </c>
      <c r="AT9" s="25" t="n">
        <f aca="false">'Cartera 60M'!AT75</f>
        <v>455861975.875354</v>
      </c>
      <c r="AU9" s="25" t="n">
        <f aca="false">'Cartera 60M'!AU75</f>
        <v>467234310.709228</v>
      </c>
      <c r="AV9" s="25" t="n">
        <f aca="false">'Cartera 60M'!AV75</f>
        <v>478233838.779657</v>
      </c>
      <c r="AW9" s="25" t="n">
        <f aca="false">'Cartera 60M'!AW75</f>
        <v>488850307.900644</v>
      </c>
      <c r="AX9" s="25" t="n">
        <f aca="false">'Cartera 60M'!AX75</f>
        <v>500465980.886322</v>
      </c>
      <c r="AY9" s="25" t="n">
        <f aca="false">'Cartera 60M'!AY75</f>
        <v>510322741.972487</v>
      </c>
      <c r="AZ9" s="25" t="n">
        <f aca="false">'Cartera 60M'!AZ75</f>
        <v>518520674.146661</v>
      </c>
      <c r="BA9" s="25" t="n">
        <f aca="false">'Cartera 60M'!BA75</f>
        <v>525162612.678523</v>
      </c>
      <c r="BB9" s="25" t="n">
        <f aca="false">'Cartera 60M'!BB75</f>
        <v>530354220.807666</v>
      </c>
      <c r="BC9" s="25" t="n">
        <f aca="false">'Cartera 60M'!BC75</f>
        <v>534352520.577535</v>
      </c>
      <c r="BD9" s="25" t="n">
        <f aca="false">'Cartera 60M'!BD75</f>
        <v>537273149.073007</v>
      </c>
      <c r="BE9" s="25" t="n">
        <f aca="false">'Cartera 60M'!BE75</f>
        <v>539234923.398795</v>
      </c>
      <c r="BF9" s="25" t="n">
        <f aca="false">'Cartera 60M'!BF75</f>
        <v>540508381.194749</v>
      </c>
      <c r="BG9" s="25" t="n">
        <f aca="false">'Cartera 60M'!BG75</f>
        <v>541223046.821058</v>
      </c>
      <c r="BH9" s="25" t="n">
        <f aca="false">'Cartera 60M'!BH75</f>
        <v>541512006.557814</v>
      </c>
      <c r="BI9" s="25" t="n">
        <f aca="false">'Cartera 60M'!BI75</f>
        <v>541512006.557815</v>
      </c>
      <c r="BJ9" s="25" t="n">
        <f aca="false">'Cartera 60M'!BJ75</f>
        <v>541512006.557816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customFormat="false" ht="15" hidden="false" customHeight="false" outlineLevel="0" collapsed="false">
      <c r="A11" s="1"/>
      <c r="B11" s="6" t="s">
        <v>201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</row>
    <row r="12" customFormat="false" ht="15" hidden="false" customHeight="false" outlineLevel="0" collapsed="false">
      <c r="A12" s="1"/>
      <c r="B12" s="7" t="s">
        <v>202</v>
      </c>
      <c r="C12" s="19" t="n">
        <f aca="false">'Cartera 60M'!C70*Supuestos!$C$17</f>
        <v>90000</v>
      </c>
      <c r="D12" s="19" t="n">
        <f aca="false">'Cartera 60M'!D70*Supuestos!$C$17</f>
        <v>135000</v>
      </c>
      <c r="E12" s="19" t="n">
        <f aca="false">'Cartera 60M'!E70*Supuestos!$C$17</f>
        <v>225000</v>
      </c>
      <c r="F12" s="19" t="n">
        <f aca="false">'Cartera 60M'!F70*Supuestos!$C$17</f>
        <v>270000</v>
      </c>
      <c r="G12" s="19" t="n">
        <f aca="false">'Cartera 60M'!G70*Supuestos!$C$17</f>
        <v>315000</v>
      </c>
      <c r="H12" s="19" t="n">
        <f aca="false">'Cartera 60M'!H70*Supuestos!$C$17</f>
        <v>360000</v>
      </c>
      <c r="I12" s="19" t="n">
        <f aca="false">'Cartera 60M'!I70*Supuestos!$C$17</f>
        <v>450000</v>
      </c>
      <c r="J12" s="19" t="n">
        <f aca="false">'Cartera 60M'!J70*Supuestos!$C$17</f>
        <v>495000</v>
      </c>
      <c r="K12" s="19" t="n">
        <f aca="false">'Cartera 60M'!K70*Supuestos!$C$17</f>
        <v>540000</v>
      </c>
      <c r="L12" s="19" t="n">
        <f aca="false">'Cartera 60M'!L70*Supuestos!$C$17</f>
        <v>585000</v>
      </c>
      <c r="M12" s="19" t="n">
        <f aca="false">'Cartera 60M'!M70*Supuestos!$C$17</f>
        <v>675000</v>
      </c>
      <c r="N12" s="19" t="n">
        <f aca="false">'Cartera 60M'!N70*Supuestos!$C$17</f>
        <v>720000</v>
      </c>
      <c r="O12" s="19" t="n">
        <f aca="false">'Cartera 60M'!O70*Supuestos!$C$17</f>
        <v>765000</v>
      </c>
      <c r="P12" s="19" t="n">
        <f aca="false">'Cartera 60M'!P70*Supuestos!$C$17</f>
        <v>810000</v>
      </c>
      <c r="Q12" s="19" t="n">
        <f aca="false">'Cartera 60M'!Q70*Supuestos!$C$17</f>
        <v>900000</v>
      </c>
      <c r="R12" s="19" t="n">
        <f aca="false">'Cartera 60M'!R70*Supuestos!$C$17</f>
        <v>945000</v>
      </c>
      <c r="S12" s="19" t="n">
        <f aca="false">'Cartera 60M'!S70*Supuestos!$C$17</f>
        <v>990000</v>
      </c>
      <c r="T12" s="19" t="n">
        <f aca="false">'Cartera 60M'!T70*Supuestos!$C$17</f>
        <v>1080000</v>
      </c>
      <c r="U12" s="19" t="n">
        <f aca="false">'Cartera 60M'!U70*Supuestos!$C$17</f>
        <v>1125000</v>
      </c>
      <c r="V12" s="19" t="n">
        <f aca="false">'Cartera 60M'!V70*Supuestos!$C$17</f>
        <v>1170000</v>
      </c>
      <c r="W12" s="19" t="n">
        <f aca="false">'Cartera 60M'!W70*Supuestos!$C$17</f>
        <v>1215000</v>
      </c>
      <c r="X12" s="19" t="n">
        <f aca="false">'Cartera 60M'!X70*Supuestos!$C$17</f>
        <v>1305000</v>
      </c>
      <c r="Y12" s="19" t="n">
        <f aca="false">'Cartera 60M'!Y70*Supuestos!$C$17</f>
        <v>1350000</v>
      </c>
      <c r="Z12" s="19" t="n">
        <f aca="false">'Cartera 60M'!Z70*Supuestos!$C$17</f>
        <v>1395000</v>
      </c>
      <c r="AA12" s="19" t="n">
        <f aca="false">'Cartera 60M'!AA70*Supuestos!$C$17</f>
        <v>1440000</v>
      </c>
      <c r="AB12" s="19" t="n">
        <f aca="false">'Cartera 60M'!AB70*Supuestos!$C$17</f>
        <v>1530000</v>
      </c>
      <c r="AC12" s="19" t="n">
        <f aca="false">'Cartera 60M'!AC70*Supuestos!$C$17</f>
        <v>1575000</v>
      </c>
      <c r="AD12" s="19" t="n">
        <f aca="false">'Cartera 60M'!AD70*Supuestos!$C$17</f>
        <v>1620000</v>
      </c>
      <c r="AE12" s="19" t="n">
        <f aca="false">'Cartera 60M'!AE70*Supuestos!$C$17</f>
        <v>1710000</v>
      </c>
      <c r="AF12" s="19" t="n">
        <f aca="false">'Cartera 60M'!AF70*Supuestos!$C$17</f>
        <v>1755000</v>
      </c>
      <c r="AG12" s="19" t="n">
        <f aca="false">'Cartera 60M'!AG70*Supuestos!$C$17</f>
        <v>1800000</v>
      </c>
      <c r="AH12" s="19" t="n">
        <f aca="false">'Cartera 60M'!AH70*Supuestos!$C$17</f>
        <v>1845000</v>
      </c>
      <c r="AI12" s="19" t="n">
        <f aca="false">'Cartera 60M'!AI70*Supuestos!$C$17</f>
        <v>1935000</v>
      </c>
      <c r="AJ12" s="19" t="n">
        <f aca="false">'Cartera 60M'!AJ70*Supuestos!$C$17</f>
        <v>1980000</v>
      </c>
      <c r="AK12" s="19" t="n">
        <f aca="false">'Cartera 60M'!AK70*Supuestos!$C$17</f>
        <v>2025000</v>
      </c>
      <c r="AL12" s="19" t="n">
        <f aca="false">'Cartera 60M'!AL70*Supuestos!$C$17</f>
        <v>2070000</v>
      </c>
      <c r="AM12" s="19" t="n">
        <f aca="false">'Cartera 60M'!AM70*Supuestos!$C$17</f>
        <v>2160000</v>
      </c>
      <c r="AN12" s="19" t="n">
        <f aca="false">'Cartera 60M'!AN70*Supuestos!$C$17</f>
        <v>2205000</v>
      </c>
      <c r="AO12" s="19" t="n">
        <f aca="false">'Cartera 60M'!AO70*Supuestos!$C$17</f>
        <v>2250000</v>
      </c>
      <c r="AP12" s="19" t="n">
        <f aca="false">'Cartera 60M'!AP70*Supuestos!$C$17</f>
        <v>2295000</v>
      </c>
      <c r="AQ12" s="19" t="n">
        <f aca="false">'Cartera 60M'!AQ70*Supuestos!$C$17</f>
        <v>2385000</v>
      </c>
      <c r="AR12" s="19" t="n">
        <f aca="false">'Cartera 60M'!AR70*Supuestos!$C$17</f>
        <v>2430000</v>
      </c>
      <c r="AS12" s="19" t="n">
        <f aca="false">'Cartera 60M'!AS70*Supuestos!$C$17</f>
        <v>2475000</v>
      </c>
      <c r="AT12" s="19" t="n">
        <f aca="false">'Cartera 60M'!AT70*Supuestos!$C$17</f>
        <v>2565000</v>
      </c>
      <c r="AU12" s="19" t="n">
        <f aca="false">'Cartera 60M'!AU70*Supuestos!$C$17</f>
        <v>2610000</v>
      </c>
      <c r="AV12" s="19" t="n">
        <f aca="false">'Cartera 60M'!AV70*Supuestos!$C$17</f>
        <v>2655000</v>
      </c>
      <c r="AW12" s="19" t="n">
        <f aca="false">'Cartera 60M'!AW70*Supuestos!$C$17</f>
        <v>2700000</v>
      </c>
      <c r="AX12" s="19" t="n">
        <f aca="false">'Cartera 60M'!AX70*Supuestos!$C$17</f>
        <v>2790000</v>
      </c>
      <c r="AY12" s="19" t="n">
        <f aca="false">'Cartera 60M'!AY70*Supuestos!$C$17</f>
        <v>2790000</v>
      </c>
      <c r="AZ12" s="19" t="n">
        <f aca="false">'Cartera 60M'!AZ70*Supuestos!$C$17</f>
        <v>2790000</v>
      </c>
      <c r="BA12" s="19" t="n">
        <f aca="false">'Cartera 60M'!BA70*Supuestos!$C$17</f>
        <v>2790000</v>
      </c>
      <c r="BB12" s="19" t="n">
        <f aca="false">'Cartera 60M'!BB70*Supuestos!$C$17</f>
        <v>2790000</v>
      </c>
      <c r="BC12" s="19" t="n">
        <f aca="false">'Cartera 60M'!BC70*Supuestos!$C$17</f>
        <v>2790000</v>
      </c>
      <c r="BD12" s="19" t="n">
        <f aca="false">'Cartera 60M'!BD70*Supuestos!$C$17</f>
        <v>2790000</v>
      </c>
      <c r="BE12" s="19" t="n">
        <f aca="false">'Cartera 60M'!BE70*Supuestos!$C$17</f>
        <v>2790000</v>
      </c>
      <c r="BF12" s="19" t="n">
        <f aca="false">'Cartera 60M'!BF70*Supuestos!$C$17</f>
        <v>2790000</v>
      </c>
      <c r="BG12" s="19" t="n">
        <f aca="false">'Cartera 60M'!BG70*Supuestos!$C$17</f>
        <v>2790000</v>
      </c>
      <c r="BH12" s="19" t="n">
        <f aca="false">'Cartera 60M'!BH70*Supuestos!$C$17</f>
        <v>2790000</v>
      </c>
      <c r="BI12" s="19" t="n">
        <f aca="false">'Cartera 60M'!BI70*Supuestos!$C$17</f>
        <v>2790000</v>
      </c>
      <c r="BJ12" s="19" t="n">
        <f aca="false">'Cartera 60M'!BJ70*Supuestos!$C$17</f>
        <v>2790000</v>
      </c>
    </row>
    <row r="13" customFormat="false" ht="15" hidden="false" customHeight="false" outlineLevel="0" collapsed="false">
      <c r="A13" s="1"/>
      <c r="B13" s="7" t="s">
        <v>203</v>
      </c>
      <c r="C13" s="25" t="n">
        <f aca="false">'Cartera 60M'!C72</f>
        <v>82500</v>
      </c>
      <c r="D13" s="25" t="n">
        <f aca="false">'Cartera 60M'!D72</f>
        <v>200353.831438281</v>
      </c>
      <c r="E13" s="25" t="n">
        <f aca="false">'Cartera 60M'!E72</f>
        <v>391701.265398538</v>
      </c>
      <c r="F13" s="25" t="n">
        <f aca="false">'Cartera 60M'!F72</f>
        <v>609148.457388404</v>
      </c>
      <c r="G13" s="25" t="n">
        <f aca="false">'Cartera 60M'!G72</f>
        <v>849330.691472836</v>
      </c>
      <c r="H13" s="25" t="n">
        <f aca="false">'Cartera 60M'!H72</f>
        <v>1108790.72202858</v>
      </c>
      <c r="I13" s="25" t="n">
        <f aca="false">'Cartera 60M'!I72</f>
        <v>1425226.22917772</v>
      </c>
      <c r="J13" s="25" t="n">
        <f aca="false">'Cartera 60M'!J72</f>
        <v>1750789.11996488</v>
      </c>
      <c r="K13" s="25" t="n">
        <f aca="false">'Cartera 60M'!K72</f>
        <v>2081647.93815923</v>
      </c>
      <c r="L13" s="25" t="n">
        <f aca="false">'Cartera 60M'!L72</f>
        <v>2413865.86248361</v>
      </c>
      <c r="M13" s="25" t="n">
        <f aca="false">'Cartera 60M'!M72</f>
        <v>2784647.80907574</v>
      </c>
      <c r="N13" s="25" t="n">
        <f aca="false">'Cartera 60M'!N72</f>
        <v>3145639.36998627</v>
      </c>
      <c r="O13" s="25" t="n">
        <f aca="false">'Cartera 60M'!O72</f>
        <v>3492488.85032808</v>
      </c>
      <c r="P13" s="25" t="n">
        <f aca="false">'Cartera 60M'!P72</f>
        <v>3828889.80216641</v>
      </c>
      <c r="Q13" s="25" t="n">
        <f aca="false">'Cartera 60M'!Q72</f>
        <v>4195804.8909674</v>
      </c>
      <c r="R13" s="25" t="n">
        <f aca="false">'Cartera 60M'!R72</f>
        <v>4552823.25549753</v>
      </c>
      <c r="S13" s="25" t="n">
        <f aca="false">'Cartera 60M'!S72</f>
        <v>4899672.73583934</v>
      </c>
      <c r="T13" s="25" t="n">
        <f aca="false">'Cartera 60M'!T72</f>
        <v>5277323.68767767</v>
      </c>
      <c r="U13" s="25" t="n">
        <f aca="false">'Cartera 60M'!U72</f>
        <v>5641290.6921978</v>
      </c>
      <c r="V13" s="25" t="n">
        <f aca="false">'Cartera 60M'!V72</f>
        <v>5995279.90012935</v>
      </c>
      <c r="W13" s="25" t="n">
        <f aca="false">'Cartera 60M'!W72</f>
        <v>6339016.92206612</v>
      </c>
      <c r="X13" s="25" t="n">
        <f aca="false">'Cartera 60M'!X72</f>
        <v>6713469.82289327</v>
      </c>
      <c r="Y13" s="25" t="n">
        <f aca="false">'Cartera 60M'!Y72</f>
        <v>7074150.82999941</v>
      </c>
      <c r="Z13" s="25" t="n">
        <f aca="false">'Cartera 60M'!Z72</f>
        <v>7424763.67558808</v>
      </c>
      <c r="AA13" s="25" t="n">
        <f aca="false">'Cartera 60M'!AA72</f>
        <v>7765031.48521755</v>
      </c>
      <c r="AB13" s="25" t="n">
        <f aca="false">'Cartera 60M'!AB72</f>
        <v>8135919.77039894</v>
      </c>
      <c r="AC13" s="25" t="n">
        <f aca="false">'Cartera 60M'!AC72</f>
        <v>8492938.13492907</v>
      </c>
      <c r="AD13" s="25" t="n">
        <f aca="false">'Cartera 60M'!AD72</f>
        <v>8839787.61527089</v>
      </c>
      <c r="AE13" s="25" t="n">
        <f aca="false">'Cartera 60M'!AE72</f>
        <v>9217438.56710922</v>
      </c>
      <c r="AF13" s="25" t="n">
        <f aca="false">'Cartera 60M'!AF72</f>
        <v>9581405.57162935</v>
      </c>
      <c r="AG13" s="25" t="n">
        <f aca="false">'Cartera 60M'!AG72</f>
        <v>9935394.7795609</v>
      </c>
      <c r="AH13" s="25" t="n">
        <f aca="false">'Cartera 60M'!AH72</f>
        <v>10279131.8014977</v>
      </c>
      <c r="AI13" s="25" t="n">
        <f aca="false">'Cartera 60M'!AI72</f>
        <v>10653584.7023248</v>
      </c>
      <c r="AJ13" s="25" t="n">
        <f aca="false">'Cartera 60M'!AJ72</f>
        <v>11014265.709431</v>
      </c>
      <c r="AK13" s="25" t="n">
        <f aca="false">'Cartera 60M'!AK72</f>
        <v>11364878.5550196</v>
      </c>
      <c r="AL13" s="25" t="n">
        <f aca="false">'Cartera 60M'!AL72</f>
        <v>11705146.3646491</v>
      </c>
      <c r="AM13" s="25" t="n">
        <f aca="false">'Cartera 60M'!AM72</f>
        <v>12076034.6498305</v>
      </c>
      <c r="AN13" s="25" t="n">
        <f aca="false">'Cartera 60M'!AN72</f>
        <v>12433053.0143606</v>
      </c>
      <c r="AO13" s="25" t="n">
        <f aca="false">'Cartera 60M'!AO72</f>
        <v>12779902.4947025</v>
      </c>
      <c r="AP13" s="25" t="n">
        <f aca="false">'Cartera 60M'!AP72</f>
        <v>13116303.4465408</v>
      </c>
      <c r="AQ13" s="25" t="n">
        <f aca="false">'Cartera 60M'!AQ72</f>
        <v>13483218.5353418</v>
      </c>
      <c r="AR13" s="25" t="n">
        <f aca="false">'Cartera 60M'!AR72</f>
        <v>13840236.8998719</v>
      </c>
      <c r="AS13" s="25" t="n">
        <f aca="false">'Cartera 60M'!AS72</f>
        <v>14187086.3802138</v>
      </c>
      <c r="AT13" s="25" t="n">
        <f aca="false">'Cartera 60M'!AT72</f>
        <v>14564737.3320521</v>
      </c>
      <c r="AU13" s="25" t="n">
        <f aca="false">'Cartera 60M'!AU72</f>
        <v>14928704.3365722</v>
      </c>
      <c r="AV13" s="25" t="n">
        <f aca="false">'Cartera 60M'!AV72</f>
        <v>15282693.5445038</v>
      </c>
      <c r="AW13" s="25" t="n">
        <f aca="false">'Cartera 60M'!AW72</f>
        <v>15626430.5664406</v>
      </c>
      <c r="AX13" s="25" t="n">
        <f aca="false">'Cartera 60M'!AX72</f>
        <v>16000883.4672677</v>
      </c>
      <c r="AY13" s="25" t="n">
        <f aca="false">'Cartera 60M'!AY72</f>
        <v>16320314.4743739</v>
      </c>
      <c r="AZ13" s="25" t="n">
        <f aca="false">'Cartera 60M'!AZ72</f>
        <v>16591375.4042434</v>
      </c>
      <c r="BA13" s="25" t="n">
        <f aca="false">'Cartera 60M'!BA72</f>
        <v>16816818.5390332</v>
      </c>
      <c r="BB13" s="25" t="n">
        <f aca="false">'Cartera 60M'!BB72</f>
        <v>16999471.8486594</v>
      </c>
      <c r="BC13" s="25" t="n">
        <f aca="false">'Cartera 60M'!BC72</f>
        <v>17142241.0722108</v>
      </c>
      <c r="BD13" s="25" t="n">
        <f aca="false">'Cartera 60M'!BD72</f>
        <v>17252194.3158822</v>
      </c>
      <c r="BE13" s="25" t="n">
        <f aca="false">'Cartera 60M'!BE72</f>
        <v>17332511.5995077</v>
      </c>
      <c r="BF13" s="25" t="n">
        <f aca="false">'Cartera 60M'!BF72</f>
        <v>17386460.3934669</v>
      </c>
      <c r="BG13" s="25" t="n">
        <f aca="false">'Cartera 60M'!BG72</f>
        <v>17421480.4828556</v>
      </c>
      <c r="BH13" s="25" t="n">
        <f aca="false">'Cartera 60M'!BH72</f>
        <v>17441133.7875791</v>
      </c>
      <c r="BI13" s="25" t="n">
        <f aca="false">'Cartera 60M'!BI72</f>
        <v>17449080.1803399</v>
      </c>
      <c r="BJ13" s="25" t="n">
        <f aca="false">'Cartera 60M'!BJ72</f>
        <v>17449080.1803399</v>
      </c>
    </row>
    <row r="14" customFormat="false" ht="15" hidden="false" customHeight="false" outlineLevel="0" collapsed="false">
      <c r="A14" s="1"/>
      <c r="B14" s="7" t="s">
        <v>223</v>
      </c>
      <c r="C14" s="19" t="n">
        <f aca="false">'Cartera 60M'!C76*Supuestos!$C$57</f>
        <v>12000</v>
      </c>
      <c r="D14" s="19" t="n">
        <f aca="false">'Cartera 60M'!D76*Supuestos!$C$57</f>
        <v>30000</v>
      </c>
      <c r="E14" s="19" t="n">
        <f aca="false">'Cartera 60M'!E76*Supuestos!$C$57</f>
        <v>60000</v>
      </c>
      <c r="F14" s="19" t="n">
        <f aca="false">'Cartera 60M'!F76*Supuestos!$C$57</f>
        <v>96000</v>
      </c>
      <c r="G14" s="19" t="n">
        <f aca="false">'Cartera 60M'!G76*Supuestos!$C$57</f>
        <v>138000</v>
      </c>
      <c r="H14" s="19" t="n">
        <f aca="false">'Cartera 60M'!H76*Supuestos!$C$57</f>
        <v>186000</v>
      </c>
      <c r="I14" s="19" t="n">
        <f aca="false">'Cartera 60M'!I76*Supuestos!$C$57</f>
        <v>246000</v>
      </c>
      <c r="J14" s="19" t="n">
        <f aca="false">'Cartera 60M'!J76*Supuestos!$C$57</f>
        <v>312000</v>
      </c>
      <c r="K14" s="19" t="n">
        <f aca="false">'Cartera 60M'!K76*Supuestos!$C$57</f>
        <v>384000</v>
      </c>
      <c r="L14" s="19" t="n">
        <f aca="false">'Cartera 60M'!L76*Supuestos!$C$57</f>
        <v>462000</v>
      </c>
      <c r="M14" s="19" t="n">
        <f aca="false">'Cartera 60M'!M76*Supuestos!$C$57</f>
        <v>552000</v>
      </c>
      <c r="N14" s="19" t="n">
        <f aca="false">'Cartera 60M'!N76*Supuestos!$C$57</f>
        <v>648000</v>
      </c>
      <c r="O14" s="19" t="n">
        <f aca="false">'Cartera 60M'!O76*Supuestos!$C$57</f>
        <v>738000</v>
      </c>
      <c r="P14" s="19" t="n">
        <f aca="false">'Cartera 60M'!P76*Supuestos!$C$57</f>
        <v>828000</v>
      </c>
      <c r="Q14" s="19" t="n">
        <f aca="false">'Cartera 60M'!Q76*Supuestos!$C$57</f>
        <v>918000</v>
      </c>
      <c r="R14" s="19" t="n">
        <f aca="false">'Cartera 60M'!R76*Supuestos!$C$57</f>
        <v>1008000</v>
      </c>
      <c r="S14" s="19" t="n">
        <f aca="false">'Cartera 60M'!S76*Supuestos!$C$57</f>
        <v>1098000</v>
      </c>
      <c r="T14" s="19" t="n">
        <f aca="false">'Cartera 60M'!T76*Supuestos!$C$57</f>
        <v>1194000</v>
      </c>
      <c r="U14" s="19" t="n">
        <f aca="false">'Cartera 60M'!U76*Supuestos!$C$57</f>
        <v>1284000</v>
      </c>
      <c r="V14" s="19" t="n">
        <f aca="false">'Cartera 60M'!V76*Supuestos!$C$57</f>
        <v>1374000</v>
      </c>
      <c r="W14" s="19" t="n">
        <f aca="false">'Cartera 60M'!W76*Supuestos!$C$57</f>
        <v>1464000</v>
      </c>
      <c r="X14" s="19" t="n">
        <f aca="false">'Cartera 60M'!X76*Supuestos!$C$57</f>
        <v>1560000</v>
      </c>
      <c r="Y14" s="19" t="n">
        <f aca="false">'Cartera 60M'!Y76*Supuestos!$C$57</f>
        <v>1650000</v>
      </c>
      <c r="Z14" s="19" t="n">
        <f aca="false">'Cartera 60M'!Z76*Supuestos!$C$57</f>
        <v>1740000</v>
      </c>
      <c r="AA14" s="19" t="n">
        <f aca="false">'Cartera 60M'!AA76*Supuestos!$C$57</f>
        <v>1830000</v>
      </c>
      <c r="AB14" s="19" t="n">
        <f aca="false">'Cartera 60M'!AB76*Supuestos!$C$57</f>
        <v>1926000</v>
      </c>
      <c r="AC14" s="19" t="n">
        <f aca="false">'Cartera 60M'!AC76*Supuestos!$C$57</f>
        <v>2016000</v>
      </c>
      <c r="AD14" s="19" t="n">
        <f aca="false">'Cartera 60M'!AD76*Supuestos!$C$57</f>
        <v>2106000</v>
      </c>
      <c r="AE14" s="19" t="n">
        <f aca="false">'Cartera 60M'!AE76*Supuestos!$C$57</f>
        <v>2202000</v>
      </c>
      <c r="AF14" s="19" t="n">
        <f aca="false">'Cartera 60M'!AF76*Supuestos!$C$57</f>
        <v>2292000</v>
      </c>
      <c r="AG14" s="19" t="n">
        <f aca="false">'Cartera 60M'!AG76*Supuestos!$C$57</f>
        <v>2382000</v>
      </c>
      <c r="AH14" s="19" t="n">
        <f aca="false">'Cartera 60M'!AH76*Supuestos!$C$57</f>
        <v>2472000</v>
      </c>
      <c r="AI14" s="19" t="n">
        <f aca="false">'Cartera 60M'!AI76*Supuestos!$C$57</f>
        <v>2568000</v>
      </c>
      <c r="AJ14" s="19" t="n">
        <f aca="false">'Cartera 60M'!AJ76*Supuestos!$C$57</f>
        <v>2658000</v>
      </c>
      <c r="AK14" s="19" t="n">
        <f aca="false">'Cartera 60M'!AK76*Supuestos!$C$57</f>
        <v>2748000</v>
      </c>
      <c r="AL14" s="19" t="n">
        <f aca="false">'Cartera 60M'!AL76*Supuestos!$C$57</f>
        <v>2838000</v>
      </c>
      <c r="AM14" s="19" t="n">
        <f aca="false">'Cartera 60M'!AM76*Supuestos!$C$57</f>
        <v>2934000</v>
      </c>
      <c r="AN14" s="19" t="n">
        <f aca="false">'Cartera 60M'!AN76*Supuestos!$C$57</f>
        <v>3024000</v>
      </c>
      <c r="AO14" s="19" t="n">
        <f aca="false">'Cartera 60M'!AO76*Supuestos!$C$57</f>
        <v>3114000</v>
      </c>
      <c r="AP14" s="19" t="n">
        <f aca="false">'Cartera 60M'!AP76*Supuestos!$C$57</f>
        <v>3204000</v>
      </c>
      <c r="AQ14" s="19" t="n">
        <f aca="false">'Cartera 60M'!AQ76*Supuestos!$C$57</f>
        <v>3294000</v>
      </c>
      <c r="AR14" s="19" t="n">
        <f aca="false">'Cartera 60M'!AR76*Supuestos!$C$57</f>
        <v>3384000</v>
      </c>
      <c r="AS14" s="19" t="n">
        <f aca="false">'Cartera 60M'!AS76*Supuestos!$C$57</f>
        <v>3474000</v>
      </c>
      <c r="AT14" s="19" t="n">
        <f aca="false">'Cartera 60M'!AT76*Supuestos!$C$57</f>
        <v>3570000</v>
      </c>
      <c r="AU14" s="19" t="n">
        <f aca="false">'Cartera 60M'!AU76*Supuestos!$C$57</f>
        <v>3660000</v>
      </c>
      <c r="AV14" s="19" t="n">
        <f aca="false">'Cartera 60M'!AV76*Supuestos!$C$57</f>
        <v>3750000</v>
      </c>
      <c r="AW14" s="19" t="n">
        <f aca="false">'Cartera 60M'!AW76*Supuestos!$C$57</f>
        <v>3840000</v>
      </c>
      <c r="AX14" s="19" t="n">
        <f aca="false">'Cartera 60M'!AX76*Supuestos!$C$57</f>
        <v>3936000</v>
      </c>
      <c r="AY14" s="19" t="n">
        <f aca="false">'Cartera 60M'!AY76*Supuestos!$C$57</f>
        <v>4020000</v>
      </c>
      <c r="AZ14" s="19" t="n">
        <f aca="false">'Cartera 60M'!AZ76*Supuestos!$C$57</f>
        <v>4098000</v>
      </c>
      <c r="BA14" s="19" t="n">
        <f aca="false">'Cartera 60M'!BA76*Supuestos!$C$57</f>
        <v>4170000</v>
      </c>
      <c r="BB14" s="19" t="n">
        <f aca="false">'Cartera 60M'!BB76*Supuestos!$C$57</f>
        <v>4236000</v>
      </c>
      <c r="BC14" s="19" t="n">
        <f aca="false">'Cartera 60M'!BC76*Supuestos!$C$57</f>
        <v>4290000</v>
      </c>
      <c r="BD14" s="19" t="n">
        <f aca="false">'Cartera 60M'!BD76*Supuestos!$C$57</f>
        <v>4338000</v>
      </c>
      <c r="BE14" s="19" t="n">
        <f aca="false">'Cartera 60M'!BE76*Supuestos!$C$57</f>
        <v>4380000</v>
      </c>
      <c r="BF14" s="19" t="n">
        <f aca="false">'Cartera 60M'!BF76*Supuestos!$C$57</f>
        <v>4410000</v>
      </c>
      <c r="BG14" s="19" t="n">
        <f aca="false">'Cartera 60M'!BG76*Supuestos!$C$57</f>
        <v>4434000</v>
      </c>
      <c r="BH14" s="19" t="n">
        <f aca="false">'Cartera 60M'!BH76*Supuestos!$C$57</f>
        <v>4452000</v>
      </c>
      <c r="BI14" s="19" t="n">
        <f aca="false">'Cartera 60M'!BI76*Supuestos!$C$57</f>
        <v>4464000</v>
      </c>
      <c r="BJ14" s="19" t="n">
        <f aca="false">'Cartera 60M'!BJ76*Supuestos!$C$57</f>
        <v>4464000</v>
      </c>
    </row>
    <row r="15" customFormat="false" ht="15" hidden="false" customHeight="false" outlineLevel="0" collapsed="false">
      <c r="A15" s="1"/>
      <c r="B15" s="23" t="s">
        <v>205</v>
      </c>
      <c r="C15" s="22" t="n">
        <f aca="false">SUM(C12:C14)</f>
        <v>184500</v>
      </c>
      <c r="D15" s="22" t="n">
        <f aca="false">SUM(D12:D14)</f>
        <v>365353.831438281</v>
      </c>
      <c r="E15" s="22" t="n">
        <f aca="false">SUM(E12:E14)</f>
        <v>676701.265398538</v>
      </c>
      <c r="F15" s="22" t="n">
        <f aca="false">SUM(F12:F14)</f>
        <v>975148.457388404</v>
      </c>
      <c r="G15" s="22" t="n">
        <f aca="false">SUM(G12:G14)</f>
        <v>1302330.69147284</v>
      </c>
      <c r="H15" s="22" t="n">
        <f aca="false">SUM(H12:H14)</f>
        <v>1654790.72202858</v>
      </c>
      <c r="I15" s="22" t="n">
        <f aca="false">SUM(I12:I14)</f>
        <v>2121226.22917772</v>
      </c>
      <c r="J15" s="22" t="n">
        <f aca="false">SUM(J12:J14)</f>
        <v>2557789.11996488</v>
      </c>
      <c r="K15" s="22" t="n">
        <f aca="false">SUM(K12:K14)</f>
        <v>3005647.93815923</v>
      </c>
      <c r="L15" s="22" t="n">
        <f aca="false">SUM(L12:L14)</f>
        <v>3460865.86248361</v>
      </c>
      <c r="M15" s="22" t="n">
        <f aca="false">SUM(M12:M14)</f>
        <v>4011647.80907574</v>
      </c>
      <c r="N15" s="22" t="n">
        <f aca="false">SUM(N12:N14)</f>
        <v>4513639.36998627</v>
      </c>
      <c r="O15" s="22" t="n">
        <f aca="false">SUM(O12:O14)</f>
        <v>4995488.85032808</v>
      </c>
      <c r="P15" s="22" t="n">
        <f aca="false">SUM(P12:P14)</f>
        <v>5466889.80216641</v>
      </c>
      <c r="Q15" s="22" t="n">
        <f aca="false">SUM(Q12:Q14)</f>
        <v>6013804.8909674</v>
      </c>
      <c r="R15" s="22" t="n">
        <f aca="false">SUM(R12:R14)</f>
        <v>6505823.25549753</v>
      </c>
      <c r="S15" s="22" t="n">
        <f aca="false">SUM(S12:S14)</f>
        <v>6987672.73583934</v>
      </c>
      <c r="T15" s="22" t="n">
        <f aca="false">SUM(T12:T14)</f>
        <v>7551323.68767767</v>
      </c>
      <c r="U15" s="22" t="n">
        <f aca="false">SUM(U12:U14)</f>
        <v>8050290.6921978</v>
      </c>
      <c r="V15" s="22" t="n">
        <f aca="false">SUM(V12:V14)</f>
        <v>8539279.90012935</v>
      </c>
      <c r="W15" s="22" t="n">
        <f aca="false">SUM(W12:W14)</f>
        <v>9018016.92206612</v>
      </c>
      <c r="X15" s="22" t="n">
        <f aca="false">SUM(X12:X14)</f>
        <v>9578469.82289327</v>
      </c>
      <c r="Y15" s="22" t="n">
        <f aca="false">SUM(Y12:Y14)</f>
        <v>10074150.8299994</v>
      </c>
      <c r="Z15" s="22" t="n">
        <f aca="false">SUM(Z12:Z14)</f>
        <v>10559763.6755881</v>
      </c>
      <c r="AA15" s="22" t="n">
        <f aca="false">SUM(AA12:AA14)</f>
        <v>11035031.4852176</v>
      </c>
      <c r="AB15" s="22" t="n">
        <f aca="false">SUM(AB12:AB14)</f>
        <v>11591919.7703989</v>
      </c>
      <c r="AC15" s="22" t="n">
        <f aca="false">SUM(AC12:AC14)</f>
        <v>12083938.1349291</v>
      </c>
      <c r="AD15" s="22" t="n">
        <f aca="false">SUM(AD12:AD14)</f>
        <v>12565787.6152709</v>
      </c>
      <c r="AE15" s="22" t="n">
        <f aca="false">SUM(AE12:AE14)</f>
        <v>13129438.5671092</v>
      </c>
      <c r="AF15" s="22" t="n">
        <f aca="false">SUM(AF12:AF14)</f>
        <v>13628405.5716294</v>
      </c>
      <c r="AG15" s="22" t="n">
        <f aca="false">SUM(AG12:AG14)</f>
        <v>14117394.7795609</v>
      </c>
      <c r="AH15" s="22" t="n">
        <f aca="false">SUM(AH12:AH14)</f>
        <v>14596131.8014977</v>
      </c>
      <c r="AI15" s="22" t="n">
        <f aca="false">SUM(AI12:AI14)</f>
        <v>15156584.7023248</v>
      </c>
      <c r="AJ15" s="22" t="n">
        <f aca="false">SUM(AJ12:AJ14)</f>
        <v>15652265.709431</v>
      </c>
      <c r="AK15" s="22" t="n">
        <f aca="false">SUM(AK12:AK14)</f>
        <v>16137878.5550196</v>
      </c>
      <c r="AL15" s="22" t="n">
        <f aca="false">SUM(AL12:AL14)</f>
        <v>16613146.3646491</v>
      </c>
      <c r="AM15" s="22" t="n">
        <f aca="false">SUM(AM12:AM14)</f>
        <v>17170034.6498305</v>
      </c>
      <c r="AN15" s="22" t="n">
        <f aca="false">SUM(AN12:AN14)</f>
        <v>17662053.0143606</v>
      </c>
      <c r="AO15" s="22" t="n">
        <f aca="false">SUM(AO12:AO14)</f>
        <v>18143902.4947025</v>
      </c>
      <c r="AP15" s="22" t="n">
        <f aca="false">SUM(AP12:AP14)</f>
        <v>18615303.4465408</v>
      </c>
      <c r="AQ15" s="22" t="n">
        <f aca="false">SUM(AQ12:AQ14)</f>
        <v>19162218.5353418</v>
      </c>
      <c r="AR15" s="22" t="n">
        <f aca="false">SUM(AR12:AR14)</f>
        <v>19654236.8998719</v>
      </c>
      <c r="AS15" s="22" t="n">
        <f aca="false">SUM(AS12:AS14)</f>
        <v>20136086.3802138</v>
      </c>
      <c r="AT15" s="22" t="n">
        <f aca="false">SUM(AT12:AT14)</f>
        <v>20699737.3320521</v>
      </c>
      <c r="AU15" s="22" t="n">
        <f aca="false">SUM(AU12:AU14)</f>
        <v>21198704.3365722</v>
      </c>
      <c r="AV15" s="22" t="n">
        <f aca="false">SUM(AV12:AV14)</f>
        <v>21687693.5445038</v>
      </c>
      <c r="AW15" s="22" t="n">
        <f aca="false">SUM(AW12:AW14)</f>
        <v>22166430.5664406</v>
      </c>
      <c r="AX15" s="22" t="n">
        <f aca="false">SUM(AX12:AX14)</f>
        <v>22726883.4672677</v>
      </c>
      <c r="AY15" s="22" t="n">
        <f aca="false">SUM(AY12:AY14)</f>
        <v>23130314.4743739</v>
      </c>
      <c r="AZ15" s="22" t="n">
        <f aca="false">SUM(AZ12:AZ14)</f>
        <v>23479375.4042434</v>
      </c>
      <c r="BA15" s="22" t="n">
        <f aca="false">SUM(BA12:BA14)</f>
        <v>23776818.5390332</v>
      </c>
      <c r="BB15" s="22" t="n">
        <f aca="false">SUM(BB12:BB14)</f>
        <v>24025471.8486594</v>
      </c>
      <c r="BC15" s="22" t="n">
        <f aca="false">SUM(BC12:BC14)</f>
        <v>24222241.0722108</v>
      </c>
      <c r="BD15" s="22" t="n">
        <f aca="false">SUM(BD12:BD14)</f>
        <v>24380194.3158822</v>
      </c>
      <c r="BE15" s="22" t="n">
        <f aca="false">SUM(BE12:BE14)</f>
        <v>24502511.5995077</v>
      </c>
      <c r="BF15" s="22" t="n">
        <f aca="false">SUM(BF12:BF14)</f>
        <v>24586460.3934669</v>
      </c>
      <c r="BG15" s="22" t="n">
        <f aca="false">SUM(BG12:BG14)</f>
        <v>24645480.4828556</v>
      </c>
      <c r="BH15" s="22" t="n">
        <f aca="false">SUM(BH12:BH14)</f>
        <v>24683133.7875791</v>
      </c>
      <c r="BI15" s="22" t="n">
        <f aca="false">SUM(BI12:BI14)</f>
        <v>24703080.1803399</v>
      </c>
      <c r="BJ15" s="22" t="n">
        <f aca="false">SUM(BJ12:BJ14)</f>
        <v>24703080.1803399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customFormat="false" ht="15" hidden="false" customHeight="false" outlineLevel="0" collapsed="false">
      <c r="A17" s="1"/>
      <c r="B17" s="6" t="s">
        <v>206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</row>
    <row r="18" customFormat="false" ht="15" hidden="false" customHeight="false" outlineLevel="0" collapsed="false">
      <c r="A18" s="1"/>
      <c r="B18" s="7" t="s">
        <v>207</v>
      </c>
      <c r="C18" s="19" t="n">
        <f aca="false">'Cartera 60M'!C71*Supuestos!$C$16/12</f>
        <v>28950</v>
      </c>
      <c r="D18" s="19" t="n">
        <f aca="false">'Cartera 60M'!D71*Supuestos!$C$16/12</f>
        <v>70305.9808501605</v>
      </c>
      <c r="E18" s="19" t="n">
        <f aca="false">'Cartera 60M'!E71*Supuestos!$C$16/12</f>
        <v>137451.534948941</v>
      </c>
      <c r="F18" s="19" t="n">
        <f aca="false">'Cartera 60M'!F71*Supuestos!$C$16/12</f>
        <v>213755.73141084</v>
      </c>
      <c r="G18" s="19" t="n">
        <f aca="false">'Cartera 60M'!G71*Supuestos!$C$16/12</f>
        <v>298037.860825923</v>
      </c>
      <c r="H18" s="19" t="n">
        <f aca="false">'Cartera 60M'!H71*Supuestos!$C$16/12</f>
        <v>389084.744275482</v>
      </c>
      <c r="I18" s="19" t="n">
        <f aca="false">'Cartera 60M'!I71*Supuestos!$C$16/12</f>
        <v>500124.840420546</v>
      </c>
      <c r="J18" s="19" t="n">
        <f aca="false">'Cartera 60M'!J71*Supuestos!$C$16/12</f>
        <v>614367.818460402</v>
      </c>
      <c r="K18" s="19" t="n">
        <f aca="false">'Cartera 60M'!K71*Supuestos!$C$16/12</f>
        <v>730469.185572238</v>
      </c>
      <c r="L18" s="19" t="n">
        <f aca="false">'Cartera 60M'!L71*Supuestos!$C$16/12</f>
        <v>847047.475380612</v>
      </c>
      <c r="M18" s="19" t="n">
        <f aca="false">'Cartera 60M'!M71*Supuestos!$C$16/12</f>
        <v>977158.23118476</v>
      </c>
      <c r="N18" s="19" t="n">
        <f aca="false">'Cartera 60M'!N71*Supuestos!$C$16/12</f>
        <v>1103833.45164973</v>
      </c>
      <c r="O18" s="19" t="n">
        <f aca="false">'Cartera 60M'!O71*Supuestos!$C$16/12</f>
        <v>1225546.08747876</v>
      </c>
      <c r="P18" s="19" t="n">
        <f aca="false">'Cartera 60M'!P71*Supuestos!$C$16/12</f>
        <v>1343592.2396693</v>
      </c>
      <c r="Q18" s="19" t="n">
        <f aca="false">'Cartera 60M'!Q71*Supuestos!$C$16/12</f>
        <v>1472346.07992129</v>
      </c>
      <c r="R18" s="19" t="n">
        <f aca="false">'Cartera 60M'!R71*Supuestos!$C$16/12</f>
        <v>1597627.06965641</v>
      </c>
      <c r="S18" s="19" t="n">
        <f aca="false">'Cartera 60M'!S71*Supuestos!$C$16/12</f>
        <v>1719339.70548544</v>
      </c>
      <c r="T18" s="19" t="n">
        <f aca="false">'Cartera 60M'!T71*Supuestos!$C$16/12</f>
        <v>1851860.85767598</v>
      </c>
      <c r="U18" s="19" t="n">
        <f aca="false">'Cartera 60M'!U71*Supuestos!$C$16/12</f>
        <v>1979580.18835305</v>
      </c>
      <c r="V18" s="19" t="n">
        <f aca="false">'Cartera 60M'!V71*Supuestos!$C$16/12</f>
        <v>2103798.21949994</v>
      </c>
      <c r="W18" s="19" t="n">
        <f aca="false">'Cartera 60M'!W71*Supuestos!$C$16/12</f>
        <v>2224418.66537957</v>
      </c>
      <c r="X18" s="19" t="n">
        <f aca="false">'Cartera 60M'!X71*Supuestos!$C$16/12</f>
        <v>2355817.59239709</v>
      </c>
      <c r="Y18" s="19" t="n">
        <f aca="false">'Cartera 60M'!Y71*Supuestos!$C$16/12</f>
        <v>2482383.83670888</v>
      </c>
      <c r="Z18" s="19" t="n">
        <f aca="false">'Cartera 60M'!Z71*Supuestos!$C$16/12</f>
        <v>2605417.07161545</v>
      </c>
      <c r="AA18" s="19" t="n">
        <f aca="false">'Cartera 60M'!AA71*Supuestos!$C$16/12</f>
        <v>2724820.13935816</v>
      </c>
      <c r="AB18" s="19" t="n">
        <f aca="false">'Cartera 60M'!AB71*Supuestos!$C$16/12</f>
        <v>2854968.21033999</v>
      </c>
      <c r="AC18" s="19" t="n">
        <f aca="false">'Cartera 60M'!AC71*Supuestos!$C$16/12</f>
        <v>2980249.20007511</v>
      </c>
      <c r="AD18" s="19" t="n">
        <f aca="false">'Cartera 60M'!AD71*Supuestos!$C$16/12</f>
        <v>3101961.83590415</v>
      </c>
      <c r="AE18" s="19" t="n">
        <f aca="false">'Cartera 60M'!AE71*Supuestos!$C$16/12</f>
        <v>3234482.98809469</v>
      </c>
      <c r="AF18" s="19" t="n">
        <f aca="false">'Cartera 60M'!AF71*Supuestos!$C$16/12</f>
        <v>3362202.31877176</v>
      </c>
      <c r="AG18" s="19" t="n">
        <f aca="false">'Cartera 60M'!AG71*Supuestos!$C$16/12</f>
        <v>3486420.34991864</v>
      </c>
      <c r="AH18" s="19" t="n">
        <f aca="false">'Cartera 60M'!AH71*Supuestos!$C$16/12</f>
        <v>3607040.79579828</v>
      </c>
      <c r="AI18" s="19" t="n">
        <f aca="false">'Cartera 60M'!AI71*Supuestos!$C$16/12</f>
        <v>3738439.7228158</v>
      </c>
      <c r="AJ18" s="19" t="n">
        <f aca="false">'Cartera 60M'!AJ71*Supuestos!$C$16/12</f>
        <v>3865005.96712759</v>
      </c>
      <c r="AK18" s="19" t="n">
        <f aca="false">'Cartera 60M'!AK71*Supuestos!$C$16/12</f>
        <v>3988039.20203417</v>
      </c>
      <c r="AL18" s="19" t="n">
        <f aca="false">'Cartera 60M'!AL71*Supuestos!$C$16/12</f>
        <v>4107442.26977687</v>
      </c>
      <c r="AM18" s="19" t="n">
        <f aca="false">'Cartera 60M'!AM71*Supuestos!$C$16/12</f>
        <v>4237590.34075871</v>
      </c>
      <c r="AN18" s="19" t="n">
        <f aca="false">'Cartera 60M'!AN71*Supuestos!$C$16/12</f>
        <v>4362871.33049383</v>
      </c>
      <c r="AO18" s="19" t="n">
        <f aca="false">'Cartera 60M'!AO71*Supuestos!$C$16/12</f>
        <v>4484583.96632287</v>
      </c>
      <c r="AP18" s="19" t="n">
        <f aca="false">'Cartera 60M'!AP71*Supuestos!$C$16/12</f>
        <v>4602630.11851341</v>
      </c>
      <c r="AQ18" s="19" t="n">
        <f aca="false">'Cartera 60M'!AQ71*Supuestos!$C$16/12</f>
        <v>4731383.95876539</v>
      </c>
      <c r="AR18" s="19" t="n">
        <f aca="false">'Cartera 60M'!AR71*Supuestos!$C$16/12</f>
        <v>4856664.94850051</v>
      </c>
      <c r="AS18" s="19" t="n">
        <f aca="false">'Cartera 60M'!AS71*Supuestos!$C$16/12</f>
        <v>4978377.58432955</v>
      </c>
      <c r="AT18" s="19" t="n">
        <f aca="false">'Cartera 60M'!AT71*Supuestos!$C$16/12</f>
        <v>5110898.7365201</v>
      </c>
      <c r="AU18" s="19" t="n">
        <f aca="false">'Cartera 60M'!AU71*Supuestos!$C$16/12</f>
        <v>5238618.06719716</v>
      </c>
      <c r="AV18" s="19" t="n">
        <f aca="false">'Cartera 60M'!AV71*Supuestos!$C$16/12</f>
        <v>5362836.09834405</v>
      </c>
      <c r="AW18" s="19" t="n">
        <f aca="false">'Cartera 60M'!AW71*Supuestos!$C$16/12</f>
        <v>5483456.54422369</v>
      </c>
      <c r="AX18" s="19" t="n">
        <f aca="false">'Cartera 60M'!AX71*Supuestos!$C$16/12</f>
        <v>5614855.47124121</v>
      </c>
      <c r="AY18" s="19" t="n">
        <f aca="false">'Cartera 60M'!AY71*Supuestos!$C$16/12</f>
        <v>5726946.71555301</v>
      </c>
      <c r="AZ18" s="19" t="n">
        <f aca="false">'Cartera 60M'!AZ71*Supuestos!$C$16/12</f>
        <v>5822064.4600345</v>
      </c>
      <c r="BA18" s="19" t="n">
        <f aca="false">'Cartera 60M'!BA71*Supuestos!$C$16/12</f>
        <v>5901174.50551528</v>
      </c>
      <c r="BB18" s="19" t="n">
        <f aca="false">'Cartera 60M'!BB71*Supuestos!$C$16/12</f>
        <v>5965269.21234774</v>
      </c>
      <c r="BC18" s="19" t="n">
        <f aca="false">'Cartera 60M'!BC71*Supuestos!$C$16/12</f>
        <v>6015368.23079398</v>
      </c>
      <c r="BD18" s="19" t="n">
        <f aca="false">'Cartera 60M'!BD71*Supuestos!$C$16/12</f>
        <v>6053951.82357321</v>
      </c>
      <c r="BE18" s="19" t="n">
        <f aca="false">'Cartera 60M'!BE71*Supuestos!$C$16/12</f>
        <v>6082135.88855452</v>
      </c>
      <c r="BF18" s="19" t="n">
        <f aca="false">'Cartera 60M'!BF71*Supuestos!$C$16/12</f>
        <v>6101067.01079837</v>
      </c>
      <c r="BG18" s="19" t="n">
        <f aca="false">'Cartera 60M'!BG71*Supuestos!$C$16/12</f>
        <v>6113355.87852933</v>
      </c>
      <c r="BH18" s="19" t="n">
        <f aca="false">'Cartera 60M'!BH71*Supuestos!$C$16/12</f>
        <v>6120252.40182321</v>
      </c>
      <c r="BI18" s="19" t="n">
        <f aca="false">'Cartera 60M'!BI71*Supuestos!$C$16/12</f>
        <v>6123040.86328291</v>
      </c>
      <c r="BJ18" s="19" t="n">
        <f aca="false">'Cartera 60M'!BJ71*Supuestos!$C$16/12</f>
        <v>6123040.86328291</v>
      </c>
    </row>
    <row r="19" customFormat="false" ht="15" hidden="false" customHeight="false" outlineLevel="0" collapsed="false">
      <c r="A19" s="1"/>
      <c r="B19" s="7" t="s">
        <v>224</v>
      </c>
      <c r="C19" s="25" t="n">
        <f aca="false">Supuestos!$D$50</f>
        <v>67150</v>
      </c>
      <c r="D19" s="25" t="n">
        <f aca="false">Supuestos!$D$50</f>
        <v>67150</v>
      </c>
      <c r="E19" s="25" t="n">
        <f aca="false">Supuestos!$D$50</f>
        <v>67150</v>
      </c>
      <c r="F19" s="25" t="n">
        <f aca="false">Supuestos!$D$50</f>
        <v>67150</v>
      </c>
      <c r="G19" s="25" t="n">
        <f aca="false">Supuestos!$D$50</f>
        <v>67150</v>
      </c>
      <c r="H19" s="25" t="n">
        <f aca="false">Supuestos!$D$50</f>
        <v>67150</v>
      </c>
      <c r="I19" s="25" t="n">
        <f aca="false">Supuestos!$D$50</f>
        <v>67150</v>
      </c>
      <c r="J19" s="25" t="n">
        <f aca="false">Supuestos!$D$50</f>
        <v>67150</v>
      </c>
      <c r="K19" s="25" t="n">
        <f aca="false">Supuestos!$D$50</f>
        <v>67150</v>
      </c>
      <c r="L19" s="25" t="n">
        <f aca="false">Supuestos!$D$50</f>
        <v>67150</v>
      </c>
      <c r="M19" s="25" t="n">
        <f aca="false">Supuestos!$D$50</f>
        <v>67150</v>
      </c>
      <c r="N19" s="25" t="n">
        <f aca="false">Supuestos!$D$50</f>
        <v>67150</v>
      </c>
      <c r="O19" s="25" t="n">
        <f aca="false">Supuestos!$D$50</f>
        <v>67150</v>
      </c>
      <c r="P19" s="25" t="n">
        <f aca="false">Supuestos!$D$50</f>
        <v>67150</v>
      </c>
      <c r="Q19" s="25" t="n">
        <f aca="false">Supuestos!$D$50</f>
        <v>67150</v>
      </c>
      <c r="R19" s="25" t="n">
        <f aca="false">Supuestos!$D$50</f>
        <v>67150</v>
      </c>
      <c r="S19" s="25" t="n">
        <f aca="false">Supuestos!$D$50</f>
        <v>67150</v>
      </c>
      <c r="T19" s="25" t="n">
        <f aca="false">Supuestos!$D$50</f>
        <v>67150</v>
      </c>
      <c r="U19" s="25" t="n">
        <f aca="false">Supuestos!$D$50</f>
        <v>67150</v>
      </c>
      <c r="V19" s="25" t="n">
        <f aca="false">Supuestos!$D$50</f>
        <v>67150</v>
      </c>
      <c r="W19" s="25" t="n">
        <f aca="false">Supuestos!$D$50</f>
        <v>67150</v>
      </c>
      <c r="X19" s="25" t="n">
        <f aca="false">Supuestos!$D$50</f>
        <v>67150</v>
      </c>
      <c r="Y19" s="25" t="n">
        <f aca="false">Supuestos!$D$50</f>
        <v>67150</v>
      </c>
      <c r="Z19" s="25" t="n">
        <f aca="false">Supuestos!$D$50</f>
        <v>67150</v>
      </c>
      <c r="AA19" s="25" t="n">
        <f aca="false">Supuestos!$D$50</f>
        <v>67150</v>
      </c>
      <c r="AB19" s="25" t="n">
        <f aca="false">Supuestos!$D$50</f>
        <v>67150</v>
      </c>
      <c r="AC19" s="25" t="n">
        <f aca="false">Supuestos!$D$50</f>
        <v>67150</v>
      </c>
      <c r="AD19" s="25" t="n">
        <f aca="false">Supuestos!$D$50</f>
        <v>67150</v>
      </c>
      <c r="AE19" s="25" t="n">
        <f aca="false">Supuestos!$D$50</f>
        <v>67150</v>
      </c>
      <c r="AF19" s="25" t="n">
        <f aca="false">Supuestos!$D$50</f>
        <v>67150</v>
      </c>
      <c r="AG19" s="25" t="n">
        <f aca="false">Supuestos!$D$50</f>
        <v>67150</v>
      </c>
      <c r="AH19" s="25" t="n">
        <f aca="false">Supuestos!$D$50</f>
        <v>67150</v>
      </c>
      <c r="AI19" s="25" t="n">
        <f aca="false">Supuestos!$D$50</f>
        <v>67150</v>
      </c>
      <c r="AJ19" s="25" t="n">
        <f aca="false">Supuestos!$D$50</f>
        <v>67150</v>
      </c>
      <c r="AK19" s="25" t="n">
        <f aca="false">Supuestos!$D$50</f>
        <v>67150</v>
      </c>
      <c r="AL19" s="25" t="n">
        <f aca="false">Supuestos!$D$50</f>
        <v>67150</v>
      </c>
      <c r="AM19" s="25" t="n">
        <f aca="false">Supuestos!$D$50</f>
        <v>67150</v>
      </c>
      <c r="AN19" s="25" t="n">
        <f aca="false">Supuestos!$D$50</f>
        <v>67150</v>
      </c>
      <c r="AO19" s="25" t="n">
        <f aca="false">Supuestos!$D$50</f>
        <v>67150</v>
      </c>
      <c r="AP19" s="25" t="n">
        <f aca="false">Supuestos!$D$50</f>
        <v>67150</v>
      </c>
      <c r="AQ19" s="25" t="n">
        <f aca="false">Supuestos!$D$50</f>
        <v>67150</v>
      </c>
      <c r="AR19" s="25" t="n">
        <f aca="false">Supuestos!$D$50</f>
        <v>67150</v>
      </c>
      <c r="AS19" s="25" t="n">
        <f aca="false">Supuestos!$D$50</f>
        <v>67150</v>
      </c>
      <c r="AT19" s="25" t="n">
        <f aca="false">Supuestos!$D$50</f>
        <v>67150</v>
      </c>
      <c r="AU19" s="25" t="n">
        <f aca="false">Supuestos!$D$50</f>
        <v>67150</v>
      </c>
      <c r="AV19" s="25" t="n">
        <f aca="false">Supuestos!$D$50</f>
        <v>67150</v>
      </c>
      <c r="AW19" s="25" t="n">
        <f aca="false">Supuestos!$D$50</f>
        <v>67150</v>
      </c>
      <c r="AX19" s="25" t="n">
        <f aca="false">Supuestos!$D$50</f>
        <v>67150</v>
      </c>
      <c r="AY19" s="25" t="n">
        <f aca="false">Supuestos!$D$50</f>
        <v>67150</v>
      </c>
      <c r="AZ19" s="25" t="n">
        <f aca="false">Supuestos!$D$50</f>
        <v>67150</v>
      </c>
      <c r="BA19" s="25" t="n">
        <f aca="false">Supuestos!$D$50</f>
        <v>67150</v>
      </c>
      <c r="BB19" s="25" t="n">
        <f aca="false">Supuestos!$D$50</f>
        <v>67150</v>
      </c>
      <c r="BC19" s="25" t="n">
        <f aca="false">Supuestos!$D$50</f>
        <v>67150</v>
      </c>
      <c r="BD19" s="25" t="n">
        <f aca="false">Supuestos!$D$50</f>
        <v>67150</v>
      </c>
      <c r="BE19" s="25" t="n">
        <f aca="false">Supuestos!$D$50</f>
        <v>67150</v>
      </c>
      <c r="BF19" s="25" t="n">
        <f aca="false">Supuestos!$D$50</f>
        <v>67150</v>
      </c>
      <c r="BG19" s="25" t="n">
        <f aca="false">Supuestos!$D$50</f>
        <v>67150</v>
      </c>
      <c r="BH19" s="25" t="n">
        <f aca="false">Supuestos!$D$50</f>
        <v>67150</v>
      </c>
      <c r="BI19" s="25" t="n">
        <f aca="false">Supuestos!$D$50</f>
        <v>67150</v>
      </c>
      <c r="BJ19" s="25" t="n">
        <f aca="false">Supuestos!$D$50</f>
        <v>67150</v>
      </c>
    </row>
    <row r="20" customFormat="false" ht="15" hidden="false" customHeight="false" outlineLevel="0" collapsed="false">
      <c r="A20" s="1"/>
      <c r="B20" s="7" t="s">
        <v>225</v>
      </c>
      <c r="C20" s="19" t="n">
        <f aca="false">MAX('Cartera 60M'!C77*Supuestos!$C$51,Supuestos!$C$52)*Supuestos!$C$7</f>
        <v>2040</v>
      </c>
      <c r="D20" s="19" t="n">
        <f aca="false">MAX('Cartera 60M'!D77*Supuestos!$C$51,Supuestos!$C$52)*Supuestos!$C$7</f>
        <v>5100</v>
      </c>
      <c r="E20" s="19" t="n">
        <f aca="false">MAX('Cartera 60M'!E77*Supuestos!$C$51,Supuestos!$C$52)*Supuestos!$C$7</f>
        <v>10200</v>
      </c>
      <c r="F20" s="19" t="n">
        <f aca="false">MAX('Cartera 60M'!F77*Supuestos!$C$51,Supuestos!$C$52)*Supuestos!$C$7</f>
        <v>16320</v>
      </c>
      <c r="G20" s="19" t="n">
        <f aca="false">MAX('Cartera 60M'!G77*Supuestos!$C$51,Supuestos!$C$52)*Supuestos!$C$7</f>
        <v>23460</v>
      </c>
      <c r="H20" s="19" t="n">
        <f aca="false">MAX('Cartera 60M'!H77*Supuestos!$C$51,Supuestos!$C$52)*Supuestos!$C$7</f>
        <v>31620</v>
      </c>
      <c r="I20" s="19" t="n">
        <f aca="false">MAX('Cartera 60M'!I77*Supuestos!$C$51,Supuestos!$C$52)*Supuestos!$C$7</f>
        <v>41820</v>
      </c>
      <c r="J20" s="19" t="n">
        <f aca="false">MAX('Cartera 60M'!J77*Supuestos!$C$51,Supuestos!$C$52)*Supuestos!$C$7</f>
        <v>53040</v>
      </c>
      <c r="K20" s="19" t="n">
        <f aca="false">MAX('Cartera 60M'!K77*Supuestos!$C$51,Supuestos!$C$52)*Supuestos!$C$7</f>
        <v>65280</v>
      </c>
      <c r="L20" s="19" t="n">
        <f aca="false">MAX('Cartera 60M'!L77*Supuestos!$C$51,Supuestos!$C$52)*Supuestos!$C$7</f>
        <v>78540</v>
      </c>
      <c r="M20" s="19" t="n">
        <f aca="false">MAX('Cartera 60M'!M77*Supuestos!$C$51,Supuestos!$C$52)*Supuestos!$C$7</f>
        <v>93840</v>
      </c>
      <c r="N20" s="19" t="n">
        <f aca="false">MAX('Cartera 60M'!N77*Supuestos!$C$51,Supuestos!$C$52)*Supuestos!$C$7</f>
        <v>110160</v>
      </c>
      <c r="O20" s="19" t="n">
        <f aca="false">MAX('Cartera 60M'!O77*Supuestos!$C$51,Supuestos!$C$52)*Supuestos!$C$7</f>
        <v>125460</v>
      </c>
      <c r="P20" s="19" t="n">
        <f aca="false">MAX('Cartera 60M'!P77*Supuestos!$C$51,Supuestos!$C$52)*Supuestos!$C$7</f>
        <v>140760</v>
      </c>
      <c r="Q20" s="19" t="n">
        <f aca="false">MAX('Cartera 60M'!Q77*Supuestos!$C$51,Supuestos!$C$52)*Supuestos!$C$7</f>
        <v>156060</v>
      </c>
      <c r="R20" s="19" t="n">
        <f aca="false">MAX('Cartera 60M'!R77*Supuestos!$C$51,Supuestos!$C$52)*Supuestos!$C$7</f>
        <v>171360</v>
      </c>
      <c r="S20" s="19" t="n">
        <f aca="false">MAX('Cartera 60M'!S77*Supuestos!$C$51,Supuestos!$C$52)*Supuestos!$C$7</f>
        <v>186660</v>
      </c>
      <c r="T20" s="19" t="n">
        <f aca="false">MAX('Cartera 60M'!T77*Supuestos!$C$51,Supuestos!$C$52)*Supuestos!$C$7</f>
        <v>202980</v>
      </c>
      <c r="U20" s="19" t="n">
        <f aca="false">MAX('Cartera 60M'!U77*Supuestos!$C$51,Supuestos!$C$52)*Supuestos!$C$7</f>
        <v>218280</v>
      </c>
      <c r="V20" s="19" t="n">
        <f aca="false">MAX('Cartera 60M'!V77*Supuestos!$C$51,Supuestos!$C$52)*Supuestos!$C$7</f>
        <v>233580</v>
      </c>
      <c r="W20" s="19" t="n">
        <f aca="false">MAX('Cartera 60M'!W77*Supuestos!$C$51,Supuestos!$C$52)*Supuestos!$C$7</f>
        <v>248880</v>
      </c>
      <c r="X20" s="19" t="n">
        <f aca="false">MAX('Cartera 60M'!X77*Supuestos!$C$51,Supuestos!$C$52)*Supuestos!$C$7</f>
        <v>265200</v>
      </c>
      <c r="Y20" s="19" t="n">
        <f aca="false">MAX('Cartera 60M'!Y77*Supuestos!$C$51,Supuestos!$C$52)*Supuestos!$C$7</f>
        <v>280500</v>
      </c>
      <c r="Z20" s="19" t="n">
        <f aca="false">MAX('Cartera 60M'!Z77*Supuestos!$C$51,Supuestos!$C$52)*Supuestos!$C$7</f>
        <v>295800</v>
      </c>
      <c r="AA20" s="19" t="n">
        <f aca="false">MAX('Cartera 60M'!AA77*Supuestos!$C$51,Supuestos!$C$52)*Supuestos!$C$7</f>
        <v>311100</v>
      </c>
      <c r="AB20" s="19" t="n">
        <f aca="false">MAX('Cartera 60M'!AB77*Supuestos!$C$51,Supuestos!$C$52)*Supuestos!$C$7</f>
        <v>327420</v>
      </c>
      <c r="AC20" s="19" t="n">
        <f aca="false">MAX('Cartera 60M'!AC77*Supuestos!$C$51,Supuestos!$C$52)*Supuestos!$C$7</f>
        <v>342720</v>
      </c>
      <c r="AD20" s="19" t="n">
        <f aca="false">MAX('Cartera 60M'!AD77*Supuestos!$C$51,Supuestos!$C$52)*Supuestos!$C$7</f>
        <v>358020</v>
      </c>
      <c r="AE20" s="19" t="n">
        <f aca="false">MAX('Cartera 60M'!AE77*Supuestos!$C$51,Supuestos!$C$52)*Supuestos!$C$7</f>
        <v>374340</v>
      </c>
      <c r="AF20" s="19" t="n">
        <f aca="false">MAX('Cartera 60M'!AF77*Supuestos!$C$51,Supuestos!$C$52)*Supuestos!$C$7</f>
        <v>389640</v>
      </c>
      <c r="AG20" s="19" t="n">
        <f aca="false">MAX('Cartera 60M'!AG77*Supuestos!$C$51,Supuestos!$C$52)*Supuestos!$C$7</f>
        <v>404940</v>
      </c>
      <c r="AH20" s="19" t="n">
        <f aca="false">MAX('Cartera 60M'!AH77*Supuestos!$C$51,Supuestos!$C$52)*Supuestos!$C$7</f>
        <v>420240</v>
      </c>
      <c r="AI20" s="19" t="n">
        <f aca="false">MAX('Cartera 60M'!AI77*Supuestos!$C$51,Supuestos!$C$52)*Supuestos!$C$7</f>
        <v>436560</v>
      </c>
      <c r="AJ20" s="19" t="n">
        <f aca="false">MAX('Cartera 60M'!AJ77*Supuestos!$C$51,Supuestos!$C$52)*Supuestos!$C$7</f>
        <v>451860</v>
      </c>
      <c r="AK20" s="19" t="n">
        <f aca="false">MAX('Cartera 60M'!AK77*Supuestos!$C$51,Supuestos!$C$52)*Supuestos!$C$7</f>
        <v>467160</v>
      </c>
      <c r="AL20" s="19" t="n">
        <f aca="false">MAX('Cartera 60M'!AL77*Supuestos!$C$51,Supuestos!$C$52)*Supuestos!$C$7</f>
        <v>482460</v>
      </c>
      <c r="AM20" s="19" t="n">
        <f aca="false">MAX('Cartera 60M'!AM77*Supuestos!$C$51,Supuestos!$C$52)*Supuestos!$C$7</f>
        <v>498780</v>
      </c>
      <c r="AN20" s="19" t="n">
        <f aca="false">MAX('Cartera 60M'!AN77*Supuestos!$C$51,Supuestos!$C$52)*Supuestos!$C$7</f>
        <v>514080</v>
      </c>
      <c r="AO20" s="19" t="n">
        <f aca="false">MAX('Cartera 60M'!AO77*Supuestos!$C$51,Supuestos!$C$52)*Supuestos!$C$7</f>
        <v>529380</v>
      </c>
      <c r="AP20" s="19" t="n">
        <f aca="false">MAX('Cartera 60M'!AP77*Supuestos!$C$51,Supuestos!$C$52)*Supuestos!$C$7</f>
        <v>544680</v>
      </c>
      <c r="AQ20" s="19" t="n">
        <f aca="false">MAX('Cartera 60M'!AQ77*Supuestos!$C$51,Supuestos!$C$52)*Supuestos!$C$7</f>
        <v>559980</v>
      </c>
      <c r="AR20" s="19" t="n">
        <f aca="false">MAX('Cartera 60M'!AR77*Supuestos!$C$51,Supuestos!$C$52)*Supuestos!$C$7</f>
        <v>575280</v>
      </c>
      <c r="AS20" s="19" t="n">
        <f aca="false">MAX('Cartera 60M'!AS77*Supuestos!$C$51,Supuestos!$C$52)*Supuestos!$C$7</f>
        <v>590580</v>
      </c>
      <c r="AT20" s="19" t="n">
        <f aca="false">MAX('Cartera 60M'!AT77*Supuestos!$C$51,Supuestos!$C$52)*Supuestos!$C$7</f>
        <v>606900</v>
      </c>
      <c r="AU20" s="19" t="n">
        <f aca="false">MAX('Cartera 60M'!AU77*Supuestos!$C$51,Supuestos!$C$52)*Supuestos!$C$7</f>
        <v>622200</v>
      </c>
      <c r="AV20" s="19" t="n">
        <f aca="false">MAX('Cartera 60M'!AV77*Supuestos!$C$51,Supuestos!$C$52)*Supuestos!$C$7</f>
        <v>637500</v>
      </c>
      <c r="AW20" s="19" t="n">
        <f aca="false">MAX('Cartera 60M'!AW77*Supuestos!$C$51,Supuestos!$C$52)*Supuestos!$C$7</f>
        <v>652800</v>
      </c>
      <c r="AX20" s="19" t="n">
        <f aca="false">MAX('Cartera 60M'!AX77*Supuestos!$C$51,Supuestos!$C$52)*Supuestos!$C$7</f>
        <v>669120</v>
      </c>
      <c r="AY20" s="19" t="n">
        <f aca="false">MAX('Cartera 60M'!AY77*Supuestos!$C$51,Supuestos!$C$52)*Supuestos!$C$7</f>
        <v>683400</v>
      </c>
      <c r="AZ20" s="19" t="n">
        <f aca="false">MAX('Cartera 60M'!AZ77*Supuestos!$C$51,Supuestos!$C$52)*Supuestos!$C$7</f>
        <v>696660</v>
      </c>
      <c r="BA20" s="19" t="n">
        <f aca="false">MAX('Cartera 60M'!BA77*Supuestos!$C$51,Supuestos!$C$52)*Supuestos!$C$7</f>
        <v>708900</v>
      </c>
      <c r="BB20" s="19" t="n">
        <f aca="false">MAX('Cartera 60M'!BB77*Supuestos!$C$51,Supuestos!$C$52)*Supuestos!$C$7</f>
        <v>720120</v>
      </c>
      <c r="BC20" s="19" t="n">
        <f aca="false">MAX('Cartera 60M'!BC77*Supuestos!$C$51,Supuestos!$C$52)*Supuestos!$C$7</f>
        <v>729300</v>
      </c>
      <c r="BD20" s="19" t="n">
        <f aca="false">MAX('Cartera 60M'!BD77*Supuestos!$C$51,Supuestos!$C$52)*Supuestos!$C$7</f>
        <v>737460</v>
      </c>
      <c r="BE20" s="19" t="n">
        <f aca="false">MAX('Cartera 60M'!BE77*Supuestos!$C$51,Supuestos!$C$52)*Supuestos!$C$7</f>
        <v>744600</v>
      </c>
      <c r="BF20" s="19" t="n">
        <f aca="false">MAX('Cartera 60M'!BF77*Supuestos!$C$51,Supuestos!$C$52)*Supuestos!$C$7</f>
        <v>749700</v>
      </c>
      <c r="BG20" s="19" t="n">
        <f aca="false">MAX('Cartera 60M'!BG77*Supuestos!$C$51,Supuestos!$C$52)*Supuestos!$C$7</f>
        <v>753780</v>
      </c>
      <c r="BH20" s="19" t="n">
        <f aca="false">MAX('Cartera 60M'!BH77*Supuestos!$C$51,Supuestos!$C$52)*Supuestos!$C$7</f>
        <v>756840</v>
      </c>
      <c r="BI20" s="19" t="n">
        <f aca="false">MAX('Cartera 60M'!BI77*Supuestos!$C$51,Supuestos!$C$52)*Supuestos!$C$7</f>
        <v>758880</v>
      </c>
      <c r="BJ20" s="19" t="n">
        <f aca="false">MAX('Cartera 60M'!BJ77*Supuestos!$C$51,Supuestos!$C$52)*Supuestos!$C$7</f>
        <v>758880</v>
      </c>
    </row>
    <row r="21" customFormat="false" ht="15" hidden="false" customHeight="false" outlineLevel="0" collapsed="false">
      <c r="A21" s="1"/>
      <c r="B21" s="7" t="s">
        <v>226</v>
      </c>
      <c r="C21" s="19" t="n">
        <f aca="false">IF(AND(C5&gt;=Supuestos!$C$54,MOD(C5-Supuestos!$C$54,12)=0),Supuestos!$D$53,0)</f>
        <v>0</v>
      </c>
      <c r="D21" s="19" t="n">
        <f aca="false">IF(AND(D5&gt;=Supuestos!$C$54,MOD(D5-Supuestos!$C$54,12)=0),Supuestos!$D$53,0)</f>
        <v>0</v>
      </c>
      <c r="E21" s="19" t="n">
        <f aca="false">IF(AND(E5&gt;=Supuestos!$C$54,MOD(E5-Supuestos!$C$54,12)=0),Supuestos!$D$53,0)</f>
        <v>0</v>
      </c>
      <c r="F21" s="19" t="n">
        <f aca="false">IF(AND(F5&gt;=Supuestos!$C$54,MOD(F5-Supuestos!$C$54,12)=0),Supuestos!$D$53,0)</f>
        <v>0</v>
      </c>
      <c r="G21" s="19" t="n">
        <f aca="false">IF(AND(G5&gt;=Supuestos!$C$54,MOD(G5-Supuestos!$C$54,12)=0),Supuestos!$D$53,0)</f>
        <v>0</v>
      </c>
      <c r="H21" s="19" t="n">
        <f aca="false">IF(AND(H5&gt;=Supuestos!$C$54,MOD(H5-Supuestos!$C$54,12)=0),Supuestos!$D$53,0)</f>
        <v>0</v>
      </c>
      <c r="I21" s="19" t="n">
        <f aca="false">IF(AND(I5&gt;=Supuestos!$C$54,MOD(I5-Supuestos!$C$54,12)=0),Supuestos!$D$53,0)</f>
        <v>0</v>
      </c>
      <c r="J21" s="19" t="n">
        <f aca="false">IF(AND(J5&gt;=Supuestos!$C$54,MOD(J5-Supuestos!$C$54,12)=0),Supuestos!$D$53,0)</f>
        <v>0</v>
      </c>
      <c r="K21" s="19" t="n">
        <f aca="false">IF(AND(K5&gt;=Supuestos!$C$54,MOD(K5-Supuestos!$C$54,12)=0),Supuestos!$D$53,0)</f>
        <v>0</v>
      </c>
      <c r="L21" s="19" t="n">
        <f aca="false">IF(AND(L5&gt;=Supuestos!$C$54,MOD(L5-Supuestos!$C$54,12)=0),Supuestos!$D$53,0)</f>
        <v>0</v>
      </c>
      <c r="M21" s="19" t="n">
        <f aca="false">IF(AND(M5&gt;=Supuestos!$C$54,MOD(M5-Supuestos!$C$54,12)=0),Supuestos!$D$53,0)</f>
        <v>0</v>
      </c>
      <c r="N21" s="19" t="n">
        <f aca="false">IF(AND(N5&gt;=Supuestos!$C$54,MOD(N5-Supuestos!$C$54,12)=0),Supuestos!$D$53,0)</f>
        <v>0</v>
      </c>
      <c r="O21" s="19" t="n">
        <f aca="false">IF(AND(O5&gt;=Supuestos!$C$54,MOD(O5-Supuestos!$C$54,12)=0),Supuestos!$D$53,0)</f>
        <v>170000</v>
      </c>
      <c r="P21" s="19" t="n">
        <f aca="false">IF(AND(P5&gt;=Supuestos!$C$54,MOD(P5-Supuestos!$C$54,12)=0),Supuestos!$D$53,0)</f>
        <v>0</v>
      </c>
      <c r="Q21" s="19" t="n">
        <f aca="false">IF(AND(Q5&gt;=Supuestos!$C$54,MOD(Q5-Supuestos!$C$54,12)=0),Supuestos!$D$53,0)</f>
        <v>0</v>
      </c>
      <c r="R21" s="19" t="n">
        <f aca="false">IF(AND(R5&gt;=Supuestos!$C$54,MOD(R5-Supuestos!$C$54,12)=0),Supuestos!$D$53,0)</f>
        <v>0</v>
      </c>
      <c r="S21" s="19" t="n">
        <f aca="false">IF(AND(S5&gt;=Supuestos!$C$54,MOD(S5-Supuestos!$C$54,12)=0),Supuestos!$D$53,0)</f>
        <v>0</v>
      </c>
      <c r="T21" s="19" t="n">
        <f aca="false">IF(AND(T5&gt;=Supuestos!$C$54,MOD(T5-Supuestos!$C$54,12)=0),Supuestos!$D$53,0)</f>
        <v>0</v>
      </c>
      <c r="U21" s="19" t="n">
        <f aca="false">IF(AND(U5&gt;=Supuestos!$C$54,MOD(U5-Supuestos!$C$54,12)=0),Supuestos!$D$53,0)</f>
        <v>0</v>
      </c>
      <c r="V21" s="19" t="n">
        <f aca="false">IF(AND(V5&gt;=Supuestos!$C$54,MOD(V5-Supuestos!$C$54,12)=0),Supuestos!$D$53,0)</f>
        <v>0</v>
      </c>
      <c r="W21" s="19" t="n">
        <f aca="false">IF(AND(W5&gt;=Supuestos!$C$54,MOD(W5-Supuestos!$C$54,12)=0),Supuestos!$D$53,0)</f>
        <v>0</v>
      </c>
      <c r="X21" s="19" t="n">
        <f aca="false">IF(AND(X5&gt;=Supuestos!$C$54,MOD(X5-Supuestos!$C$54,12)=0),Supuestos!$D$53,0)</f>
        <v>0</v>
      </c>
      <c r="Y21" s="19" t="n">
        <f aca="false">IF(AND(Y5&gt;=Supuestos!$C$54,MOD(Y5-Supuestos!$C$54,12)=0),Supuestos!$D$53,0)</f>
        <v>0</v>
      </c>
      <c r="Z21" s="19" t="n">
        <f aca="false">IF(AND(Z5&gt;=Supuestos!$C$54,MOD(Z5-Supuestos!$C$54,12)=0),Supuestos!$D$53,0)</f>
        <v>0</v>
      </c>
      <c r="AA21" s="19" t="n">
        <f aca="false">IF(AND(AA5&gt;=Supuestos!$C$54,MOD(AA5-Supuestos!$C$54,12)=0),Supuestos!$D$53,0)</f>
        <v>170000</v>
      </c>
      <c r="AB21" s="19" t="n">
        <f aca="false">IF(AND(AB5&gt;=Supuestos!$C$54,MOD(AB5-Supuestos!$C$54,12)=0),Supuestos!$D$53,0)</f>
        <v>0</v>
      </c>
      <c r="AC21" s="19" t="n">
        <f aca="false">IF(AND(AC5&gt;=Supuestos!$C$54,MOD(AC5-Supuestos!$C$54,12)=0),Supuestos!$D$53,0)</f>
        <v>0</v>
      </c>
      <c r="AD21" s="19" t="n">
        <f aca="false">IF(AND(AD5&gt;=Supuestos!$C$54,MOD(AD5-Supuestos!$C$54,12)=0),Supuestos!$D$53,0)</f>
        <v>0</v>
      </c>
      <c r="AE21" s="19" t="n">
        <f aca="false">IF(AND(AE5&gt;=Supuestos!$C$54,MOD(AE5-Supuestos!$C$54,12)=0),Supuestos!$D$53,0)</f>
        <v>0</v>
      </c>
      <c r="AF21" s="19" t="n">
        <f aca="false">IF(AND(AF5&gt;=Supuestos!$C$54,MOD(AF5-Supuestos!$C$54,12)=0),Supuestos!$D$53,0)</f>
        <v>0</v>
      </c>
      <c r="AG21" s="19" t="n">
        <f aca="false">IF(AND(AG5&gt;=Supuestos!$C$54,MOD(AG5-Supuestos!$C$54,12)=0),Supuestos!$D$53,0)</f>
        <v>0</v>
      </c>
      <c r="AH21" s="19" t="n">
        <f aca="false">IF(AND(AH5&gt;=Supuestos!$C$54,MOD(AH5-Supuestos!$C$54,12)=0),Supuestos!$D$53,0)</f>
        <v>0</v>
      </c>
      <c r="AI21" s="19" t="n">
        <f aca="false">IF(AND(AI5&gt;=Supuestos!$C$54,MOD(AI5-Supuestos!$C$54,12)=0),Supuestos!$D$53,0)</f>
        <v>0</v>
      </c>
      <c r="AJ21" s="19" t="n">
        <f aca="false">IF(AND(AJ5&gt;=Supuestos!$C$54,MOD(AJ5-Supuestos!$C$54,12)=0),Supuestos!$D$53,0)</f>
        <v>0</v>
      </c>
      <c r="AK21" s="19" t="n">
        <f aca="false">IF(AND(AK5&gt;=Supuestos!$C$54,MOD(AK5-Supuestos!$C$54,12)=0),Supuestos!$D$53,0)</f>
        <v>0</v>
      </c>
      <c r="AL21" s="19" t="n">
        <f aca="false">IF(AND(AL5&gt;=Supuestos!$C$54,MOD(AL5-Supuestos!$C$54,12)=0),Supuestos!$D$53,0)</f>
        <v>0</v>
      </c>
      <c r="AM21" s="19" t="n">
        <f aca="false">IF(AND(AM5&gt;=Supuestos!$C$54,MOD(AM5-Supuestos!$C$54,12)=0),Supuestos!$D$53,0)</f>
        <v>170000</v>
      </c>
      <c r="AN21" s="19" t="n">
        <f aca="false">IF(AND(AN5&gt;=Supuestos!$C$54,MOD(AN5-Supuestos!$C$54,12)=0),Supuestos!$D$53,0)</f>
        <v>0</v>
      </c>
      <c r="AO21" s="19" t="n">
        <f aca="false">IF(AND(AO5&gt;=Supuestos!$C$54,MOD(AO5-Supuestos!$C$54,12)=0),Supuestos!$D$53,0)</f>
        <v>0</v>
      </c>
      <c r="AP21" s="19" t="n">
        <f aca="false">IF(AND(AP5&gt;=Supuestos!$C$54,MOD(AP5-Supuestos!$C$54,12)=0),Supuestos!$D$53,0)</f>
        <v>0</v>
      </c>
      <c r="AQ21" s="19" t="n">
        <f aca="false">IF(AND(AQ5&gt;=Supuestos!$C$54,MOD(AQ5-Supuestos!$C$54,12)=0),Supuestos!$D$53,0)</f>
        <v>0</v>
      </c>
      <c r="AR21" s="19" t="n">
        <f aca="false">IF(AND(AR5&gt;=Supuestos!$C$54,MOD(AR5-Supuestos!$C$54,12)=0),Supuestos!$D$53,0)</f>
        <v>0</v>
      </c>
      <c r="AS21" s="19" t="n">
        <f aca="false">IF(AND(AS5&gt;=Supuestos!$C$54,MOD(AS5-Supuestos!$C$54,12)=0),Supuestos!$D$53,0)</f>
        <v>0</v>
      </c>
      <c r="AT21" s="19" t="n">
        <f aca="false">IF(AND(AT5&gt;=Supuestos!$C$54,MOD(AT5-Supuestos!$C$54,12)=0),Supuestos!$D$53,0)</f>
        <v>0</v>
      </c>
      <c r="AU21" s="19" t="n">
        <f aca="false">IF(AND(AU5&gt;=Supuestos!$C$54,MOD(AU5-Supuestos!$C$54,12)=0),Supuestos!$D$53,0)</f>
        <v>0</v>
      </c>
      <c r="AV21" s="19" t="n">
        <f aca="false">IF(AND(AV5&gt;=Supuestos!$C$54,MOD(AV5-Supuestos!$C$54,12)=0),Supuestos!$D$53,0)</f>
        <v>0</v>
      </c>
      <c r="AW21" s="19" t="n">
        <f aca="false">IF(AND(AW5&gt;=Supuestos!$C$54,MOD(AW5-Supuestos!$C$54,12)=0),Supuestos!$D$53,0)</f>
        <v>0</v>
      </c>
      <c r="AX21" s="19" t="n">
        <f aca="false">IF(AND(AX5&gt;=Supuestos!$C$54,MOD(AX5-Supuestos!$C$54,12)=0),Supuestos!$D$53,0)</f>
        <v>0</v>
      </c>
      <c r="AY21" s="19" t="n">
        <f aca="false">IF(AND(AY5&gt;=Supuestos!$C$54,MOD(AY5-Supuestos!$C$54,12)=0),Supuestos!$D$53,0)</f>
        <v>170000</v>
      </c>
      <c r="AZ21" s="19" t="n">
        <f aca="false">IF(AND(AZ5&gt;=Supuestos!$C$54,MOD(AZ5-Supuestos!$C$54,12)=0),Supuestos!$D$53,0)</f>
        <v>0</v>
      </c>
      <c r="BA21" s="19" t="n">
        <f aca="false">IF(AND(BA5&gt;=Supuestos!$C$54,MOD(BA5-Supuestos!$C$54,12)=0),Supuestos!$D$53,0)</f>
        <v>0</v>
      </c>
      <c r="BB21" s="19" t="n">
        <f aca="false">IF(AND(BB5&gt;=Supuestos!$C$54,MOD(BB5-Supuestos!$C$54,12)=0),Supuestos!$D$53,0)</f>
        <v>0</v>
      </c>
      <c r="BC21" s="19" t="n">
        <f aca="false">IF(AND(BC5&gt;=Supuestos!$C$54,MOD(BC5-Supuestos!$C$54,12)=0),Supuestos!$D$53,0)</f>
        <v>0</v>
      </c>
      <c r="BD21" s="19" t="n">
        <f aca="false">IF(AND(BD5&gt;=Supuestos!$C$54,MOD(BD5-Supuestos!$C$54,12)=0),Supuestos!$D$53,0)</f>
        <v>0</v>
      </c>
      <c r="BE21" s="19" t="n">
        <f aca="false">IF(AND(BE5&gt;=Supuestos!$C$54,MOD(BE5-Supuestos!$C$54,12)=0),Supuestos!$D$53,0)</f>
        <v>0</v>
      </c>
      <c r="BF21" s="19" t="n">
        <f aca="false">IF(AND(BF5&gt;=Supuestos!$C$54,MOD(BF5-Supuestos!$C$54,12)=0),Supuestos!$D$53,0)</f>
        <v>0</v>
      </c>
      <c r="BG21" s="19" t="n">
        <f aca="false">IF(AND(BG5&gt;=Supuestos!$C$54,MOD(BG5-Supuestos!$C$54,12)=0),Supuestos!$D$53,0)</f>
        <v>0</v>
      </c>
      <c r="BH21" s="19" t="n">
        <f aca="false">IF(AND(BH5&gt;=Supuestos!$C$54,MOD(BH5-Supuestos!$C$54,12)=0),Supuestos!$D$53,0)</f>
        <v>0</v>
      </c>
      <c r="BI21" s="19" t="n">
        <f aca="false">IF(AND(BI5&gt;=Supuestos!$C$54,MOD(BI5-Supuestos!$C$54,12)=0),Supuestos!$D$53,0)</f>
        <v>0</v>
      </c>
      <c r="BJ21" s="19" t="n">
        <f aca="false">IF(AND(BJ5&gt;=Supuestos!$C$54,MOD(BJ5-Supuestos!$C$54,12)=0),Supuestos!$D$53,0)</f>
        <v>0</v>
      </c>
    </row>
    <row r="22" customFormat="false" ht="15" hidden="false" customHeight="false" outlineLevel="0" collapsed="false">
      <c r="A22" s="1"/>
      <c r="B22" s="7" t="s">
        <v>227</v>
      </c>
      <c r="C22" s="19" t="n">
        <f aca="false">IF(C5=1,Supuestos!$D$46,0)</f>
        <v>340000</v>
      </c>
      <c r="D22" s="19" t="n">
        <f aca="false">IF(D5=1,Supuestos!$D$46,0)</f>
        <v>0</v>
      </c>
      <c r="E22" s="19" t="n">
        <f aca="false">IF(E5=1,Supuestos!$D$46,0)</f>
        <v>0</v>
      </c>
      <c r="F22" s="19" t="n">
        <f aca="false">IF(F5=1,Supuestos!$D$46,0)</f>
        <v>0</v>
      </c>
      <c r="G22" s="19" t="n">
        <f aca="false">IF(G5=1,Supuestos!$D$46,0)</f>
        <v>0</v>
      </c>
      <c r="H22" s="19" t="n">
        <f aca="false">IF(H5=1,Supuestos!$D$46,0)</f>
        <v>0</v>
      </c>
      <c r="I22" s="19" t="n">
        <f aca="false">IF(I5=1,Supuestos!$D$46,0)</f>
        <v>0</v>
      </c>
      <c r="J22" s="19" t="n">
        <f aca="false">IF(J5=1,Supuestos!$D$46,0)</f>
        <v>0</v>
      </c>
      <c r="K22" s="19" t="n">
        <f aca="false">IF(K5=1,Supuestos!$D$46,0)</f>
        <v>0</v>
      </c>
      <c r="L22" s="19" t="n">
        <f aca="false">IF(L5=1,Supuestos!$D$46,0)</f>
        <v>0</v>
      </c>
      <c r="M22" s="19" t="n">
        <f aca="false">IF(M5=1,Supuestos!$D$46,0)</f>
        <v>0</v>
      </c>
      <c r="N22" s="19" t="n">
        <f aca="false">IF(N5=1,Supuestos!$D$46,0)</f>
        <v>0</v>
      </c>
      <c r="O22" s="19" t="n">
        <f aca="false">IF(O5=1,Supuestos!$D$46,0)</f>
        <v>0</v>
      </c>
      <c r="P22" s="19" t="n">
        <f aca="false">IF(P5=1,Supuestos!$D$46,0)</f>
        <v>0</v>
      </c>
      <c r="Q22" s="19" t="n">
        <f aca="false">IF(Q5=1,Supuestos!$D$46,0)</f>
        <v>0</v>
      </c>
      <c r="R22" s="19" t="n">
        <f aca="false">IF(R5=1,Supuestos!$D$46,0)</f>
        <v>0</v>
      </c>
      <c r="S22" s="19" t="n">
        <f aca="false">IF(S5=1,Supuestos!$D$46,0)</f>
        <v>0</v>
      </c>
      <c r="T22" s="19" t="n">
        <f aca="false">IF(T5=1,Supuestos!$D$46,0)</f>
        <v>0</v>
      </c>
      <c r="U22" s="19" t="n">
        <f aca="false">IF(U5=1,Supuestos!$D$46,0)</f>
        <v>0</v>
      </c>
      <c r="V22" s="19" t="n">
        <f aca="false">IF(V5=1,Supuestos!$D$46,0)</f>
        <v>0</v>
      </c>
      <c r="W22" s="19" t="n">
        <f aca="false">IF(W5=1,Supuestos!$D$46,0)</f>
        <v>0</v>
      </c>
      <c r="X22" s="19" t="n">
        <f aca="false">IF(X5=1,Supuestos!$D$46,0)</f>
        <v>0</v>
      </c>
      <c r="Y22" s="19" t="n">
        <f aca="false">IF(Y5=1,Supuestos!$D$46,0)</f>
        <v>0</v>
      </c>
      <c r="Z22" s="19" t="n">
        <f aca="false">IF(Z5=1,Supuestos!$D$46,0)</f>
        <v>0</v>
      </c>
      <c r="AA22" s="19" t="n">
        <f aca="false">IF(AA5=1,Supuestos!$D$46,0)</f>
        <v>0</v>
      </c>
      <c r="AB22" s="19" t="n">
        <f aca="false">IF(AB5=1,Supuestos!$D$46,0)</f>
        <v>0</v>
      </c>
      <c r="AC22" s="19" t="n">
        <f aca="false">IF(AC5=1,Supuestos!$D$46,0)</f>
        <v>0</v>
      </c>
      <c r="AD22" s="19" t="n">
        <f aca="false">IF(AD5=1,Supuestos!$D$46,0)</f>
        <v>0</v>
      </c>
      <c r="AE22" s="19" t="n">
        <f aca="false">IF(AE5=1,Supuestos!$D$46,0)</f>
        <v>0</v>
      </c>
      <c r="AF22" s="19" t="n">
        <f aca="false">IF(AF5=1,Supuestos!$D$46,0)</f>
        <v>0</v>
      </c>
      <c r="AG22" s="19" t="n">
        <f aca="false">IF(AG5=1,Supuestos!$D$46,0)</f>
        <v>0</v>
      </c>
      <c r="AH22" s="19" t="n">
        <f aca="false">IF(AH5=1,Supuestos!$D$46,0)</f>
        <v>0</v>
      </c>
      <c r="AI22" s="19" t="n">
        <f aca="false">IF(AI5=1,Supuestos!$D$46,0)</f>
        <v>0</v>
      </c>
      <c r="AJ22" s="19" t="n">
        <f aca="false">IF(AJ5=1,Supuestos!$D$46,0)</f>
        <v>0</v>
      </c>
      <c r="AK22" s="19" t="n">
        <f aca="false">IF(AK5=1,Supuestos!$D$46,0)</f>
        <v>0</v>
      </c>
      <c r="AL22" s="19" t="n">
        <f aca="false">IF(AL5=1,Supuestos!$D$46,0)</f>
        <v>0</v>
      </c>
      <c r="AM22" s="19" t="n">
        <f aca="false">IF(AM5=1,Supuestos!$D$46,0)</f>
        <v>0</v>
      </c>
      <c r="AN22" s="19" t="n">
        <f aca="false">IF(AN5=1,Supuestos!$D$46,0)</f>
        <v>0</v>
      </c>
      <c r="AO22" s="19" t="n">
        <f aca="false">IF(AO5=1,Supuestos!$D$46,0)</f>
        <v>0</v>
      </c>
      <c r="AP22" s="19" t="n">
        <f aca="false">IF(AP5=1,Supuestos!$D$46,0)</f>
        <v>0</v>
      </c>
      <c r="AQ22" s="19" t="n">
        <f aca="false">IF(AQ5=1,Supuestos!$D$46,0)</f>
        <v>0</v>
      </c>
      <c r="AR22" s="19" t="n">
        <f aca="false">IF(AR5=1,Supuestos!$D$46,0)</f>
        <v>0</v>
      </c>
      <c r="AS22" s="19" t="n">
        <f aca="false">IF(AS5=1,Supuestos!$D$46,0)</f>
        <v>0</v>
      </c>
      <c r="AT22" s="19" t="n">
        <f aca="false">IF(AT5=1,Supuestos!$D$46,0)</f>
        <v>0</v>
      </c>
      <c r="AU22" s="19" t="n">
        <f aca="false">IF(AU5=1,Supuestos!$D$46,0)</f>
        <v>0</v>
      </c>
      <c r="AV22" s="19" t="n">
        <f aca="false">IF(AV5=1,Supuestos!$D$46,0)</f>
        <v>0</v>
      </c>
      <c r="AW22" s="19" t="n">
        <f aca="false">IF(AW5=1,Supuestos!$D$46,0)</f>
        <v>0</v>
      </c>
      <c r="AX22" s="19" t="n">
        <f aca="false">IF(AX5=1,Supuestos!$D$46,0)</f>
        <v>0</v>
      </c>
      <c r="AY22" s="19" t="n">
        <f aca="false">IF(AY5=1,Supuestos!$D$46,0)</f>
        <v>0</v>
      </c>
      <c r="AZ22" s="19" t="n">
        <f aca="false">IF(AZ5=1,Supuestos!$D$46,0)</f>
        <v>0</v>
      </c>
      <c r="BA22" s="19" t="n">
        <f aca="false">IF(BA5=1,Supuestos!$D$46,0)</f>
        <v>0</v>
      </c>
      <c r="BB22" s="19" t="n">
        <f aca="false">IF(BB5=1,Supuestos!$D$46,0)</f>
        <v>0</v>
      </c>
      <c r="BC22" s="19" t="n">
        <f aca="false">IF(BC5=1,Supuestos!$D$46,0)</f>
        <v>0</v>
      </c>
      <c r="BD22" s="19" t="n">
        <f aca="false">IF(BD5=1,Supuestos!$D$46,0)</f>
        <v>0</v>
      </c>
      <c r="BE22" s="19" t="n">
        <f aca="false">IF(BE5=1,Supuestos!$D$46,0)</f>
        <v>0</v>
      </c>
      <c r="BF22" s="19" t="n">
        <f aca="false">IF(BF5=1,Supuestos!$D$46,0)</f>
        <v>0</v>
      </c>
      <c r="BG22" s="19" t="n">
        <f aca="false">IF(BG5=1,Supuestos!$D$46,0)</f>
        <v>0</v>
      </c>
      <c r="BH22" s="19" t="n">
        <f aca="false">IF(BH5=1,Supuestos!$D$46,0)</f>
        <v>0</v>
      </c>
      <c r="BI22" s="19" t="n">
        <f aca="false">IF(BI5=1,Supuestos!$D$46,0)</f>
        <v>0</v>
      </c>
      <c r="BJ22" s="19" t="n">
        <f aca="false">IF(BJ5=1,Supuestos!$D$46,0)</f>
        <v>0</v>
      </c>
    </row>
    <row r="23" customFormat="false" ht="15" hidden="false" customHeight="false" outlineLevel="0" collapsed="false">
      <c r="A23" s="1"/>
      <c r="B23" s="7" t="s">
        <v>228</v>
      </c>
      <c r="C23" s="19" t="n">
        <f aca="false">'Cartera 60M'!C79*Supuestos!$D$55</f>
        <v>4454</v>
      </c>
      <c r="D23" s="19" t="n">
        <f aca="false">'Cartera 60M'!D79*Supuestos!$D$55</f>
        <v>6681</v>
      </c>
      <c r="E23" s="19" t="n">
        <f aca="false">'Cartera 60M'!E79*Supuestos!$D$55</f>
        <v>11135</v>
      </c>
      <c r="F23" s="19" t="n">
        <f aca="false">'Cartera 60M'!F79*Supuestos!$D$55</f>
        <v>13362</v>
      </c>
      <c r="G23" s="19" t="n">
        <f aca="false">'Cartera 60M'!G79*Supuestos!$D$55</f>
        <v>15589</v>
      </c>
      <c r="H23" s="19" t="n">
        <f aca="false">'Cartera 60M'!H79*Supuestos!$D$55</f>
        <v>17816</v>
      </c>
      <c r="I23" s="19" t="n">
        <f aca="false">'Cartera 60M'!I79*Supuestos!$D$55</f>
        <v>22270</v>
      </c>
      <c r="J23" s="19" t="n">
        <f aca="false">'Cartera 60M'!J79*Supuestos!$D$55</f>
        <v>24497</v>
      </c>
      <c r="K23" s="19" t="n">
        <f aca="false">'Cartera 60M'!K79*Supuestos!$D$55</f>
        <v>26724</v>
      </c>
      <c r="L23" s="19" t="n">
        <f aca="false">'Cartera 60M'!L79*Supuestos!$D$55</f>
        <v>28951</v>
      </c>
      <c r="M23" s="19" t="n">
        <f aca="false">'Cartera 60M'!M79*Supuestos!$D$55</f>
        <v>33405</v>
      </c>
      <c r="N23" s="19" t="n">
        <f aca="false">'Cartera 60M'!N79*Supuestos!$D$55</f>
        <v>35632</v>
      </c>
      <c r="O23" s="19" t="n">
        <f aca="false">'Cartera 60M'!O79*Supuestos!$D$55</f>
        <v>33405</v>
      </c>
      <c r="P23" s="19" t="n">
        <f aca="false">'Cartera 60M'!P79*Supuestos!$D$55</f>
        <v>33405</v>
      </c>
      <c r="Q23" s="19" t="n">
        <f aca="false">'Cartera 60M'!Q79*Supuestos!$D$55</f>
        <v>33405</v>
      </c>
      <c r="R23" s="19" t="n">
        <f aca="false">'Cartera 60M'!R79*Supuestos!$D$55</f>
        <v>33405</v>
      </c>
      <c r="S23" s="19" t="n">
        <f aca="false">'Cartera 60M'!S79*Supuestos!$D$55</f>
        <v>33405</v>
      </c>
      <c r="T23" s="19" t="n">
        <f aca="false">'Cartera 60M'!T79*Supuestos!$D$55</f>
        <v>35632</v>
      </c>
      <c r="U23" s="19" t="n">
        <f aca="false">'Cartera 60M'!U79*Supuestos!$D$55</f>
        <v>33405</v>
      </c>
      <c r="V23" s="19" t="n">
        <f aca="false">'Cartera 60M'!V79*Supuestos!$D$55</f>
        <v>33405</v>
      </c>
      <c r="W23" s="19" t="n">
        <f aca="false">'Cartera 60M'!W79*Supuestos!$D$55</f>
        <v>33405</v>
      </c>
      <c r="X23" s="19" t="n">
        <f aca="false">'Cartera 60M'!X79*Supuestos!$D$55</f>
        <v>35632</v>
      </c>
      <c r="Y23" s="19" t="n">
        <f aca="false">'Cartera 60M'!Y79*Supuestos!$D$55</f>
        <v>33405</v>
      </c>
      <c r="Z23" s="19" t="n">
        <f aca="false">'Cartera 60M'!Z79*Supuestos!$D$55</f>
        <v>33405</v>
      </c>
      <c r="AA23" s="19" t="n">
        <f aca="false">'Cartera 60M'!AA79*Supuestos!$D$55</f>
        <v>33405</v>
      </c>
      <c r="AB23" s="19" t="n">
        <f aca="false">'Cartera 60M'!AB79*Supuestos!$D$55</f>
        <v>35632</v>
      </c>
      <c r="AC23" s="19" t="n">
        <f aca="false">'Cartera 60M'!AC79*Supuestos!$D$55</f>
        <v>33405</v>
      </c>
      <c r="AD23" s="19" t="n">
        <f aca="false">'Cartera 60M'!AD79*Supuestos!$D$55</f>
        <v>33405</v>
      </c>
      <c r="AE23" s="19" t="n">
        <f aca="false">'Cartera 60M'!AE79*Supuestos!$D$55</f>
        <v>35632</v>
      </c>
      <c r="AF23" s="19" t="n">
        <f aca="false">'Cartera 60M'!AF79*Supuestos!$D$55</f>
        <v>33405</v>
      </c>
      <c r="AG23" s="19" t="n">
        <f aca="false">'Cartera 60M'!AG79*Supuestos!$D$55</f>
        <v>33405</v>
      </c>
      <c r="AH23" s="19" t="n">
        <f aca="false">'Cartera 60M'!AH79*Supuestos!$D$55</f>
        <v>33405</v>
      </c>
      <c r="AI23" s="19" t="n">
        <f aca="false">'Cartera 60M'!AI79*Supuestos!$D$55</f>
        <v>35632</v>
      </c>
      <c r="AJ23" s="19" t="n">
        <f aca="false">'Cartera 60M'!AJ79*Supuestos!$D$55</f>
        <v>33405</v>
      </c>
      <c r="AK23" s="19" t="n">
        <f aca="false">'Cartera 60M'!AK79*Supuestos!$D$55</f>
        <v>33405</v>
      </c>
      <c r="AL23" s="19" t="n">
        <f aca="false">'Cartera 60M'!AL79*Supuestos!$D$55</f>
        <v>33405</v>
      </c>
      <c r="AM23" s="19" t="n">
        <f aca="false">'Cartera 60M'!AM79*Supuestos!$D$55</f>
        <v>35632</v>
      </c>
      <c r="AN23" s="19" t="n">
        <f aca="false">'Cartera 60M'!AN79*Supuestos!$D$55</f>
        <v>33405</v>
      </c>
      <c r="AO23" s="19" t="n">
        <f aca="false">'Cartera 60M'!AO79*Supuestos!$D$55</f>
        <v>33405</v>
      </c>
      <c r="AP23" s="19" t="n">
        <f aca="false">'Cartera 60M'!AP79*Supuestos!$D$55</f>
        <v>33405</v>
      </c>
      <c r="AQ23" s="19" t="n">
        <f aca="false">'Cartera 60M'!AQ79*Supuestos!$D$55</f>
        <v>33405</v>
      </c>
      <c r="AR23" s="19" t="n">
        <f aca="false">'Cartera 60M'!AR79*Supuestos!$D$55</f>
        <v>33405</v>
      </c>
      <c r="AS23" s="19" t="n">
        <f aca="false">'Cartera 60M'!AS79*Supuestos!$D$55</f>
        <v>33405</v>
      </c>
      <c r="AT23" s="19" t="n">
        <f aca="false">'Cartera 60M'!AT79*Supuestos!$D$55</f>
        <v>35632</v>
      </c>
      <c r="AU23" s="19" t="n">
        <f aca="false">'Cartera 60M'!AU79*Supuestos!$D$55</f>
        <v>33405</v>
      </c>
      <c r="AV23" s="19" t="n">
        <f aca="false">'Cartera 60M'!AV79*Supuestos!$D$55</f>
        <v>33405</v>
      </c>
      <c r="AW23" s="19" t="n">
        <f aca="false">'Cartera 60M'!AW79*Supuestos!$D$55</f>
        <v>33405</v>
      </c>
      <c r="AX23" s="19" t="n">
        <f aca="false">'Cartera 60M'!AX79*Supuestos!$D$55</f>
        <v>35632</v>
      </c>
      <c r="AY23" s="19" t="n">
        <f aca="false">'Cartera 60M'!AY79*Supuestos!$D$55</f>
        <v>31178</v>
      </c>
      <c r="AZ23" s="19" t="n">
        <f aca="false">'Cartera 60M'!AZ79*Supuestos!$D$55</f>
        <v>28951</v>
      </c>
      <c r="BA23" s="19" t="n">
        <f aca="false">'Cartera 60M'!BA79*Supuestos!$D$55</f>
        <v>26724</v>
      </c>
      <c r="BB23" s="19" t="n">
        <f aca="false">'Cartera 60M'!BB79*Supuestos!$D$55</f>
        <v>24497</v>
      </c>
      <c r="BC23" s="19" t="n">
        <f aca="false">'Cartera 60M'!BC79*Supuestos!$D$55</f>
        <v>20043</v>
      </c>
      <c r="BD23" s="19" t="n">
        <f aca="false">'Cartera 60M'!BD79*Supuestos!$D$55</f>
        <v>17816</v>
      </c>
      <c r="BE23" s="19" t="n">
        <f aca="false">'Cartera 60M'!BE79*Supuestos!$D$55</f>
        <v>15589</v>
      </c>
      <c r="BF23" s="19" t="n">
        <f aca="false">'Cartera 60M'!BF79*Supuestos!$D$55</f>
        <v>11135</v>
      </c>
      <c r="BG23" s="19" t="n">
        <f aca="false">'Cartera 60M'!BG79*Supuestos!$D$55</f>
        <v>8908</v>
      </c>
      <c r="BH23" s="19" t="n">
        <f aca="false">'Cartera 60M'!BH79*Supuestos!$D$55</f>
        <v>6681</v>
      </c>
      <c r="BI23" s="19" t="n">
        <f aca="false">'Cartera 60M'!BI79*Supuestos!$D$55</f>
        <v>4454</v>
      </c>
      <c r="BJ23" s="19" t="n">
        <f aca="false">'Cartera 60M'!BJ79*Supuestos!$D$55</f>
        <v>0</v>
      </c>
    </row>
    <row r="24" customFormat="false" ht="15" hidden="false" customHeight="false" outlineLevel="0" collapsed="false">
      <c r="A24" s="1"/>
      <c r="B24" s="7" t="s">
        <v>229</v>
      </c>
      <c r="C24" s="25" t="n">
        <f aca="false">Supuestos!$C$58</f>
        <v>0</v>
      </c>
      <c r="D24" s="25" t="n">
        <f aca="false">Supuestos!$C$58</f>
        <v>0</v>
      </c>
      <c r="E24" s="25" t="n">
        <f aca="false">Supuestos!$C$58</f>
        <v>0</v>
      </c>
      <c r="F24" s="25" t="n">
        <f aca="false">Supuestos!$C$58</f>
        <v>0</v>
      </c>
      <c r="G24" s="25" t="n">
        <f aca="false">Supuestos!$C$58</f>
        <v>0</v>
      </c>
      <c r="H24" s="25" t="n">
        <f aca="false">Supuestos!$C$58</f>
        <v>0</v>
      </c>
      <c r="I24" s="25" t="n">
        <f aca="false">Supuestos!$C$58</f>
        <v>0</v>
      </c>
      <c r="J24" s="25" t="n">
        <f aca="false">Supuestos!$C$58</f>
        <v>0</v>
      </c>
      <c r="K24" s="25" t="n">
        <f aca="false">Supuestos!$C$58</f>
        <v>0</v>
      </c>
      <c r="L24" s="25" t="n">
        <f aca="false">Supuestos!$C$58</f>
        <v>0</v>
      </c>
      <c r="M24" s="25" t="n">
        <f aca="false">Supuestos!$C$58</f>
        <v>0</v>
      </c>
      <c r="N24" s="25" t="n">
        <f aca="false">Supuestos!$C$58</f>
        <v>0</v>
      </c>
      <c r="O24" s="25" t="n">
        <f aca="false">Supuestos!$C$58</f>
        <v>0</v>
      </c>
      <c r="P24" s="25" t="n">
        <f aca="false">Supuestos!$C$58</f>
        <v>0</v>
      </c>
      <c r="Q24" s="25" t="n">
        <f aca="false">Supuestos!$C$58</f>
        <v>0</v>
      </c>
      <c r="R24" s="25" t="n">
        <f aca="false">Supuestos!$C$58</f>
        <v>0</v>
      </c>
      <c r="S24" s="25" t="n">
        <f aca="false">Supuestos!$C$58</f>
        <v>0</v>
      </c>
      <c r="T24" s="25" t="n">
        <f aca="false">Supuestos!$C$58</f>
        <v>0</v>
      </c>
      <c r="U24" s="25" t="n">
        <f aca="false">Supuestos!$C$58</f>
        <v>0</v>
      </c>
      <c r="V24" s="25" t="n">
        <f aca="false">Supuestos!$C$58</f>
        <v>0</v>
      </c>
      <c r="W24" s="25" t="n">
        <f aca="false">Supuestos!$C$58</f>
        <v>0</v>
      </c>
      <c r="X24" s="25" t="n">
        <f aca="false">Supuestos!$C$58</f>
        <v>0</v>
      </c>
      <c r="Y24" s="25" t="n">
        <f aca="false">Supuestos!$C$58</f>
        <v>0</v>
      </c>
      <c r="Z24" s="25" t="n">
        <f aca="false">Supuestos!$C$58</f>
        <v>0</v>
      </c>
      <c r="AA24" s="25" t="n">
        <f aca="false">Supuestos!$C$58</f>
        <v>0</v>
      </c>
      <c r="AB24" s="25" t="n">
        <f aca="false">Supuestos!$C$58</f>
        <v>0</v>
      </c>
      <c r="AC24" s="25" t="n">
        <f aca="false">Supuestos!$C$58</f>
        <v>0</v>
      </c>
      <c r="AD24" s="25" t="n">
        <f aca="false">Supuestos!$C$58</f>
        <v>0</v>
      </c>
      <c r="AE24" s="25" t="n">
        <f aca="false">Supuestos!$C$58</f>
        <v>0</v>
      </c>
      <c r="AF24" s="25" t="n">
        <f aca="false">Supuestos!$C$58</f>
        <v>0</v>
      </c>
      <c r="AG24" s="25" t="n">
        <f aca="false">Supuestos!$C$58</f>
        <v>0</v>
      </c>
      <c r="AH24" s="25" t="n">
        <f aca="false">Supuestos!$C$58</f>
        <v>0</v>
      </c>
      <c r="AI24" s="25" t="n">
        <f aca="false">Supuestos!$C$58</f>
        <v>0</v>
      </c>
      <c r="AJ24" s="25" t="n">
        <f aca="false">Supuestos!$C$58</f>
        <v>0</v>
      </c>
      <c r="AK24" s="25" t="n">
        <f aca="false">Supuestos!$C$58</f>
        <v>0</v>
      </c>
      <c r="AL24" s="25" t="n">
        <f aca="false">Supuestos!$C$58</f>
        <v>0</v>
      </c>
      <c r="AM24" s="25" t="n">
        <f aca="false">Supuestos!$C$58</f>
        <v>0</v>
      </c>
      <c r="AN24" s="25" t="n">
        <f aca="false">Supuestos!$C$58</f>
        <v>0</v>
      </c>
      <c r="AO24" s="25" t="n">
        <f aca="false">Supuestos!$C$58</f>
        <v>0</v>
      </c>
      <c r="AP24" s="25" t="n">
        <f aca="false">Supuestos!$C$58</f>
        <v>0</v>
      </c>
      <c r="AQ24" s="25" t="n">
        <f aca="false">Supuestos!$C$58</f>
        <v>0</v>
      </c>
      <c r="AR24" s="25" t="n">
        <f aca="false">Supuestos!$C$58</f>
        <v>0</v>
      </c>
      <c r="AS24" s="25" t="n">
        <f aca="false">Supuestos!$C$58</f>
        <v>0</v>
      </c>
      <c r="AT24" s="25" t="n">
        <f aca="false">Supuestos!$C$58</f>
        <v>0</v>
      </c>
      <c r="AU24" s="25" t="n">
        <f aca="false">Supuestos!$C$58</f>
        <v>0</v>
      </c>
      <c r="AV24" s="25" t="n">
        <f aca="false">Supuestos!$C$58</f>
        <v>0</v>
      </c>
      <c r="AW24" s="25" t="n">
        <f aca="false">Supuestos!$C$58</f>
        <v>0</v>
      </c>
      <c r="AX24" s="25" t="n">
        <f aca="false">Supuestos!$C$58</f>
        <v>0</v>
      </c>
      <c r="AY24" s="25" t="n">
        <f aca="false">Supuestos!$C$58</f>
        <v>0</v>
      </c>
      <c r="AZ24" s="25" t="n">
        <f aca="false">Supuestos!$C$58</f>
        <v>0</v>
      </c>
      <c r="BA24" s="25" t="n">
        <f aca="false">Supuestos!$C$58</f>
        <v>0</v>
      </c>
      <c r="BB24" s="25" t="n">
        <f aca="false">Supuestos!$C$58</f>
        <v>0</v>
      </c>
      <c r="BC24" s="25" t="n">
        <f aca="false">Supuestos!$C$58</f>
        <v>0</v>
      </c>
      <c r="BD24" s="25" t="n">
        <f aca="false">Supuestos!$C$58</f>
        <v>0</v>
      </c>
      <c r="BE24" s="25" t="n">
        <f aca="false">Supuestos!$C$58</f>
        <v>0</v>
      </c>
      <c r="BF24" s="25" t="n">
        <f aca="false">Supuestos!$C$58</f>
        <v>0</v>
      </c>
      <c r="BG24" s="25" t="n">
        <f aca="false">Supuestos!$C$58</f>
        <v>0</v>
      </c>
      <c r="BH24" s="25" t="n">
        <f aca="false">Supuestos!$C$58</f>
        <v>0</v>
      </c>
      <c r="BI24" s="25" t="n">
        <f aca="false">Supuestos!$C$58</f>
        <v>0</v>
      </c>
      <c r="BJ24" s="25" t="n">
        <f aca="false">Supuestos!$C$58</f>
        <v>0</v>
      </c>
    </row>
    <row r="25" customFormat="false" ht="15" hidden="false" customHeight="false" outlineLevel="0" collapsed="false">
      <c r="A25" s="1"/>
      <c r="B25" s="23" t="s">
        <v>212</v>
      </c>
      <c r="C25" s="22" t="n">
        <f aca="false">SUM(C18:C24)</f>
        <v>442594</v>
      </c>
      <c r="D25" s="22" t="n">
        <f aca="false">SUM(D18:D24)</f>
        <v>149236.980850161</v>
      </c>
      <c r="E25" s="22" t="n">
        <f aca="false">SUM(E18:E24)</f>
        <v>225936.534948941</v>
      </c>
      <c r="F25" s="22" t="n">
        <f aca="false">SUM(F18:F24)</f>
        <v>310587.73141084</v>
      </c>
      <c r="G25" s="22" t="n">
        <f aca="false">SUM(G18:G24)</f>
        <v>404236.860825923</v>
      </c>
      <c r="H25" s="22" t="n">
        <f aca="false">SUM(H18:H24)</f>
        <v>505670.744275482</v>
      </c>
      <c r="I25" s="22" t="n">
        <f aca="false">SUM(I18:I24)</f>
        <v>631364.840420546</v>
      </c>
      <c r="J25" s="22" t="n">
        <f aca="false">SUM(J18:J24)</f>
        <v>759054.818460402</v>
      </c>
      <c r="K25" s="22" t="n">
        <f aca="false">SUM(K18:K24)</f>
        <v>889623.185572238</v>
      </c>
      <c r="L25" s="22" t="n">
        <f aca="false">SUM(L18:L24)</f>
        <v>1021688.47538061</v>
      </c>
      <c r="M25" s="22" t="n">
        <f aca="false">SUM(M18:M24)</f>
        <v>1171553.23118476</v>
      </c>
      <c r="N25" s="22" t="n">
        <f aca="false">SUM(N18:N24)</f>
        <v>1316775.45164973</v>
      </c>
      <c r="O25" s="22" t="n">
        <f aca="false">SUM(O18:O24)</f>
        <v>1621561.08747876</v>
      </c>
      <c r="P25" s="22" t="n">
        <f aca="false">SUM(P18:P24)</f>
        <v>1584907.2396693</v>
      </c>
      <c r="Q25" s="22" t="n">
        <f aca="false">SUM(Q18:Q24)</f>
        <v>1728961.07992129</v>
      </c>
      <c r="R25" s="22" t="n">
        <f aca="false">SUM(R18:R24)</f>
        <v>1869542.06965641</v>
      </c>
      <c r="S25" s="22" t="n">
        <f aca="false">SUM(S18:S24)</f>
        <v>2006554.70548544</v>
      </c>
      <c r="T25" s="22" t="n">
        <f aca="false">SUM(T18:T24)</f>
        <v>2157622.85767598</v>
      </c>
      <c r="U25" s="22" t="n">
        <f aca="false">SUM(U18:U24)</f>
        <v>2298415.18835305</v>
      </c>
      <c r="V25" s="22" t="n">
        <f aca="false">SUM(V18:V24)</f>
        <v>2437933.21949994</v>
      </c>
      <c r="W25" s="22" t="n">
        <f aca="false">SUM(W18:W24)</f>
        <v>2573853.66537957</v>
      </c>
      <c r="X25" s="22" t="n">
        <f aca="false">SUM(X18:X24)</f>
        <v>2723799.59239709</v>
      </c>
      <c r="Y25" s="22" t="n">
        <f aca="false">SUM(Y18:Y24)</f>
        <v>2863438.83670888</v>
      </c>
      <c r="Z25" s="22" t="n">
        <f aca="false">SUM(Z18:Z24)</f>
        <v>3001772.07161545</v>
      </c>
      <c r="AA25" s="22" t="n">
        <f aca="false">SUM(AA18:AA24)</f>
        <v>3306475.13935816</v>
      </c>
      <c r="AB25" s="22" t="n">
        <f aca="false">SUM(AB18:AB24)</f>
        <v>3285170.21033999</v>
      </c>
      <c r="AC25" s="22" t="n">
        <f aca="false">SUM(AC18:AC24)</f>
        <v>3423524.20007511</v>
      </c>
      <c r="AD25" s="22" t="n">
        <f aca="false">SUM(AD18:AD24)</f>
        <v>3560536.83590415</v>
      </c>
      <c r="AE25" s="22" t="n">
        <f aca="false">SUM(AE18:AE24)</f>
        <v>3711604.98809469</v>
      </c>
      <c r="AF25" s="22" t="n">
        <f aca="false">SUM(AF18:AF24)</f>
        <v>3852397.31877176</v>
      </c>
      <c r="AG25" s="22" t="n">
        <f aca="false">SUM(AG18:AG24)</f>
        <v>3991915.34991864</v>
      </c>
      <c r="AH25" s="22" t="n">
        <f aca="false">SUM(AH18:AH24)</f>
        <v>4127835.79579828</v>
      </c>
      <c r="AI25" s="22" t="n">
        <f aca="false">SUM(AI18:AI24)</f>
        <v>4277781.7228158</v>
      </c>
      <c r="AJ25" s="22" t="n">
        <f aca="false">SUM(AJ18:AJ24)</f>
        <v>4417420.9671276</v>
      </c>
      <c r="AK25" s="22" t="n">
        <f aca="false">SUM(AK18:AK24)</f>
        <v>4555754.20203417</v>
      </c>
      <c r="AL25" s="22" t="n">
        <f aca="false">SUM(AL18:AL24)</f>
        <v>4690457.26977687</v>
      </c>
      <c r="AM25" s="22" t="n">
        <f aca="false">SUM(AM18:AM24)</f>
        <v>5009152.34075871</v>
      </c>
      <c r="AN25" s="22" t="n">
        <f aca="false">SUM(AN18:AN24)</f>
        <v>4977506.33049383</v>
      </c>
      <c r="AO25" s="22" t="n">
        <f aca="false">SUM(AO18:AO24)</f>
        <v>5114518.96632287</v>
      </c>
      <c r="AP25" s="22" t="n">
        <f aca="false">SUM(AP18:AP24)</f>
        <v>5247865.11851341</v>
      </c>
      <c r="AQ25" s="22" t="n">
        <f aca="false">SUM(AQ18:AQ24)</f>
        <v>5391918.95876539</v>
      </c>
      <c r="AR25" s="22" t="n">
        <f aca="false">SUM(AR18:AR24)</f>
        <v>5532499.94850051</v>
      </c>
      <c r="AS25" s="22" t="n">
        <f aca="false">SUM(AS18:AS24)</f>
        <v>5669512.58432955</v>
      </c>
      <c r="AT25" s="22" t="n">
        <f aca="false">SUM(AT18:AT24)</f>
        <v>5820580.7365201</v>
      </c>
      <c r="AU25" s="22" t="n">
        <f aca="false">SUM(AU18:AU24)</f>
        <v>5961373.06719716</v>
      </c>
      <c r="AV25" s="22" t="n">
        <f aca="false">SUM(AV18:AV24)</f>
        <v>6100891.09834405</v>
      </c>
      <c r="AW25" s="22" t="n">
        <f aca="false">SUM(AW18:AW24)</f>
        <v>6236811.54422369</v>
      </c>
      <c r="AX25" s="22" t="n">
        <f aca="false">SUM(AX18:AX24)</f>
        <v>6386757.47124121</v>
      </c>
      <c r="AY25" s="22" t="n">
        <f aca="false">SUM(AY18:AY24)</f>
        <v>6678674.71555301</v>
      </c>
      <c r="AZ25" s="22" t="n">
        <f aca="false">SUM(AZ18:AZ24)</f>
        <v>6614825.4600345</v>
      </c>
      <c r="BA25" s="22" t="n">
        <f aca="false">SUM(BA18:BA24)</f>
        <v>6703948.50551528</v>
      </c>
      <c r="BB25" s="22" t="n">
        <f aca="false">SUM(BB18:BB24)</f>
        <v>6777036.21234774</v>
      </c>
      <c r="BC25" s="22" t="n">
        <f aca="false">SUM(BC18:BC24)</f>
        <v>6831861.23079398</v>
      </c>
      <c r="BD25" s="22" t="n">
        <f aca="false">SUM(BD18:BD24)</f>
        <v>6876377.82357321</v>
      </c>
      <c r="BE25" s="22" t="n">
        <f aca="false">SUM(BE18:BE24)</f>
        <v>6909474.88855452</v>
      </c>
      <c r="BF25" s="22" t="n">
        <f aca="false">SUM(BF18:BF24)</f>
        <v>6929052.01079837</v>
      </c>
      <c r="BG25" s="22" t="n">
        <f aca="false">SUM(BG18:BG24)</f>
        <v>6943193.87852933</v>
      </c>
      <c r="BH25" s="22" t="n">
        <f aca="false">SUM(BH18:BH24)</f>
        <v>6950923.40182321</v>
      </c>
      <c r="BI25" s="22" t="n">
        <f aca="false">SUM(BI18:BI24)</f>
        <v>6953524.86328291</v>
      </c>
      <c r="BJ25" s="22" t="n">
        <f aca="false">SUM(BJ18:BJ24)</f>
        <v>6949070.86328291</v>
      </c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customFormat="false" ht="15" hidden="false" customHeight="false" outlineLevel="0" collapsed="false">
      <c r="A27" s="1"/>
      <c r="B27" s="23" t="s">
        <v>213</v>
      </c>
      <c r="C27" s="20" t="n">
        <f aca="false">C15-C25</f>
        <v>-258094</v>
      </c>
      <c r="D27" s="20" t="n">
        <f aca="false">D15-D25</f>
        <v>216116.850588121</v>
      </c>
      <c r="E27" s="20" t="n">
        <f aca="false">E15-E25</f>
        <v>450764.730449596</v>
      </c>
      <c r="F27" s="20" t="n">
        <f aca="false">F15-F25</f>
        <v>664560.725977564</v>
      </c>
      <c r="G27" s="20" t="n">
        <f aca="false">G15-G25</f>
        <v>898093.830646914</v>
      </c>
      <c r="H27" s="20" t="n">
        <f aca="false">H15-H25</f>
        <v>1149119.97775309</v>
      </c>
      <c r="I27" s="20" t="n">
        <f aca="false">I15-I25</f>
        <v>1489861.38875718</v>
      </c>
      <c r="J27" s="20" t="n">
        <f aca="false">J15-J25</f>
        <v>1798734.30150447</v>
      </c>
      <c r="K27" s="20" t="n">
        <f aca="false">K15-K25</f>
        <v>2116024.75258699</v>
      </c>
      <c r="L27" s="20" t="n">
        <f aca="false">L15-L25</f>
        <v>2439177.387103</v>
      </c>
      <c r="M27" s="20" t="n">
        <f aca="false">M15-M25</f>
        <v>2840094.57789098</v>
      </c>
      <c r="N27" s="20" t="n">
        <f aca="false">N15-N25</f>
        <v>3196863.91833654</v>
      </c>
      <c r="O27" s="20" t="n">
        <f aca="false">O15-O25</f>
        <v>3373927.76284932</v>
      </c>
      <c r="P27" s="20" t="n">
        <f aca="false">P15-P25</f>
        <v>3881982.56249711</v>
      </c>
      <c r="Q27" s="20" t="n">
        <f aca="false">Q15-Q25</f>
        <v>4284843.81104611</v>
      </c>
      <c r="R27" s="20" t="n">
        <f aca="false">R15-R25</f>
        <v>4636281.18584112</v>
      </c>
      <c r="S27" s="20" t="n">
        <f aca="false">S15-S25</f>
        <v>4981118.0303539</v>
      </c>
      <c r="T27" s="20" t="n">
        <f aca="false">T15-T25</f>
        <v>5393700.83000169</v>
      </c>
      <c r="U27" s="20" t="n">
        <f aca="false">U15-U25</f>
        <v>5751875.50384476</v>
      </c>
      <c r="V27" s="20" t="n">
        <f aca="false">V15-V25</f>
        <v>6101346.68062941</v>
      </c>
      <c r="W27" s="20" t="n">
        <f aca="false">W15-W25</f>
        <v>6444163.25668656</v>
      </c>
      <c r="X27" s="20" t="n">
        <f aca="false">X15-X25</f>
        <v>6854670.23049618</v>
      </c>
      <c r="Y27" s="20" t="n">
        <f aca="false">Y15-Y25</f>
        <v>7210711.99329053</v>
      </c>
      <c r="Z27" s="20" t="n">
        <f aca="false">Z15-Z25</f>
        <v>7557991.60397263</v>
      </c>
      <c r="AA27" s="20" t="n">
        <f aca="false">AA15-AA25</f>
        <v>7728556.34585939</v>
      </c>
      <c r="AB27" s="20" t="n">
        <f aca="false">AB15-AB25</f>
        <v>8306749.56005895</v>
      </c>
      <c r="AC27" s="20" t="n">
        <f aca="false">AC15-AC25</f>
        <v>8660413.93485396</v>
      </c>
      <c r="AD27" s="20" t="n">
        <f aca="false">AD15-AD25</f>
        <v>9005250.77936674</v>
      </c>
      <c r="AE27" s="20" t="n">
        <f aca="false">AE15-AE25</f>
        <v>9417833.57901453</v>
      </c>
      <c r="AF27" s="20" t="n">
        <f aca="false">AF15-AF25</f>
        <v>9776008.2528576</v>
      </c>
      <c r="AG27" s="20" t="n">
        <f aca="false">AG15-AG25</f>
        <v>10125479.4296423</v>
      </c>
      <c r="AH27" s="20" t="n">
        <f aca="false">AH15-AH25</f>
        <v>10468296.0056994</v>
      </c>
      <c r="AI27" s="20" t="n">
        <f aca="false">AI15-AI25</f>
        <v>10878802.979509</v>
      </c>
      <c r="AJ27" s="20" t="n">
        <f aca="false">AJ15-AJ25</f>
        <v>11234844.7423034</v>
      </c>
      <c r="AK27" s="20" t="n">
        <f aca="false">AK15-AK25</f>
        <v>11582124.3529855</v>
      </c>
      <c r="AL27" s="20" t="n">
        <f aca="false">AL15-AL25</f>
        <v>11922689.0948722</v>
      </c>
      <c r="AM27" s="20" t="n">
        <f aca="false">AM15-AM25</f>
        <v>12160882.3090718</v>
      </c>
      <c r="AN27" s="20" t="n">
        <f aca="false">AN15-AN25</f>
        <v>12684546.6838668</v>
      </c>
      <c r="AO27" s="20" t="n">
        <f aca="false">AO15-AO25</f>
        <v>13029383.5283796</v>
      </c>
      <c r="AP27" s="20" t="n">
        <f aca="false">AP15-AP25</f>
        <v>13367438.3280274</v>
      </c>
      <c r="AQ27" s="20" t="n">
        <f aca="false">AQ15-AQ25</f>
        <v>13770299.5765764</v>
      </c>
      <c r="AR27" s="20" t="n">
        <f aca="false">AR15-AR25</f>
        <v>14121736.9513714</v>
      </c>
      <c r="AS27" s="20" t="n">
        <f aca="false">AS15-AS25</f>
        <v>14466573.7958842</v>
      </c>
      <c r="AT27" s="20" t="n">
        <f aca="false">AT15-AT25</f>
        <v>14879156.595532</v>
      </c>
      <c r="AU27" s="20" t="n">
        <f aca="false">AU15-AU25</f>
        <v>15237331.2693751</v>
      </c>
      <c r="AV27" s="20" t="n">
        <f aca="false">AV15-AV25</f>
        <v>15586802.4461597</v>
      </c>
      <c r="AW27" s="20" t="n">
        <f aca="false">AW15-AW25</f>
        <v>15929619.0222169</v>
      </c>
      <c r="AX27" s="20" t="n">
        <f aca="false">AX15-AX25</f>
        <v>16340125.9960265</v>
      </c>
      <c r="AY27" s="20" t="n">
        <f aca="false">AY15-AY25</f>
        <v>16451639.7588209</v>
      </c>
      <c r="AZ27" s="20" t="n">
        <f aca="false">AZ15-AZ25</f>
        <v>16864549.9442089</v>
      </c>
      <c r="BA27" s="20" t="n">
        <f aca="false">BA15-BA25</f>
        <v>17072870.0335179</v>
      </c>
      <c r="BB27" s="20" t="n">
        <f aca="false">BB15-BB25</f>
        <v>17248435.6363116</v>
      </c>
      <c r="BC27" s="20" t="n">
        <f aca="false">BC15-BC25</f>
        <v>17390379.8414168</v>
      </c>
      <c r="BD27" s="20" t="n">
        <f aca="false">BD15-BD25</f>
        <v>17503816.492309</v>
      </c>
      <c r="BE27" s="20" t="n">
        <f aca="false">BE15-BE25</f>
        <v>17593036.7109532</v>
      </c>
      <c r="BF27" s="20" t="n">
        <f aca="false">BF15-BF25</f>
        <v>17657408.3826685</v>
      </c>
      <c r="BG27" s="20" t="n">
        <f aca="false">BG15-BG25</f>
        <v>17702286.6043263</v>
      </c>
      <c r="BH27" s="20" t="n">
        <f aca="false">BH15-BH25</f>
        <v>17732210.3857559</v>
      </c>
      <c r="BI27" s="20" t="n">
        <f aca="false">BI15-BI25</f>
        <v>17749555.317057</v>
      </c>
      <c r="BJ27" s="20" t="n">
        <f aca="false">BJ15-BJ25</f>
        <v>17754009.317057</v>
      </c>
    </row>
    <row r="28" customFormat="false" ht="15" hidden="false" customHeight="false" outlineLevel="0" collapsed="false">
      <c r="A28" s="1"/>
      <c r="B28" s="23" t="s">
        <v>214</v>
      </c>
      <c r="C28" s="20" t="n">
        <f aca="false">C27</f>
        <v>-258094</v>
      </c>
      <c r="D28" s="20" t="n">
        <f aca="false">C28+D27</f>
        <v>-41977.1494118792</v>
      </c>
      <c r="E28" s="20" t="n">
        <f aca="false">D28+E27</f>
        <v>408787.581037717</v>
      </c>
      <c r="F28" s="20" t="n">
        <f aca="false">E28+F27</f>
        <v>1073348.30701528</v>
      </c>
      <c r="G28" s="20" t="n">
        <f aca="false">F28+G27</f>
        <v>1971442.1376622</v>
      </c>
      <c r="H28" s="20" t="n">
        <f aca="false">G28+H27</f>
        <v>3120562.11541529</v>
      </c>
      <c r="I28" s="20" t="n">
        <f aca="false">H28+I27</f>
        <v>4610423.50417246</v>
      </c>
      <c r="J28" s="20" t="n">
        <f aca="false">I28+J27</f>
        <v>6409157.80567694</v>
      </c>
      <c r="K28" s="20" t="n">
        <f aca="false">J28+K27</f>
        <v>8525182.55826393</v>
      </c>
      <c r="L28" s="20" t="n">
        <f aca="false">K28+L27</f>
        <v>10964359.9453669</v>
      </c>
      <c r="M28" s="20" t="n">
        <f aca="false">L28+M27</f>
        <v>13804454.5232579</v>
      </c>
      <c r="N28" s="20" t="n">
        <f aca="false">M28+N27</f>
        <v>17001318.4415944</v>
      </c>
      <c r="O28" s="20" t="n">
        <f aca="false">N28+O27</f>
        <v>20375246.2044438</v>
      </c>
      <c r="P28" s="20" t="n">
        <f aca="false">O28+P27</f>
        <v>24257228.7669409</v>
      </c>
      <c r="Q28" s="20" t="n">
        <f aca="false">P28+Q27</f>
        <v>28542072.577987</v>
      </c>
      <c r="R28" s="20" t="n">
        <f aca="false">Q28+R27</f>
        <v>33178353.7638281</v>
      </c>
      <c r="S28" s="20" t="n">
        <f aca="false">R28+S27</f>
        <v>38159471.794182</v>
      </c>
      <c r="T28" s="20" t="n">
        <f aca="false">S28+T27</f>
        <v>43553172.6241837</v>
      </c>
      <c r="U28" s="20" t="n">
        <f aca="false">T28+U27</f>
        <v>49305048.1280285</v>
      </c>
      <c r="V28" s="20" t="n">
        <f aca="false">U28+V27</f>
        <v>55406394.8086579</v>
      </c>
      <c r="W28" s="20" t="n">
        <f aca="false">V28+W27</f>
        <v>61850558.0653444</v>
      </c>
      <c r="X28" s="20" t="n">
        <f aca="false">W28+X27</f>
        <v>68705228.2958406</v>
      </c>
      <c r="Y28" s="20" t="n">
        <f aca="false">X28+Y27</f>
        <v>75915940.2891311</v>
      </c>
      <c r="Z28" s="20" t="n">
        <f aca="false">Y28+Z27</f>
        <v>83473931.8931038</v>
      </c>
      <c r="AA28" s="20" t="n">
        <f aca="false">Z28+AA27</f>
        <v>91202488.2389631</v>
      </c>
      <c r="AB28" s="20" t="n">
        <f aca="false">AA28+AB27</f>
        <v>99509237.7990221</v>
      </c>
      <c r="AC28" s="20" t="n">
        <f aca="false">AB28+AC27</f>
        <v>108169651.733876</v>
      </c>
      <c r="AD28" s="20" t="n">
        <f aca="false">AC28+AD27</f>
        <v>117174902.513243</v>
      </c>
      <c r="AE28" s="20" t="n">
        <f aca="false">AD28+AE27</f>
        <v>126592736.092257</v>
      </c>
      <c r="AF28" s="20" t="n">
        <f aca="false">AE28+AF27</f>
        <v>136368744.345115</v>
      </c>
      <c r="AG28" s="20" t="n">
        <f aca="false">AF28+AG27</f>
        <v>146494223.774757</v>
      </c>
      <c r="AH28" s="20" t="n">
        <f aca="false">AG28+AH27</f>
        <v>156962519.780457</v>
      </c>
      <c r="AI28" s="20" t="n">
        <f aca="false">AH28+AI27</f>
        <v>167841322.759966</v>
      </c>
      <c r="AJ28" s="20" t="n">
        <f aca="false">AI28+AJ27</f>
        <v>179076167.502269</v>
      </c>
      <c r="AK28" s="20" t="n">
        <f aca="false">AJ28+AK27</f>
        <v>190658291.855254</v>
      </c>
      <c r="AL28" s="20" t="n">
        <f aca="false">AK28+AL27</f>
        <v>202580980.950127</v>
      </c>
      <c r="AM28" s="20" t="n">
        <f aca="false">AL28+AM27</f>
        <v>214741863.259199</v>
      </c>
      <c r="AN28" s="20" t="n">
        <f aca="false">AM28+AN27</f>
        <v>227426409.943065</v>
      </c>
      <c r="AO28" s="20" t="n">
        <f aca="false">AN28+AO27</f>
        <v>240455793.471445</v>
      </c>
      <c r="AP28" s="20" t="n">
        <f aca="false">AO28+AP27</f>
        <v>253823231.799472</v>
      </c>
      <c r="AQ28" s="20" t="n">
        <f aca="false">AP28+AQ27</f>
        <v>267593531.376049</v>
      </c>
      <c r="AR28" s="20" t="n">
        <f aca="false">AQ28+AR27</f>
        <v>281715268.32742</v>
      </c>
      <c r="AS28" s="20" t="n">
        <f aca="false">AR28+AS27</f>
        <v>296181842.123304</v>
      </c>
      <c r="AT28" s="20" t="n">
        <f aca="false">AS28+AT27</f>
        <v>311060998.718836</v>
      </c>
      <c r="AU28" s="20" t="n">
        <f aca="false">AT28+AU27</f>
        <v>326298329.988211</v>
      </c>
      <c r="AV28" s="20" t="n">
        <f aca="false">AU28+AV27</f>
        <v>341885132.434371</v>
      </c>
      <c r="AW28" s="20" t="n">
        <f aca="false">AV28+AW27</f>
        <v>357814751.456588</v>
      </c>
      <c r="AX28" s="20" t="n">
        <f aca="false">AW28+AX27</f>
        <v>374154877.452615</v>
      </c>
      <c r="AY28" s="20" t="n">
        <f aca="false">AX28+AY27</f>
        <v>390606517.211435</v>
      </c>
      <c r="AZ28" s="20" t="n">
        <f aca="false">AY28+AZ27</f>
        <v>407471067.155644</v>
      </c>
      <c r="BA28" s="20" t="n">
        <f aca="false">AZ28+BA27</f>
        <v>424543937.189162</v>
      </c>
      <c r="BB28" s="20" t="n">
        <f aca="false">BA28+BB27</f>
        <v>441792372.825474</v>
      </c>
      <c r="BC28" s="20" t="n">
        <f aca="false">BB28+BC27</f>
        <v>459182752.666891</v>
      </c>
      <c r="BD28" s="20" t="n">
        <f aca="false">BC28+BD27</f>
        <v>476686569.1592</v>
      </c>
      <c r="BE28" s="20" t="n">
        <f aca="false">BD28+BE27</f>
        <v>494279605.870153</v>
      </c>
      <c r="BF28" s="20" t="n">
        <f aca="false">BE28+BF27</f>
        <v>511937014.252821</v>
      </c>
      <c r="BG28" s="20" t="n">
        <f aca="false">BF28+BG27</f>
        <v>529639300.857148</v>
      </c>
      <c r="BH28" s="20" t="n">
        <f aca="false">BG28+BH27</f>
        <v>547371511.242903</v>
      </c>
      <c r="BI28" s="20" t="n">
        <f aca="false">BH28+BI27</f>
        <v>565121066.55996</v>
      </c>
      <c r="BJ28" s="20" t="n">
        <f aca="false">BI28+BJ27</f>
        <v>582875075.877017</v>
      </c>
    </row>
    <row r="29" customFormat="false" ht="15" hidden="false" customHeight="false" outlineLevel="0" collapsed="false">
      <c r="A29" s="1"/>
      <c r="B29" s="7" t="s">
        <v>215</v>
      </c>
      <c r="C29" s="12" t="n">
        <f aca="false">IF(C15=0,0,C27/C15)</f>
        <v>-1.39888346883469</v>
      </c>
      <c r="D29" s="12" t="n">
        <f aca="false">IF(D15=0,0,D27/D15)</f>
        <v>0.591527533014606</v>
      </c>
      <c r="E29" s="12" t="n">
        <f aca="false">IF(E15=0,0,E27/E15)</f>
        <v>0.666120714558029</v>
      </c>
      <c r="F29" s="12" t="n">
        <f aca="false">IF(F15=0,0,F27/F15)</f>
        <v>0.681496977144751</v>
      </c>
      <c r="G29" s="12" t="n">
        <f aca="false">IF(G15=0,0,G27/G15)</f>
        <v>0.689605056939293</v>
      </c>
      <c r="H29" s="12" t="n">
        <f aca="false">IF(H15=0,0,H27/H15)</f>
        <v>0.694420123618055</v>
      </c>
      <c r="I29" s="12" t="n">
        <f aca="false">IF(I15=0,0,I27/I15)</f>
        <v>0.702358554813227</v>
      </c>
      <c r="J29" s="12" t="n">
        <f aca="false">IF(J15=0,0,J27/J15)</f>
        <v>0.703237920383825</v>
      </c>
      <c r="K29" s="12" t="n">
        <f aca="false">IF(K15=0,0,K27/K15)</f>
        <v>0.70401617093016</v>
      </c>
      <c r="L29" s="12" t="n">
        <f aca="false">IF(L15=0,0,L27/L15)</f>
        <v>0.704788190014559</v>
      </c>
      <c r="M29" s="12" t="n">
        <f aca="false">IF(M15=0,0,M27/M15)</f>
        <v>0.707962092650731</v>
      </c>
      <c r="N29" s="12" t="n">
        <f aca="false">IF(N15=0,0,N27/N15)</f>
        <v>0.70826746584902</v>
      </c>
      <c r="O29" s="12" t="n">
        <f aca="false">IF(O15=0,0,O27/O15)</f>
        <v>0.675394914078876</v>
      </c>
      <c r="P29" s="12" t="n">
        <f aca="false">IF(P15=0,0,P27/P15)</f>
        <v>0.710089777364592</v>
      </c>
      <c r="Q29" s="12" t="n">
        <f aca="false">IF(Q15=0,0,Q27/Q15)</f>
        <v>0.712501301377744</v>
      </c>
      <c r="R29" s="12" t="n">
        <f aca="false">IF(R15=0,0,R27/R15)</f>
        <v>0.712635588727897</v>
      </c>
      <c r="S29" s="12" t="n">
        <f aca="false">IF(S15=0,0,S27/S15)</f>
        <v>0.712843634591822</v>
      </c>
      <c r="T29" s="12" t="n">
        <f aca="false">IF(T15=0,0,T27/T15)</f>
        <v>0.714272232668716</v>
      </c>
      <c r="U29" s="12" t="n">
        <f aca="false">IF(U15=0,0,U27/U15)</f>
        <v>0.714492895196862</v>
      </c>
      <c r="V29" s="12" t="n">
        <f aca="false">IF(V15=0,0,V27/V15)</f>
        <v>0.714503652765498</v>
      </c>
      <c r="W29" s="12" t="n">
        <f aca="false">IF(W15=0,0,W27/W15)</f>
        <v>0.714587620801462</v>
      </c>
      <c r="X29" s="12" t="n">
        <f aca="false">IF(X15=0,0,X27/X15)</f>
        <v>0.715633118571089</v>
      </c>
      <c r="Y29" s="12" t="n">
        <f aca="false">IF(Y15=0,0,Y27/Y15)</f>
        <v>0.715763751701834</v>
      </c>
      <c r="Z29" s="12" t="n">
        <f aca="false">IF(Z15=0,0,Z27/Z15)</f>
        <v>0.715734919470318</v>
      </c>
      <c r="AA29" s="12" t="n">
        <f aca="false">IF(AA15=0,0,AA27/AA15)</f>
        <v>0.700365590819792</v>
      </c>
      <c r="AB29" s="12" t="n">
        <f aca="false">IF(AB15=0,0,AB27/AB15)</f>
        <v>0.716598261943722</v>
      </c>
      <c r="AC29" s="12" t="n">
        <f aca="false">IF(AC15=0,0,AC27/AC15)</f>
        <v>0.716688039789008</v>
      </c>
      <c r="AD29" s="12" t="n">
        <f aca="false">IF(AD15=0,0,AD27/AD15)</f>
        <v>0.716648335550641</v>
      </c>
      <c r="AE29" s="12" t="n">
        <f aca="false">IF(AE15=0,0,AE27/AE15)</f>
        <v>0.717306648785981</v>
      </c>
      <c r="AF29" s="12" t="n">
        <f aca="false">IF(AF15=0,0,AF27/AF15)</f>
        <v>0.717325897110708</v>
      </c>
      <c r="AG29" s="12" t="n">
        <f aca="false">IF(AG15=0,0,AG27/AG15)</f>
        <v>0.717234276419179</v>
      </c>
      <c r="AH29" s="12" t="n">
        <f aca="false">IF(AH15=0,0,AH27/AH15)</f>
        <v>0.717196593458088</v>
      </c>
      <c r="AI29" s="12" t="n">
        <f aca="false">IF(AI15=0,0,AI27/AI15)</f>
        <v>0.71776084079419</v>
      </c>
      <c r="AJ29" s="12" t="n">
        <f aca="false">IF(AJ15=0,0,AJ27/AJ15)</f>
        <v>0.717777537825341</v>
      </c>
      <c r="AK29" s="12" t="n">
        <f aca="false">IF(AK15=0,0,AK27/AK15)</f>
        <v>0.717698073727472</v>
      </c>
      <c r="AL29" s="12" t="n">
        <f aca="false">IF(AL15=0,0,AL27/AL15)</f>
        <v>0.717665927523661</v>
      </c>
      <c r="AM29" s="12" t="n">
        <f aca="false">IF(AM15=0,0,AM27/AM15)</f>
        <v>0.708261955032912</v>
      </c>
      <c r="AN29" s="12" t="n">
        <f aca="false">IF(AN15=0,0,AN27/AN15)</f>
        <v>0.718180761520378</v>
      </c>
      <c r="AO29" s="12" t="n">
        <f aca="false">IF(AO15=0,0,AO27/AO15)</f>
        <v>0.718113621487099</v>
      </c>
      <c r="AP29" s="12" t="n">
        <f aca="false">IF(AP15=0,0,AP27/AP15)</f>
        <v>0.718088661107021</v>
      </c>
      <c r="AQ29" s="12" t="n">
        <f aca="false">IF(AQ15=0,0,AQ27/AQ15)</f>
        <v>0.718617186792812</v>
      </c>
      <c r="AR29" s="12" t="n">
        <f aca="false">IF(AR15=0,0,AR27/AR15)</f>
        <v>0.718508534486192</v>
      </c>
      <c r="AS29" s="12" t="n">
        <f aca="false">IF(AS15=0,0,AS27/AS15)</f>
        <v>0.71844019352735</v>
      </c>
      <c r="AT29" s="12" t="n">
        <f aca="false">IF(AT15=0,0,AT27/AT15)</f>
        <v>0.718808956695922</v>
      </c>
      <c r="AU29" s="12" t="n">
        <f aca="false">IF(AU15=0,0,AU27/AU15)</f>
        <v>0.718785970474972</v>
      </c>
      <c r="AV29" s="12" t="n">
        <f aca="false">IF(AV15=0,0,AV27/AV15)</f>
        <v>0.718693410812687</v>
      </c>
      <c r="AW29" s="12" t="n">
        <f aca="false">IF(AW15=0,0,AW27/AW15)</f>
        <v>0.71863708387646</v>
      </c>
      <c r="AX29" s="12" t="n">
        <f aca="false">IF(AX15=0,0,AX27/AX15)</f>
        <v>0.71897785807545</v>
      </c>
      <c r="AY29" s="12" t="n">
        <f aca="false">IF(AY15=0,0,AY27/AY15)</f>
        <v>0.711258801822503</v>
      </c>
      <c r="AZ29" s="12" t="n">
        <f aca="false">IF(AZ15=0,0,AZ27/AZ15)</f>
        <v>0.718270808053991</v>
      </c>
      <c r="BA29" s="12" t="n">
        <f aca="false">IF(BA15=0,0,BA27/BA15)</f>
        <v>0.718046865920697</v>
      </c>
      <c r="BB29" s="12" t="n">
        <f aca="false">IF(BB15=0,0,BB27/BB15)</f>
        <v>0.717922867237011</v>
      </c>
      <c r="BC29" s="12" t="n">
        <f aca="false">IF(BC15=0,0,BC27/BC15)</f>
        <v>0.717950902625939</v>
      </c>
      <c r="BD29" s="12" t="n">
        <f aca="false">IF(BD15=0,0,BD27/BD15)</f>
        <v>0.71795229625821</v>
      </c>
      <c r="BE29" s="12" t="n">
        <f aca="false">IF(BE15=0,0,BE27/BE15)</f>
        <v>0.718009524840166</v>
      </c>
      <c r="BF29" s="12" t="n">
        <f aca="false">IF(BF15=0,0,BF27/BF15)</f>
        <v>0.718176105876567</v>
      </c>
      <c r="BG29" s="12" t="n">
        <f aca="false">IF(BG15=0,0,BG27/BG15)</f>
        <v>0.718277195554808</v>
      </c>
      <c r="BH29" s="12" t="n">
        <f aca="false">IF(BH15=0,0,BH27/BH15)</f>
        <v>0.718393804383096</v>
      </c>
      <c r="BI29" s="12" t="n">
        <f aca="false">IF(BI15=0,0,BI27/BI15)</f>
        <v>0.718515876865553</v>
      </c>
      <c r="BJ29" s="12" t="n">
        <f aca="false">IF(BJ15=0,0,BJ27/BJ15)</f>
        <v>0.718696178267948</v>
      </c>
    </row>
    <row r="30" customFormat="false" ht="15" hidden="false" customHeight="false" outlineLevel="0" collapsed="false">
      <c r="A30" s="1"/>
      <c r="B30" s="6" t="s">
        <v>230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</row>
    <row r="31" customFormat="false" ht="15" hidden="false" customHeight="false" outlineLevel="0" collapsed="false">
      <c r="A31" s="1"/>
      <c r="B31" s="23" t="s">
        <v>231</v>
      </c>
      <c r="C31" s="20" t="n">
        <f aca="false">SUM(C19:C23)</f>
        <v>413644</v>
      </c>
      <c r="D31" s="20" t="n">
        <f aca="false">SUM(D19:D23)</f>
        <v>78931</v>
      </c>
      <c r="E31" s="20" t="n">
        <f aca="false">SUM(E19:E23)</f>
        <v>88485</v>
      </c>
      <c r="F31" s="20" t="n">
        <f aca="false">SUM(F19:F23)</f>
        <v>96832</v>
      </c>
      <c r="G31" s="20" t="n">
        <f aca="false">SUM(G19:G23)</f>
        <v>106199</v>
      </c>
      <c r="H31" s="20" t="n">
        <f aca="false">SUM(H19:H23)</f>
        <v>116586</v>
      </c>
      <c r="I31" s="20" t="n">
        <f aca="false">SUM(I19:I23)</f>
        <v>131240</v>
      </c>
      <c r="J31" s="20" t="n">
        <f aca="false">SUM(J19:J23)</f>
        <v>144687</v>
      </c>
      <c r="K31" s="20" t="n">
        <f aca="false">SUM(K19:K23)</f>
        <v>159154</v>
      </c>
      <c r="L31" s="20" t="n">
        <f aca="false">SUM(L19:L23)</f>
        <v>174641</v>
      </c>
      <c r="M31" s="20" t="n">
        <f aca="false">SUM(M19:M23)</f>
        <v>194395</v>
      </c>
      <c r="N31" s="20" t="n">
        <f aca="false">SUM(N19:N23)</f>
        <v>212942</v>
      </c>
      <c r="O31" s="20" t="n">
        <f aca="false">SUM(O19:O23)</f>
        <v>396015</v>
      </c>
      <c r="P31" s="20" t="n">
        <f aca="false">SUM(P19:P23)</f>
        <v>241315</v>
      </c>
      <c r="Q31" s="20" t="n">
        <f aca="false">SUM(Q19:Q23)</f>
        <v>256615</v>
      </c>
      <c r="R31" s="20" t="n">
        <f aca="false">SUM(R19:R23)</f>
        <v>271915</v>
      </c>
      <c r="S31" s="20" t="n">
        <f aca="false">SUM(S19:S23)</f>
        <v>287215</v>
      </c>
      <c r="T31" s="20" t="n">
        <f aca="false">SUM(T19:T23)</f>
        <v>305762</v>
      </c>
      <c r="U31" s="20" t="n">
        <f aca="false">SUM(U19:U23)</f>
        <v>318835</v>
      </c>
      <c r="V31" s="20" t="n">
        <f aca="false">SUM(V19:V23)</f>
        <v>334135</v>
      </c>
      <c r="W31" s="20" t="n">
        <f aca="false">SUM(W19:W23)</f>
        <v>349435</v>
      </c>
      <c r="X31" s="20" t="n">
        <f aca="false">SUM(X19:X23)</f>
        <v>367982</v>
      </c>
      <c r="Y31" s="20" t="n">
        <f aca="false">SUM(Y19:Y23)</f>
        <v>381055</v>
      </c>
      <c r="Z31" s="20" t="n">
        <f aca="false">SUM(Z19:Z23)</f>
        <v>396355</v>
      </c>
      <c r="AA31" s="20" t="n">
        <f aca="false">SUM(AA19:AA23)</f>
        <v>581655</v>
      </c>
      <c r="AB31" s="20" t="n">
        <f aca="false">SUM(AB19:AB23)</f>
        <v>430202</v>
      </c>
      <c r="AC31" s="20" t="n">
        <f aca="false">SUM(AC19:AC23)</f>
        <v>443275</v>
      </c>
      <c r="AD31" s="20" t="n">
        <f aca="false">SUM(AD19:AD23)</f>
        <v>458575</v>
      </c>
      <c r="AE31" s="20" t="n">
        <f aca="false">SUM(AE19:AE23)</f>
        <v>477122</v>
      </c>
      <c r="AF31" s="20" t="n">
        <f aca="false">SUM(AF19:AF23)</f>
        <v>490195</v>
      </c>
      <c r="AG31" s="20" t="n">
        <f aca="false">SUM(AG19:AG23)</f>
        <v>505495</v>
      </c>
      <c r="AH31" s="20" t="n">
        <f aca="false">SUM(AH19:AH23)</f>
        <v>520795</v>
      </c>
      <c r="AI31" s="20" t="n">
        <f aca="false">SUM(AI19:AI23)</f>
        <v>539342</v>
      </c>
      <c r="AJ31" s="20" t="n">
        <f aca="false">SUM(AJ19:AJ23)</f>
        <v>552415</v>
      </c>
      <c r="AK31" s="20" t="n">
        <f aca="false">SUM(AK19:AK23)</f>
        <v>567715</v>
      </c>
      <c r="AL31" s="20" t="n">
        <f aca="false">SUM(AL19:AL23)</f>
        <v>583015</v>
      </c>
      <c r="AM31" s="20" t="n">
        <f aca="false">SUM(AM19:AM23)</f>
        <v>771562</v>
      </c>
      <c r="AN31" s="20" t="n">
        <f aca="false">SUM(AN19:AN23)</f>
        <v>614635</v>
      </c>
      <c r="AO31" s="20" t="n">
        <f aca="false">SUM(AO19:AO23)</f>
        <v>629935</v>
      </c>
      <c r="AP31" s="20" t="n">
        <f aca="false">SUM(AP19:AP23)</f>
        <v>645235</v>
      </c>
      <c r="AQ31" s="20" t="n">
        <f aca="false">SUM(AQ19:AQ23)</f>
        <v>660535</v>
      </c>
      <c r="AR31" s="20" t="n">
        <f aca="false">SUM(AR19:AR23)</f>
        <v>675835</v>
      </c>
      <c r="AS31" s="20" t="n">
        <f aca="false">SUM(AS19:AS23)</f>
        <v>691135</v>
      </c>
      <c r="AT31" s="20" t="n">
        <f aca="false">SUM(AT19:AT23)</f>
        <v>709682</v>
      </c>
      <c r="AU31" s="20" t="n">
        <f aca="false">SUM(AU19:AU23)</f>
        <v>722755</v>
      </c>
      <c r="AV31" s="20" t="n">
        <f aca="false">SUM(AV19:AV23)</f>
        <v>738055</v>
      </c>
      <c r="AW31" s="20" t="n">
        <f aca="false">SUM(AW19:AW23)</f>
        <v>753355</v>
      </c>
      <c r="AX31" s="20" t="n">
        <f aca="false">SUM(AX19:AX23)</f>
        <v>771902</v>
      </c>
      <c r="AY31" s="20" t="n">
        <f aca="false">SUM(AY19:AY23)</f>
        <v>951728</v>
      </c>
      <c r="AZ31" s="20" t="n">
        <f aca="false">SUM(AZ19:AZ23)</f>
        <v>792761</v>
      </c>
      <c r="BA31" s="20" t="n">
        <f aca="false">SUM(BA19:BA23)</f>
        <v>802774</v>
      </c>
      <c r="BB31" s="20" t="n">
        <f aca="false">SUM(BB19:BB23)</f>
        <v>811767</v>
      </c>
      <c r="BC31" s="20" t="n">
        <f aca="false">SUM(BC19:BC23)</f>
        <v>816493</v>
      </c>
      <c r="BD31" s="20" t="n">
        <f aca="false">SUM(BD19:BD23)</f>
        <v>822426</v>
      </c>
      <c r="BE31" s="20" t="n">
        <f aca="false">SUM(BE19:BE23)</f>
        <v>827339</v>
      </c>
      <c r="BF31" s="20" t="n">
        <f aca="false">SUM(BF19:BF23)</f>
        <v>827985</v>
      </c>
      <c r="BG31" s="20" t="n">
        <f aca="false">SUM(BG19:BG23)</f>
        <v>829838</v>
      </c>
      <c r="BH31" s="20" t="n">
        <f aca="false">SUM(BH19:BH23)</f>
        <v>830671</v>
      </c>
      <c r="BI31" s="20" t="n">
        <f aca="false">SUM(BI19:BI23)</f>
        <v>830484</v>
      </c>
      <c r="BJ31" s="20" t="n">
        <f aca="false">SUM(BJ19:BJ23)</f>
        <v>826030</v>
      </c>
    </row>
    <row r="32" customFormat="false" ht="15" hidden="false" customHeight="false" outlineLevel="0" collapsed="false">
      <c r="A32" s="1"/>
      <c r="B32" s="7" t="s">
        <v>220</v>
      </c>
      <c r="C32" s="44" t="n">
        <f aca="false">IF(C28&gt;=0,C5,999)</f>
        <v>999</v>
      </c>
      <c r="D32" s="44" t="n">
        <f aca="false">IF(D28&gt;=0,D5,999)</f>
        <v>999</v>
      </c>
      <c r="E32" s="44" t="n">
        <f aca="false">IF(E28&gt;=0,E5,999)</f>
        <v>3</v>
      </c>
      <c r="F32" s="44" t="n">
        <f aca="false">IF(F28&gt;=0,F5,999)</f>
        <v>4</v>
      </c>
      <c r="G32" s="44" t="n">
        <f aca="false">IF(G28&gt;=0,G5,999)</f>
        <v>5</v>
      </c>
      <c r="H32" s="44" t="n">
        <f aca="false">IF(H28&gt;=0,H5,999)</f>
        <v>6</v>
      </c>
      <c r="I32" s="44" t="n">
        <f aca="false">IF(I28&gt;=0,I5,999)</f>
        <v>7</v>
      </c>
      <c r="J32" s="44" t="n">
        <f aca="false">IF(J28&gt;=0,J5,999)</f>
        <v>8</v>
      </c>
      <c r="K32" s="44" t="n">
        <f aca="false">IF(K28&gt;=0,K5,999)</f>
        <v>9</v>
      </c>
      <c r="L32" s="44" t="n">
        <f aca="false">IF(L28&gt;=0,L5,999)</f>
        <v>10</v>
      </c>
      <c r="M32" s="44" t="n">
        <f aca="false">IF(M28&gt;=0,M5,999)</f>
        <v>11</v>
      </c>
      <c r="N32" s="44" t="n">
        <f aca="false">IF(N28&gt;=0,N5,999)</f>
        <v>12</v>
      </c>
      <c r="O32" s="44" t="n">
        <f aca="false">IF(O28&gt;=0,O5,999)</f>
        <v>13</v>
      </c>
      <c r="P32" s="44" t="n">
        <f aca="false">IF(P28&gt;=0,P5,999)</f>
        <v>14</v>
      </c>
      <c r="Q32" s="44" t="n">
        <f aca="false">IF(Q28&gt;=0,Q5,999)</f>
        <v>15</v>
      </c>
      <c r="R32" s="44" t="n">
        <f aca="false">IF(R28&gt;=0,R5,999)</f>
        <v>16</v>
      </c>
      <c r="S32" s="44" t="n">
        <f aca="false">IF(S28&gt;=0,S5,999)</f>
        <v>17</v>
      </c>
      <c r="T32" s="44" t="n">
        <f aca="false">IF(T28&gt;=0,T5,999)</f>
        <v>18</v>
      </c>
      <c r="U32" s="44" t="n">
        <f aca="false">IF(U28&gt;=0,U5,999)</f>
        <v>19</v>
      </c>
      <c r="V32" s="44" t="n">
        <f aca="false">IF(V28&gt;=0,V5,999)</f>
        <v>20</v>
      </c>
      <c r="W32" s="44" t="n">
        <f aca="false">IF(W28&gt;=0,W5,999)</f>
        <v>21</v>
      </c>
      <c r="X32" s="44" t="n">
        <f aca="false">IF(X28&gt;=0,X5,999)</f>
        <v>22</v>
      </c>
      <c r="Y32" s="44" t="n">
        <f aca="false">IF(Y28&gt;=0,Y5,999)</f>
        <v>23</v>
      </c>
      <c r="Z32" s="44" t="n">
        <f aca="false">IF(Z28&gt;=0,Z5,999)</f>
        <v>24</v>
      </c>
      <c r="AA32" s="44" t="n">
        <f aca="false">IF(AA28&gt;=0,AA5,999)</f>
        <v>25</v>
      </c>
      <c r="AB32" s="44" t="n">
        <f aca="false">IF(AB28&gt;=0,AB5,999)</f>
        <v>26</v>
      </c>
      <c r="AC32" s="44" t="n">
        <f aca="false">IF(AC28&gt;=0,AC5,999)</f>
        <v>27</v>
      </c>
      <c r="AD32" s="44" t="n">
        <f aca="false">IF(AD28&gt;=0,AD5,999)</f>
        <v>28</v>
      </c>
      <c r="AE32" s="44" t="n">
        <f aca="false">IF(AE28&gt;=0,AE5,999)</f>
        <v>29</v>
      </c>
      <c r="AF32" s="44" t="n">
        <f aca="false">IF(AF28&gt;=0,AF5,999)</f>
        <v>30</v>
      </c>
      <c r="AG32" s="44" t="n">
        <f aca="false">IF(AG28&gt;=0,AG5,999)</f>
        <v>31</v>
      </c>
      <c r="AH32" s="44" t="n">
        <f aca="false">IF(AH28&gt;=0,AH5,999)</f>
        <v>32</v>
      </c>
      <c r="AI32" s="44" t="n">
        <f aca="false">IF(AI28&gt;=0,AI5,999)</f>
        <v>33</v>
      </c>
      <c r="AJ32" s="44" t="n">
        <f aca="false">IF(AJ28&gt;=0,AJ5,999)</f>
        <v>34</v>
      </c>
      <c r="AK32" s="44" t="n">
        <f aca="false">IF(AK28&gt;=0,AK5,999)</f>
        <v>35</v>
      </c>
      <c r="AL32" s="44" t="n">
        <f aca="false">IF(AL28&gt;=0,AL5,999)</f>
        <v>36</v>
      </c>
      <c r="AM32" s="44" t="n">
        <f aca="false">IF(AM28&gt;=0,AM5,999)</f>
        <v>37</v>
      </c>
      <c r="AN32" s="44" t="n">
        <f aca="false">IF(AN28&gt;=0,AN5,999)</f>
        <v>38</v>
      </c>
      <c r="AO32" s="44" t="n">
        <f aca="false">IF(AO28&gt;=0,AO5,999)</f>
        <v>39</v>
      </c>
      <c r="AP32" s="44" t="n">
        <f aca="false">IF(AP28&gt;=0,AP5,999)</f>
        <v>40</v>
      </c>
      <c r="AQ32" s="44" t="n">
        <f aca="false">IF(AQ28&gt;=0,AQ5,999)</f>
        <v>41</v>
      </c>
      <c r="AR32" s="44" t="n">
        <f aca="false">IF(AR28&gt;=0,AR5,999)</f>
        <v>42</v>
      </c>
      <c r="AS32" s="44" t="n">
        <f aca="false">IF(AS28&gt;=0,AS5,999)</f>
        <v>43</v>
      </c>
      <c r="AT32" s="44" t="n">
        <f aca="false">IF(AT28&gt;=0,AT5,999)</f>
        <v>44</v>
      </c>
      <c r="AU32" s="44" t="n">
        <f aca="false">IF(AU28&gt;=0,AU5,999)</f>
        <v>45</v>
      </c>
      <c r="AV32" s="44" t="n">
        <f aca="false">IF(AV28&gt;=0,AV5,999)</f>
        <v>46</v>
      </c>
      <c r="AW32" s="44" t="n">
        <f aca="false">IF(AW28&gt;=0,AW5,999)</f>
        <v>47</v>
      </c>
      <c r="AX32" s="44" t="n">
        <f aca="false">IF(AX28&gt;=0,AX5,999)</f>
        <v>48</v>
      </c>
      <c r="AY32" s="44" t="n">
        <f aca="false">IF(AY28&gt;=0,AY5,999)</f>
        <v>49</v>
      </c>
      <c r="AZ32" s="44" t="n">
        <f aca="false">IF(AZ28&gt;=0,AZ5,999)</f>
        <v>50</v>
      </c>
      <c r="BA32" s="44" t="n">
        <f aca="false">IF(BA28&gt;=0,BA5,999)</f>
        <v>51</v>
      </c>
      <c r="BB32" s="44" t="n">
        <f aca="false">IF(BB28&gt;=0,BB5,999)</f>
        <v>52</v>
      </c>
      <c r="BC32" s="44" t="n">
        <f aca="false">IF(BC28&gt;=0,BC5,999)</f>
        <v>53</v>
      </c>
      <c r="BD32" s="44" t="n">
        <f aca="false">IF(BD28&gt;=0,BD5,999)</f>
        <v>54</v>
      </c>
      <c r="BE32" s="44" t="n">
        <f aca="false">IF(BE28&gt;=0,BE5,999)</f>
        <v>55</v>
      </c>
      <c r="BF32" s="44" t="n">
        <f aca="false">IF(BF28&gt;=0,BF5,999)</f>
        <v>56</v>
      </c>
      <c r="BG32" s="44" t="n">
        <f aca="false">IF(BG28&gt;=0,BG5,999)</f>
        <v>57</v>
      </c>
      <c r="BH32" s="44" t="n">
        <f aca="false">IF(BH28&gt;=0,BH5,999)</f>
        <v>58</v>
      </c>
      <c r="BI32" s="44" t="n">
        <f aca="false">IF(BI28&gt;=0,BI5,999)</f>
        <v>59</v>
      </c>
      <c r="BJ32" s="44" t="n">
        <f aca="false">IF(BJ28&gt;=0,BJ5,999)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5" min="3" style="0" width="1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7.35" hidden="false" customHeight="false" outlineLevel="0" collapsed="false">
      <c r="A2" s="1"/>
      <c r="B2" s="2" t="s">
        <v>232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233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15" hidden="false" customHeight="false" outlineLevel="0" collapsed="false">
      <c r="A5" s="1"/>
      <c r="B5" s="6" t="s">
        <v>15</v>
      </c>
      <c r="C5" s="6" t="s">
        <v>4</v>
      </c>
      <c r="D5" s="6" t="s">
        <v>5</v>
      </c>
      <c r="E5" s="1"/>
      <c r="F5" s="1"/>
    </row>
    <row r="6" customFormat="false" ht="15" hidden="false" customHeight="false" outlineLevel="0" collapsed="false">
      <c r="A6" s="1"/>
      <c r="B6" s="7" t="s">
        <v>234</v>
      </c>
      <c r="C6" s="19" t="n">
        <f aca="false">Supuestos!$C$13*'Cartera 60M'!$C$12/Supuestos!$C$15</f>
        <v>727838.718491671</v>
      </c>
      <c r="D6" s="19" t="n">
        <f aca="false">Supuestos!$C$13*'Cartera 60M'!$C$12/Supuestos!$C$15</f>
        <v>727838.718491671</v>
      </c>
      <c r="E6" s="1"/>
      <c r="F6" s="1"/>
    </row>
    <row r="7" customFormat="false" ht="15" hidden="false" customHeight="false" outlineLevel="0" collapsed="false">
      <c r="A7" s="1"/>
      <c r="B7" s="7" t="s">
        <v>235</v>
      </c>
      <c r="C7" s="19" t="n">
        <f aca="false">C6*Supuestos!$C$14/12</f>
        <v>20015.5647585209</v>
      </c>
      <c r="D7" s="19" t="n">
        <f aca="false">D6*Supuestos!$C$14/12</f>
        <v>20015.5647585209</v>
      </c>
      <c r="E7" s="1"/>
      <c r="F7" s="1"/>
    </row>
    <row r="8" customFormat="false" ht="15" hidden="false" customHeight="false" outlineLevel="0" collapsed="false">
      <c r="A8" s="1"/>
      <c r="B8" s="7" t="s">
        <v>236</v>
      </c>
      <c r="C8" s="19" t="n">
        <f aca="false">Supuestos!$C$11*Supuestos!$C$20*(1-Supuestos!$C$33)*Supuestos!$C$18</f>
        <v>3000</v>
      </c>
      <c r="D8" s="19" t="n">
        <f aca="false">Supuestos!$C$11*Supuestos!$C$57*Supuestos!$C$18</f>
        <v>6000</v>
      </c>
      <c r="E8" s="1"/>
      <c r="F8" s="1"/>
    </row>
    <row r="9" customFormat="false" ht="15" hidden="false" customHeight="false" outlineLevel="0" collapsed="false">
      <c r="A9" s="1"/>
      <c r="B9" s="7" t="s">
        <v>237</v>
      </c>
      <c r="C9" s="19" t="n">
        <f aca="false">Supuestos!$C$13*Supuestos!$C$17/Supuestos!$C$15</f>
        <v>3750</v>
      </c>
      <c r="D9" s="19" t="n">
        <f aca="false">Supuestos!$C$13*Supuestos!$C$17/Supuestos!$C$15</f>
        <v>3750</v>
      </c>
      <c r="E9" s="1"/>
      <c r="F9" s="1"/>
    </row>
    <row r="10" customFormat="false" ht="15" hidden="false" customHeight="false" outlineLevel="0" collapsed="false">
      <c r="A10" s="1"/>
      <c r="B10" s="23" t="s">
        <v>238</v>
      </c>
      <c r="C10" s="20" t="n">
        <f aca="false">SUM(C7:C9)</f>
        <v>26765.5647585209</v>
      </c>
      <c r="D10" s="20" t="n">
        <f aca="false">SUM(D7:D9)</f>
        <v>29765.5647585209</v>
      </c>
      <c r="E10" s="1"/>
      <c r="F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</row>
    <row r="12" customFormat="false" ht="15" hidden="false" customHeight="false" outlineLevel="0" collapsed="false">
      <c r="A12" s="1"/>
      <c r="B12" s="7" t="s">
        <v>19</v>
      </c>
      <c r="C12" s="19" t="n">
        <f aca="false">C6*Supuestos!$C$16/12</f>
        <v>7023.64363344462</v>
      </c>
      <c r="D12" s="19" t="n">
        <f aca="false">D6*Supuestos!$C$16/12</f>
        <v>7023.64363344462</v>
      </c>
      <c r="E12" s="1"/>
      <c r="F12" s="1"/>
    </row>
    <row r="13" customFormat="false" ht="15" hidden="false" customHeight="false" outlineLevel="0" collapsed="false">
      <c r="A13" s="1"/>
      <c r="B13" s="7" t="s">
        <v>239</v>
      </c>
      <c r="C13" s="19" t="n">
        <f aca="false">'Cartera 60M'!$C$8*Supuestos!$C$34</f>
        <v>1113.3979856889</v>
      </c>
      <c r="D13" s="19" t="n">
        <v>0</v>
      </c>
      <c r="E13" s="1"/>
      <c r="F13" s="1"/>
    </row>
    <row r="14" customFormat="false" ht="15" hidden="false" customHeight="false" outlineLevel="0" collapsed="false">
      <c r="A14" s="1"/>
      <c r="B14" s="7" t="s">
        <v>240</v>
      </c>
      <c r="C14" s="19" t="n">
        <f aca="false">Supuestos!$D$31*Supuestos!$C$18</f>
        <v>255</v>
      </c>
      <c r="D14" s="19" t="n">
        <f aca="false">IF(Supuestos!$C$19=0,0,Supuestos!$C$11/Supuestos!$C$19)*Supuestos!$D$51*Supuestos!$C$18</f>
        <v>1020</v>
      </c>
      <c r="E14" s="1"/>
      <c r="F14" s="1"/>
    </row>
    <row r="15" customFormat="false" ht="15" hidden="false" customHeight="false" outlineLevel="0" collapsed="false">
      <c r="A15" s="1"/>
      <c r="B15" s="7" t="s">
        <v>241</v>
      </c>
      <c r="C15" s="19" t="n">
        <v>0</v>
      </c>
      <c r="D15" s="19" t="n">
        <f aca="false">IF(Supuestos!$C$56=1,0,Supuestos!$D$55*Supuestos!$C$18/Supuestos!$C$15)</f>
        <v>0</v>
      </c>
      <c r="E15" s="1"/>
      <c r="F15" s="1"/>
    </row>
    <row r="16" customFormat="false" ht="15" hidden="false" customHeight="false" outlineLevel="0" collapsed="false">
      <c r="A16" s="1"/>
      <c r="B16" s="23" t="s">
        <v>242</v>
      </c>
      <c r="C16" s="20" t="n">
        <f aca="false">SUM(C12:C15)</f>
        <v>8392.04161913353</v>
      </c>
      <c r="D16" s="20" t="n">
        <f aca="false">SUM(D12:D15)</f>
        <v>8043.64363344462</v>
      </c>
      <c r="E16" s="1"/>
      <c r="F16" s="1"/>
    </row>
    <row r="17" customFormat="false" ht="15" hidden="false" customHeight="false" outlineLevel="0" collapsed="false">
      <c r="A17" s="1"/>
      <c r="B17" s="23" t="s">
        <v>243</v>
      </c>
      <c r="C17" s="20" t="n">
        <f aca="false">C10-C16</f>
        <v>18373.5231393874</v>
      </c>
      <c r="D17" s="20" t="n">
        <f aca="false">D10-D16</f>
        <v>21721.9211250763</v>
      </c>
      <c r="E17" s="1"/>
      <c r="F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</row>
    <row r="19" customFormat="false" ht="27.75" hidden="false" customHeight="true" outlineLevel="0" collapsed="false">
      <c r="A19" s="1"/>
      <c r="B19" s="46" t="s">
        <v>244</v>
      </c>
      <c r="C19" s="25" t="n">
        <f aca="false">Supuestos!$D$39</f>
        <v>85000</v>
      </c>
      <c r="D19" s="19" t="n">
        <f aca="false">Supuestos!$D$50+Supuestos!$D$53/12+Supuestos!$C$58</f>
        <v>81316.6666666667</v>
      </c>
      <c r="E19" s="1"/>
      <c r="F19" s="1"/>
    </row>
    <row r="20" customFormat="false" ht="15" hidden="false" customHeight="false" outlineLevel="0" collapsed="false">
      <c r="A20" s="1"/>
      <c r="B20" s="7" t="s">
        <v>245</v>
      </c>
      <c r="C20" s="19" t="n">
        <f aca="false">Supuestos!$C$11*Supuestos!$C$20*Supuestos!$C$33*Supuestos!$C$18+C13+C14</f>
        <v>4368.39798568891</v>
      </c>
      <c r="D20" s="19" t="n">
        <v>0</v>
      </c>
      <c r="E20" s="1"/>
      <c r="F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  <row r="22" customFormat="false" ht="15" hidden="false" customHeight="false" outlineLevel="0" collapsed="false">
      <c r="A22" s="1"/>
      <c r="B22" s="23" t="s">
        <v>246</v>
      </c>
      <c r="C22" s="20" t="n">
        <f aca="false">IF(C17&lt;=0,"no se alcanza",ROUNDUP(C19/(C17+C20),0))</f>
        <v>4</v>
      </c>
      <c r="D22" s="20" t="n">
        <f aca="false">IF(D17&lt;=0,"no se alcanza",ROUNDUP(D19/D17,0))</f>
        <v>4</v>
      </c>
      <c r="E22" s="1"/>
      <c r="F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</row>
    <row r="24" customFormat="false" ht="15" hidden="false" customHeight="false" outlineLevel="0" collapsed="false">
      <c r="A24" s="1"/>
      <c r="B24" s="23" t="s">
        <v>35</v>
      </c>
      <c r="C24" s="24" t="n">
        <f aca="false">IF(D17&lt;=C17,"nunca",IF(C20&lt;=0,ROUNDUP(MAX(0,D19-C19)/(D17-C17),0),IF((C19/C20)*(D17-C17)-D19&lt;0,ROUNDUP(D19/(D17-C17),0),IF(C19-D19&gt;=0,0,ROUNDUP((D19-C19)/(D17-C17-C20),0)))))</f>
        <v>25</v>
      </c>
      <c r="D24" s="3" t="s">
        <v>247</v>
      </c>
      <c r="E24" s="1"/>
      <c r="F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</row>
    <row r="26" customFormat="false" ht="15" hidden="false" customHeight="false" outlineLevel="0" collapsed="false">
      <c r="A26" s="1"/>
      <c r="B26" s="6" t="s">
        <v>248</v>
      </c>
      <c r="C26" s="15"/>
      <c r="D26" s="15"/>
      <c r="E26" s="15"/>
      <c r="F26" s="15"/>
    </row>
    <row r="27" customFormat="false" ht="15" hidden="false" customHeight="false" outlineLevel="0" collapsed="false">
      <c r="A27" s="1"/>
      <c r="B27" s="16" t="s">
        <v>183</v>
      </c>
      <c r="C27" s="16" t="s">
        <v>4</v>
      </c>
      <c r="D27" s="16" t="s">
        <v>5</v>
      </c>
      <c r="E27" s="16" t="s">
        <v>249</v>
      </c>
      <c r="F27" s="16" t="s">
        <v>250</v>
      </c>
    </row>
    <row r="28" customFormat="false" ht="15" hidden="false" customHeight="false" outlineLevel="0" collapsed="false">
      <c r="A28" s="1"/>
      <c r="B28" s="30" t="n">
        <v>5</v>
      </c>
      <c r="C28" s="19" t="n">
        <f aca="false">B28*$C$17-MAX(0,$C$19-B28*$C$20)</f>
        <v>28709.6056253816</v>
      </c>
      <c r="D28" s="19" t="n">
        <f aca="false">B28*$D$17-$D$19</f>
        <v>27292.9389587149</v>
      </c>
      <c r="E28" s="20" t="n">
        <f aca="false">D28-C28</f>
        <v>-1416.66666666667</v>
      </c>
      <c r="F28" s="7" t="str">
        <f aca="false">IF(E28&gt;0,"Efevoo","PagaTodo")</f>
        <v>PagaTodo</v>
      </c>
    </row>
    <row r="29" customFormat="false" ht="15" hidden="false" customHeight="false" outlineLevel="0" collapsed="false">
      <c r="A29" s="1"/>
      <c r="B29" s="30" t="n">
        <v>10</v>
      </c>
      <c r="C29" s="19" t="n">
        <f aca="false">B29*$C$17-MAX(0,$C$19-B29*$C$20)</f>
        <v>142419.211250763</v>
      </c>
      <c r="D29" s="19" t="n">
        <f aca="false">B29*$D$17-$D$19</f>
        <v>135902.544584097</v>
      </c>
      <c r="E29" s="20" t="n">
        <f aca="false">D29-C29</f>
        <v>-6516.66666666666</v>
      </c>
      <c r="F29" s="7" t="str">
        <f aca="false">IF(E29&gt;0,"Efevoo","PagaTodo")</f>
        <v>PagaTodo</v>
      </c>
    </row>
    <row r="30" customFormat="false" ht="15" hidden="false" customHeight="false" outlineLevel="0" collapsed="false">
      <c r="A30" s="1"/>
      <c r="B30" s="30" t="n">
        <v>20</v>
      </c>
      <c r="C30" s="19" t="n">
        <f aca="false">B30*$C$17-MAX(0,$C$19-B30*$C$20)</f>
        <v>367470.462787748</v>
      </c>
      <c r="D30" s="19" t="n">
        <f aca="false">B30*$D$17-$D$19</f>
        <v>353121.75583486</v>
      </c>
      <c r="E30" s="20" t="n">
        <f aca="false">D30-C30</f>
        <v>-14348.7069528886</v>
      </c>
      <c r="F30" s="7" t="str">
        <f aca="false">IF(E30&gt;0,"Efevoo","PagaTodo")</f>
        <v>PagaTodo</v>
      </c>
    </row>
    <row r="31" customFormat="false" ht="15" hidden="false" customHeight="false" outlineLevel="0" collapsed="false">
      <c r="A31" s="1"/>
      <c r="B31" s="30" t="n">
        <v>30</v>
      </c>
      <c r="C31" s="19" t="n">
        <f aca="false">B31*$C$17-MAX(0,$C$19-B31*$C$20)</f>
        <v>551205.694181622</v>
      </c>
      <c r="D31" s="19" t="n">
        <f aca="false">B31*$D$17-$D$19</f>
        <v>570340.967085623</v>
      </c>
      <c r="E31" s="20" t="n">
        <f aca="false">D31-C31</f>
        <v>19135.2729040006</v>
      </c>
      <c r="F31" s="7" t="str">
        <f aca="false">IF(E31&gt;0,"Efevoo","PagaTodo")</f>
        <v>Efevoo</v>
      </c>
    </row>
    <row r="32" customFormat="false" ht="15" hidden="false" customHeight="false" outlineLevel="0" collapsed="false">
      <c r="A32" s="1"/>
      <c r="B32" s="30" t="n">
        <v>50</v>
      </c>
      <c r="C32" s="19" t="n">
        <f aca="false">B32*$C$17-MAX(0,$C$19-B32*$C$20)</f>
        <v>918676.156969371</v>
      </c>
      <c r="D32" s="19" t="n">
        <f aca="false">B32*$D$17-$D$19</f>
        <v>1004779.38958715</v>
      </c>
      <c r="E32" s="20" t="n">
        <f aca="false">D32-C32</f>
        <v>86103.2326177787</v>
      </c>
      <c r="F32" s="7" t="str">
        <f aca="false">IF(E32&gt;0,"Efevoo","PagaTodo")</f>
        <v>Efevoo</v>
      </c>
    </row>
    <row r="33" customFormat="false" ht="15" hidden="false" customHeight="false" outlineLevel="0" collapsed="false">
      <c r="A33" s="1"/>
      <c r="B33" s="30" t="n">
        <v>75</v>
      </c>
      <c r="C33" s="19" t="n">
        <f aca="false">B33*$C$17-MAX(0,$C$19-B33*$C$20)</f>
        <v>1378014.23545406</v>
      </c>
      <c r="D33" s="19" t="n">
        <f aca="false">B33*$D$17-$D$19</f>
        <v>1547827.41771406</v>
      </c>
      <c r="E33" s="20" t="n">
        <f aca="false">D33-C33</f>
        <v>169813.182260001</v>
      </c>
      <c r="F33" s="7" t="str">
        <f aca="false">IF(E33&gt;0,"Efevoo","PagaTodo")</f>
        <v>Efevoo</v>
      </c>
    </row>
    <row r="34" customFormat="false" ht="15" hidden="false" customHeight="false" outlineLevel="0" collapsed="false">
      <c r="A34" s="1"/>
      <c r="B34" s="30" t="n">
        <v>100</v>
      </c>
      <c r="C34" s="19" t="n">
        <f aca="false">B34*$C$17-MAX(0,$C$19-B34*$C$20)</f>
        <v>1837352.31393874</v>
      </c>
      <c r="D34" s="19" t="n">
        <f aca="false">B34*$D$17-$D$19</f>
        <v>2090875.44584097</v>
      </c>
      <c r="E34" s="20" t="n">
        <f aca="false">D34-C34</f>
        <v>253523.131902224</v>
      </c>
      <c r="F34" s="7" t="str">
        <f aca="false">IF(E34&gt;0,"Efevoo","PagaTodo")</f>
        <v>Efevoo</v>
      </c>
    </row>
    <row r="35" customFormat="false" ht="15" hidden="false" customHeight="false" outlineLevel="0" collapsed="false">
      <c r="A35" s="1"/>
      <c r="B35" s="30" t="n">
        <v>150</v>
      </c>
      <c r="C35" s="19" t="n">
        <f aca="false">B35*$C$17-MAX(0,$C$19-B35*$C$20)</f>
        <v>2756028.47090811</v>
      </c>
      <c r="D35" s="19" t="n">
        <f aca="false">B35*$D$17-$D$19</f>
        <v>3176971.50209478</v>
      </c>
      <c r="E35" s="20" t="n">
        <f aca="false">D35-C35</f>
        <v>420943.031186669</v>
      </c>
      <c r="F35" s="7" t="str">
        <f aca="false">IF(E35&gt;0,"Efevoo","PagaTodo")</f>
        <v>Efevoo</v>
      </c>
    </row>
    <row r="36" customFormat="false" ht="15" hidden="false" customHeight="false" outlineLevel="0" collapsed="false">
      <c r="A36" s="1"/>
      <c r="B36" s="30" t="n">
        <v>200</v>
      </c>
      <c r="C36" s="19" t="n">
        <f aca="false">B36*$C$17-MAX(0,$C$19-B36*$C$20)</f>
        <v>3674704.62787748</v>
      </c>
      <c r="D36" s="19" t="n">
        <f aca="false">B36*$D$17-$D$19</f>
        <v>4263067.5583486</v>
      </c>
      <c r="E36" s="20" t="n">
        <f aca="false">D36-C36</f>
        <v>588362.930471114</v>
      </c>
      <c r="F36" s="7" t="str">
        <f aca="false">IF(E36&gt;0,"Efevoo","PagaTodo")</f>
        <v>Efevoo</v>
      </c>
    </row>
    <row r="37" customFormat="false" ht="15" hidden="false" customHeight="false" outlineLevel="0" collapsed="false">
      <c r="A37" s="1"/>
      <c r="B37" s="30" t="n">
        <v>300</v>
      </c>
      <c r="C37" s="19" t="n">
        <f aca="false">B37*$C$17-MAX(0,$C$19-B37*$C$20)</f>
        <v>5512056.94181622</v>
      </c>
      <c r="D37" s="19" t="n">
        <f aca="false">B37*$D$17-$D$19</f>
        <v>6435259.67085623</v>
      </c>
      <c r="E37" s="20" t="n">
        <f aca="false">D37-C37</f>
        <v>923202.729040004</v>
      </c>
      <c r="F37" s="7" t="str">
        <f aca="false">IF(E37&gt;0,"Efevoo","PagaTodo")</f>
        <v>Efevoo</v>
      </c>
    </row>
    <row r="38" customFormat="false" ht="15" hidden="false" customHeight="false" outlineLevel="0" collapsed="false">
      <c r="A38" s="1"/>
      <c r="B38" s="30" t="n">
        <v>500</v>
      </c>
      <c r="C38" s="19" t="n">
        <f aca="false">B38*$C$17-MAX(0,$C$19-B38*$C$20)</f>
        <v>9186761.56969371</v>
      </c>
      <c r="D38" s="19" t="n">
        <f aca="false">B38*$D$17-$D$19</f>
        <v>10779643.8958715</v>
      </c>
      <c r="E38" s="20" t="n">
        <f aca="false">D38-C38</f>
        <v>1592882.32617779</v>
      </c>
      <c r="F38" s="7" t="str">
        <f aca="false">IF(E38&gt;0,"Efevoo","PagaTodo")</f>
        <v>Efevoo</v>
      </c>
    </row>
    <row r="39" customFormat="false" ht="15" hidden="false" customHeight="false" outlineLevel="0" collapsed="false">
      <c r="A39" s="1"/>
      <c r="B39" s="30" t="n">
        <v>750</v>
      </c>
      <c r="C39" s="19" t="n">
        <f aca="false">B39*$C$17-MAX(0,$C$19-B39*$C$20)</f>
        <v>13780142.3545406</v>
      </c>
      <c r="D39" s="19" t="n">
        <f aca="false">B39*$D$17-$D$19</f>
        <v>16210124.1771406</v>
      </c>
      <c r="E39" s="20" t="n">
        <f aca="false">D39-C39</f>
        <v>2429981.82260001</v>
      </c>
      <c r="F39" s="7" t="str">
        <f aca="false">IF(E39&gt;0,"Efevoo","PagaTodo")</f>
        <v>Efevoo</v>
      </c>
    </row>
    <row r="40" customFormat="false" ht="15" hidden="false" customHeight="false" outlineLevel="0" collapsed="false">
      <c r="A40" s="1"/>
      <c r="B40" s="30" t="n">
        <v>1000</v>
      </c>
      <c r="C40" s="19" t="n">
        <f aca="false">B40*$C$17-MAX(0,$C$19-B40*$C$20)</f>
        <v>18373523.1393874</v>
      </c>
      <c r="D40" s="19" t="n">
        <f aca="false">B40*$D$17-$D$19</f>
        <v>21640604.4584097</v>
      </c>
      <c r="E40" s="20" t="n">
        <f aca="false">D40-C40</f>
        <v>3267081.31902224</v>
      </c>
      <c r="F40" s="7" t="str">
        <f aca="false">IF(E40&gt;0,"Efevoo","PagaTodo")</f>
        <v>Efevoo</v>
      </c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</row>
    <row r="42" customFormat="false" ht="15" hidden="false" customHeight="false" outlineLevel="0" collapsed="false">
      <c r="A42" s="1"/>
      <c r="B42" s="3" t="s">
        <v>251</v>
      </c>
      <c r="C42" s="1"/>
      <c r="D42" s="1"/>
      <c r="E42" s="1"/>
      <c r="F4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2026-09-25T19:25:15Z</dcterms:created>
  <dc:creator>openpyxl</dc:creator>
  <dc:description/>
  <dc:language>en-US</dc:language>
  <cp:lastModifiedBy/>
  <dcterms:modified xsi:type="dcterms:W3CDTF">2026-09-25T19:25:18Z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